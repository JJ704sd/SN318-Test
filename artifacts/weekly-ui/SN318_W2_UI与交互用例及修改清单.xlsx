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d8d5f7c81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周任务" sheetId="1" r:id="Re65133d8a8614af0"/>
    <x:sheet xmlns:r="http://schemas.openxmlformats.org/officeDocument/2006/relationships" name="模板检查" sheetId="2" r:id="R61d94ed9fa504fd8"/>
    <x:sheet xmlns:r="http://schemas.openxmlformats.org/officeDocument/2006/relationships" name="业务UI用例" sheetId="3" r:id="R1b7d728f210047ae"/>
    <x:sheet xmlns:r="http://schemas.openxmlformats.org/officeDocument/2006/relationships" name="修改与待决" sheetId="4" r:id="Rccff45b927824950"/>
    <x:sheet xmlns:r="http://schemas.openxmlformats.org/officeDocument/2006/relationships" name="规范检查" sheetId="5" r:id="R6ec78399a6bc4f58"/>
    <x:sheet xmlns:r="http://schemas.openxmlformats.org/officeDocument/2006/relationships" name="Review来源" sheetId="6" r:id="R3d5a5224340f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A"/>
      <x:name val="Arial"/>
    </x:font>
    <x:font>
      <x:b/>
      <x:sz val="16"/>
      <x:color rgb="FF25344A"/>
      <x:name val="Arial"/>
    </x:font>
    <x:font>
      <x:sz val="10"/>
      <x:color rgb="FF61748A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B61"/>
      </x:patternFill>
    </x:fill>
    <x:fill>
      <x:patternFill patternType="solid">
        <x:fgColor rgb="FFFFFFFF"/>
      </x:patternFill>
    </x:fill>
    <x:fill>
      <x:patternFill patternType="solid">
        <x:fgColor rgb="FFF5F8FC"/>
      </x:patternFill>
    </x:fill>
    <x:fill>
      <x:patternFill patternType="solid">
        <x:fgColor rgb="FFFFF7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8">
    <x:dxf>
      <x:font>
        <x:color rgb="FF9E302C"/>
      </x:font>
      <x:fill>
        <x:patternFill patternType="solid">
          <x:bgColor rgb="FFFDE8E7"/>
        </x:patternFill>
      </x:fill>
    </x:dxf>
    <x:dxf>
      <x:font>
        <x:color rgb="FF805C12"/>
      </x:font>
      <x:fill>
        <x:patternFill patternType="solid">
          <x:bgColor rgb="FFFFF3D9"/>
        </x:patternFill>
      </x:fill>
    </x:dxf>
    <x:dxf>
      <x:font>
        <x:color rgb="FF805C12"/>
      </x:font>
      <x:fill>
        <x:patternFill patternType="solid">
          <x:bgColor rgb="FFFFF3D9"/>
        </x:patternFill>
      </x:fill>
    </x:dxf>
    <x:dxf>
      <x:font>
        <x:color rgb="FF245B36"/>
      </x:font>
      <x:fill>
        <x:patternFill patternType="solid">
          <x:bgColor rgb="FFE9F3EC"/>
        </x:patternFill>
      </x:fill>
    </x:dxf>
    <x:dxf>
      <x:font>
        <x:color rgb="FF9E302C"/>
      </x:font>
      <x:fill>
        <x:patternFill patternType="solid">
          <x:bgColor rgb="FFFDE8E7"/>
        </x:patternFill>
      </x:fill>
    </x:dxf>
    <x:dxf>
      <x:font>
        <x:color rgb="FF805C12"/>
      </x:font>
      <x:fill>
        <x:patternFill patternType="solid">
          <x:bgColor rgb="FFFFF3D9"/>
        </x:patternFill>
      </x:fill>
    </x:dxf>
    <x:dxf>
      <x:font>
        <x:color rgb="FF805C12"/>
      </x:font>
      <x:fill>
        <x:patternFill patternType="solid">
          <x:bgColor rgb="FFFFF3D9"/>
        </x:patternFill>
      </x:fill>
    </x:dxf>
    <x:dxf>
      <x:font>
        <x:color rgb="FF245B36"/>
      </x:font>
      <x:fill>
        <x:patternFill patternType="solid">
          <x:bgColor rgb="FFE9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d5c02abd44e76" /><Relationship Type="http://schemas.openxmlformats.org/officeDocument/2006/relationships/theme" Target="/xl/theme/theme1.xml" Id="Rfa3daee797a74371" /><Relationship Type="http://schemas.openxmlformats.org/officeDocument/2006/relationships/sharedStrings" Target="/xl/sharedStrings.xml" Id="Rfa3b90988e5f47e6" /><Relationship Type="http://schemas.openxmlformats.org/officeDocument/2006/relationships/worksheet" Target="/xl/worksheets/sheet1.xml" Id="Re65133d8a8614af0" /><Relationship Type="http://schemas.openxmlformats.org/officeDocument/2006/relationships/worksheet" Target="/xl/worksheets/sheet2.xml" Id="R61d94ed9fa504fd8" /><Relationship Type="http://schemas.openxmlformats.org/officeDocument/2006/relationships/worksheet" Target="/xl/worksheets/sheet3.xml" Id="R1b7d728f210047ae" /><Relationship Type="http://schemas.openxmlformats.org/officeDocument/2006/relationships/worksheet" Target="/xl/worksheets/sheet4.xml" Id="Rccff45b927824950" /><Relationship Type="http://schemas.openxmlformats.org/officeDocument/2006/relationships/worksheet" Target="/xl/worksheets/sheet5.xml" Id="R6ec78399a6bc4f58" /><Relationship Type="http://schemas.openxmlformats.org/officeDocument/2006/relationships/worksheet" Target="/xl/worksheets/sheet6.xml" Id="R3d5a5224340f4010" /></Relationships>
</file>

<file path=xl/tables/table1.xml><?xml version="1.0" encoding="utf-8"?>
<x:table xmlns:x="http://schemas.openxmlformats.org/spreadsheetml/2006/main" id="1" name="Table0" displayName="Table0" ref="A8:M70" headerRowCount="1" totalsRowCount="0" totalsRowShown="0">
  <x:autoFilter ref="A8:M70"/>
  <x:tableColumns count="13">
    <x:tableColumn id="1" name="源序号"/>
    <x:tableColumn id="2" name="原表行"/>
    <x:tableColumn id="3" name="业务区域"/>
    <x:tableColumn id="4" name="工作包"/>
    <x:tableColumn id="5" name="原始来源"/>
    <x:tableColumn id="6" name="原优先级"/>
    <x:tableColumn id="7" name="W2阶段"/>
    <x:tableColumn id="8" name="本周工作"/>
    <x:tableColumn id="9" name="前置门槛"/>
    <x:tableColumn id="10" name="关联用例"/>
    <x:tableColumn id="11" name="业务执行边界"/>
    <x:tableColumn id="12" name="负责人"/>
    <x:tableColumn id="13" name="任务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8:K38" headerRowCount="1" totalsRowCount="0" totalsRowShown="0">
  <x:autoFilter ref="A8:K38"/>
  <x:tableColumns count="11">
    <x:tableColumn id="1" name="检查ID"/>
    <x:tableColumn id="2" name="检查项"/>
    <x:tableColumn id="3" name="操作步骤"/>
    <x:tableColumn id="4" name="规范或建议期望"/>
    <x:tableColumn id="5" name="本次状态"/>
    <x:tableColumn id="6" name="实际观察"/>
    <x:tableColumn id="7" name="证据编号/文件"/>
    <x:tableColumn id="8" name="判定依据"/>
    <x:tableColumn id="9" name="修改ID"/>
    <x:tableColumn id="10" name="复测负责人"/>
    <x:tableColumn id="11" name="复测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8:M84" headerRowCount="1" totalsRowCount="0" totalsRowShown="0">
  <x:autoFilter ref="A8:M84"/>
  <x:tableColumns count="13">
    <x:tableColumn id="1" name="用例ID"/>
    <x:tableColumn id="2" name="源序号/行"/>
    <x:tableColumn id="3" name="业务区域"/>
    <x:tableColumn id="4" name="源优先级"/>
    <x:tableColumn id="5" name="场景"/>
    <x:tableColumn id="6" name="类型"/>
    <x:tableColumn id="7" name="前置条件"/>
    <x:tableColumn id="8" name="操作步骤"/>
    <x:tableColumn id="9" name="可观察预期"/>
    <x:tableColumn id="10" name="准入状态"/>
    <x:tableColumn id="11" name="依据"/>
    <x:tableColumn id="12" name="负责人"/>
    <x:tableColumn id="13" name="执行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" displayName="Table3" ref="A8:N21" headerRowCount="1" totalsRowCount="0" totalsRowShown="0">
  <x:autoFilter ref="A8:N21"/>
  <x:tableColumns count="14">
    <x:tableColumn id="1" name="事项ID"/>
    <x:tableColumn id="2" name="建议优先级"/>
    <x:tableColumn id="3" name="判定类型"/>
    <x:tableColumn id="4" name="问题/待决事项"/>
    <x:tableColumn id="5" name="证据与实际表现"/>
    <x:tableColumn id="6" name="修改或裁决要求"/>
    <x:tableColumn id="7" name="承接角色"/>
    <x:tableColumn id="8" name="依据"/>
    <x:tableColumn id="9" name="定位"/>
    <x:tableColumn id="10" name="关联用例"/>
    <x:tableColumn id="11" name="复测判据"/>
    <x:tableColumn id="12" name="处理状态"/>
    <x:tableColumn id="13" name="负责人"/>
    <x:tableColumn id="14" name="复测结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8:E24" headerRowCount="1" totalsRowCount="0" totalsRowShown="0">
  <x:autoFilter ref="A8:E24"/>
  <x:tableColumns count="5">
    <x:tableColumn id="1" name="章节"/>
    <x:tableColumn id="2" name="维度"/>
    <x:tableColumn id="3" name="基线值或规则"/>
    <x:tableColumn id="4" name="关联检查/用例"/>
    <x:tableColumn id="5" name="修改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5" displayName="Table5" ref="A8:J32" headerRowCount="1" totalsRowCount="0" totalsRowShown="0">
  <x:autoFilter ref="A8:J32"/>
  <x:tableColumns count="10">
    <x:tableColumn id="1" name="引用ID"/>
    <x:tableColumn id="2" name="record_id"/>
    <x:tableColumn id="3" name="页面/模块"/>
    <x:tableColumn id="4" name="原始优先级"/>
    <x:tableColumn id="5" name="原始确认状态"/>
    <x:tableColumn id="6" name="框架适配判断"/>
    <x:tableColumn id="7" name="当前原型问题"/>
    <x:tableColumn id="8" name="Review建议"/>
    <x:tableColumn id="9" name="后续处理建议"/>
    <x:tableColumn id="10" name="处理角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b8129c378e40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d2ff90a5d0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7eb152f68748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383b88f1984f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a03f1de9b5243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70d05b7d2544c2" /></Relationships>
</file>

<file path=xl/worksheets/sheet1.xml><?xml version="1.0" encoding="utf-8"?>
<x:worksheet xmlns:x="http://schemas.openxmlformats.org/spreadsheetml/2006/main">
  <x:sheetPr>
    <x:tabColor rgb="FF233B6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.130000114440918" hidden="0" customWidth="1"/>
    <x:col min="2" max="2" width="8.130000114440918" hidden="0" customWidth="1"/>
    <x:col min="3" max="3" width="19.3799991607666" hidden="0" customWidth="1"/>
    <x:col min="4" max="4" width="36.880001068115234" hidden="0" customWidth="1"/>
    <x:col min="5" max="5" width="18.75" hidden="0" customWidth="1"/>
    <x:col min="6" max="6" width="9.75" hidden="0" customWidth="1"/>
    <x:col min="7" max="7" width="9.75" hidden="0" customWidth="1"/>
    <x:col min="8" max="8" width="28.1299991607666" hidden="0" customWidth="1"/>
    <x:col min="9" max="9" width="27.5" hidden="0" customWidth="1"/>
    <x:col min="10" max="10" width="23.75" hidden="0" customWidth="1"/>
    <x:col min="11" max="11" width="29.3799991607666" hidden="0" customWidth="1"/>
    <x:col min="12" max="12" width="12.5" hidden="0" customWidth="1"/>
    <x:col min="13" max="13" width="13.75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7" customHeight="1">
      <x:c r="A2" s="5" t="str">
        <x:v>SN318 本周 UI 与交互审查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1" customHeight="1">
      <x:c r="A3" s="6" t="str">
        <x:v>W2：2026-10-12—10-16｜取证：2026-10-13｜本地通用模板 + 最新飞书资料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1" customHeight="1">
      <x:c r="A4" s="3" t="str">
        <x:v>UI/开项</x:v>
      </x:c>
      <x:c r="B4" s="3" t="n">
        <x:f>COUNTIF(G9:G70,"UI/开")</x:f>
        <x:v>38</x:v>
      </x:c>
      <x:c r="C4" s="3" t="str">
        <x:v>需求阶段项</x:v>
      </x:c>
      <x:c r="D4" s="3" t="n">
        <x:f>COUNTIF(G9:G70,"需")</x:f>
        <x:v>24</x:v>
      </x:c>
      <x:c r="E4" s="3" t="str">
        <x:v>业务用例</x:v>
      </x:c>
      <x:c r="F4" s="3" t="n">
        <x:f>COUNTA(业务UI用例!A9:A84)</x:f>
        <x:v>76</x:v>
      </x:c>
      <x:c r="G4" s="3" t="str">
        <x:v>待安排修改</x:v>
      </x:c>
      <x:c r="H4" s="3" t="n">
        <x:f>COUNTIF(修改与待决!L9:L21,"待安排")</x:f>
        <x:v>13</x:v>
      </x:c>
      <x:c r="I4" s="3"/>
      <x:c r="J4" s="3"/>
      <x:c r="K4" s="3"/>
      <x:c r="L4" s="3"/>
      <x:c r="M4" s="3"/>
    </x:row>
    <x:row r="5" ht="21" customHeight="1">
      <x:c r="A5" s="4" t="str">
        <x:v>38项中26项源标PRD，12项为原型条件项；其余24项仅梳理需求。通用模板不含业务页属于环境边界。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21" customHeight="1">
      <x:c r="A6" s="4" t="str">
        <x:v>建议：10/13确认基线与模板差异；10/14完成优先修改/规范裁决；10/15接入业务页复测；10/16汇总。负责人及承诺时间待团队安排。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</x:row>
    <x:row r="7" ht="21" customHeight="1">
      <x:c r="A7" s="6" t="str">
        <x:v>浅黄色为后续人工填写/更新区；表头带筛选，横向滚动时前两列保留。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14"/>
    </x:row>
    <x:row r="8" ht="31.5" customHeight="1">
      <x:c r="A8" s="10" t="str">
        <x:v>源序号</x:v>
      </x:c>
      <x:c r="B8" s="10" t="str">
        <x:v>原表行</x:v>
      </x:c>
      <x:c r="C8" s="10" t="str">
        <x:v>业务区域</x:v>
      </x:c>
      <x:c r="D8" s="10" t="str">
        <x:v>工作包</x:v>
      </x:c>
      <x:c r="E8" s="10" t="str">
        <x:v>原始来源</x:v>
      </x:c>
      <x:c r="F8" s="10" t="str">
        <x:v>原优先级</x:v>
      </x:c>
      <x:c r="G8" s="10" t="str">
        <x:v>W2阶段</x:v>
      </x:c>
      <x:c r="H8" s="10" t="str">
        <x:v>本周工作</x:v>
      </x:c>
      <x:c r="I8" s="10" t="str">
        <x:v>前置门槛</x:v>
      </x:c>
      <x:c r="J8" s="10" t="str">
        <x:v>关联用例</x:v>
      </x:c>
      <x:c r="K8" s="10" t="str">
        <x:v>业务执行边界</x:v>
      </x:c>
      <x:c r="L8" s="10" t="str">
        <x:v>负责人</x:v>
      </x:c>
      <x:c r="M8" s="10" t="str">
        <x:v>任务状态</x:v>
      </x:c>
    </x:row>
    <x:row r="9" ht="41.25" customHeight="1">
      <x:c r="A9" s="11" t="n">
        <x:v>1</x:v>
      </x:c>
      <x:c r="B9" s="11" t="n">
        <x:v>5</x:v>
      </x:c>
      <x:c r="C9" s="11" t="str">
        <x:v>服务单元</x:v>
      </x:c>
      <x:c r="D9" s="11" t="str">
        <x:v>服务单元列表与筛选</x:v>
      </x:c>
      <x:c r="E9" s="11" t="str">
        <x:v>PRD</x:v>
      </x:c>
      <x:c r="F9" s="11" t="str">
        <x:v>P0</x:v>
      </x:c>
      <x:c r="G9" s="11" t="str">
        <x:v>UI/开</x:v>
      </x:c>
      <x:c r="H9" s="11" t="str">
        <x:v>以通用模板作对照，执行映射的业务UI用例</x:v>
      </x:c>
      <x:c r="I9" s="11" t="str">
        <x:v>PRD项：接业务页后执行</x:v>
      </x:c>
      <x:c r="J9" s="11" t="str">
        <x:v>W2-01-1、W2-01-2</x:v>
      </x:c>
      <x:c r="K9" s="11" t="str">
        <x:v>未执行（通用模板不含该业务页面）</x:v>
      </x:c>
      <x:c r="L9" s="13" t="str"/>
      <x:c r="M9" s="13" t="str">
        <x:v>待安排</x:v>
      </x:c>
    </x:row>
    <x:row r="10" ht="41.25" customHeight="1">
      <x:c r="A10" s="12" t="n">
        <x:v>2</x:v>
      </x:c>
      <x:c r="B10" s="12" t="n">
        <x:v>6</x:v>
      </x:c>
      <x:c r="C10" s="12" t="str">
        <x:v>服务单元</x:v>
      </x:c>
      <x:c r="D10" s="12" t="str">
        <x:v>服务单元批量操作</x:v>
      </x:c>
      <x:c r="E10" s="12" t="str">
        <x:v>PRD</x:v>
      </x:c>
      <x:c r="F10" s="12" t="str">
        <x:v>P0</x:v>
      </x:c>
      <x:c r="G10" s="12" t="str">
        <x:v>UI/开</x:v>
      </x:c>
      <x:c r="H10" s="12" t="str">
        <x:v>以通用模板作对照，执行映射的业务UI用例</x:v>
      </x:c>
      <x:c r="I10" s="12" t="str">
        <x:v>PRD项：接业务页后执行</x:v>
      </x:c>
      <x:c r="J10" s="12" t="str">
        <x:v>W2-02-1、W2-02-2</x:v>
      </x:c>
      <x:c r="K10" s="12" t="str">
        <x:v>未执行（通用模板不含该业务页面）</x:v>
      </x:c>
      <x:c r="L10" s="13" t="str"/>
      <x:c r="M10" s="13" t="str">
        <x:v>待安排</x:v>
      </x:c>
    </x:row>
    <x:row r="11" ht="41.25" customHeight="1">
      <x:c r="A11" s="11" t="n">
        <x:v>3</x:v>
      </x:c>
      <x:c r="B11" s="11" t="n">
        <x:v>7</x:v>
      </x:c>
      <x:c r="C11" s="11" t="str">
        <x:v>服务单元</x:v>
      </x:c>
      <x:c r="D11" s="11" t="str">
        <x:v>新增/编辑服务单元（弹窗）</x:v>
      </x:c>
      <x:c r="E11" s="11" t="str">
        <x:v>PRD</x:v>
      </x:c>
      <x:c r="F11" s="11" t="str">
        <x:v>P0</x:v>
      </x:c>
      <x:c r="G11" s="11" t="str">
        <x:v>UI/开</x:v>
      </x:c>
      <x:c r="H11" s="11" t="str">
        <x:v>以通用模板作对照，执行映射的业务UI用例</x:v>
      </x:c>
      <x:c r="I11" s="11" t="str">
        <x:v>PRD项：先裁决相关交互基线，再接业务页</x:v>
      </x:c>
      <x:c r="J11" s="11" t="str">
        <x:v>W2-03-1、W2-03-2</x:v>
      </x:c>
      <x:c r="K11" s="11" t="str">
        <x:v>未执行（通用模板不含该业务页面）</x:v>
      </x:c>
      <x:c r="L11" s="13" t="str"/>
      <x:c r="M11" s="13" t="str">
        <x:v>待安排</x:v>
      </x:c>
    </x:row>
    <x:row r="12" ht="41.25" customHeight="1">
      <x:c r="A12" s="12" t="n">
        <x:v>4</x:v>
      </x:c>
      <x:c r="B12" s="12" t="n">
        <x:v>8</x:v>
      </x:c>
      <x:c r="C12" s="12" t="str">
        <x:v>服务单元</x:v>
      </x:c>
      <x:c r="D12" s="12" t="str">
        <x:v>服务单元详情（只读）</x:v>
      </x:c>
      <x:c r="E12" s="12" t="str">
        <x:v>PRD</x:v>
      </x:c>
      <x:c r="F12" s="12" t="str">
        <x:v>P1</x:v>
      </x:c>
      <x:c r="G12" s="12" t="str">
        <x:v>UI/开</x:v>
      </x:c>
      <x:c r="H12" s="12" t="str">
        <x:v>以通用模板作对照，执行映射的业务UI用例</x:v>
      </x:c>
      <x:c r="I12" s="12" t="str">
        <x:v>PRD项：先裁决相关交互基线，再接业务页</x:v>
      </x:c>
      <x:c r="J12" s="12" t="str">
        <x:v>W2-04-1、W2-04-2</x:v>
      </x:c>
      <x:c r="K12" s="12" t="str">
        <x:v>未执行（通用模板不含该业务页面）</x:v>
      </x:c>
      <x:c r="L12" s="13" t="str"/>
      <x:c r="M12" s="13" t="str">
        <x:v>待安排</x:v>
      </x:c>
    </x:row>
    <x:row r="13" ht="41.25" customHeight="1">
      <x:c r="A13" s="11" t="n">
        <x:v>5</x:v>
      </x:c>
      <x:c r="B13" s="11" t="n">
        <x:v>9</x:v>
      </x:c>
      <x:c r="C13" s="11" t="str">
        <x:v>服务单元</x:v>
      </x:c>
      <x:c r="D13" s="11" t="str">
        <x:v>禁用编排/启用 与产品引用关系</x:v>
      </x:c>
      <x:c r="E13" s="11" t="str">
        <x:v>PRD</x:v>
      </x:c>
      <x:c r="F13" s="11" t="str">
        <x:v>P0</x:v>
      </x:c>
      <x:c r="G13" s="11" t="str">
        <x:v>UI/开</x:v>
      </x:c>
      <x:c r="H13" s="11" t="str">
        <x:v>以通用模板作对照，执行映射的业务UI用例</x:v>
      </x:c>
      <x:c r="I13" s="11" t="str">
        <x:v>PRD项：接业务页后执行</x:v>
      </x:c>
      <x:c r="J13" s="11" t="str">
        <x:v>W2-05-1、W2-05-2</x:v>
      </x:c>
      <x:c r="K13" s="11" t="str">
        <x:v>未执行（通用模板不含该业务页面）</x:v>
      </x:c>
      <x:c r="L13" s="13" t="str"/>
      <x:c r="M13" s="13" t="str">
        <x:v>待安排</x:v>
      </x:c>
    </x:row>
    <x:row r="14" ht="41.25" customHeight="1">
      <x:c r="A14" s="12" t="n">
        <x:v>6</x:v>
      </x:c>
      <x:c r="B14" s="12" t="n">
        <x:v>10</x:v>
      </x:c>
      <x:c r="C14" s="12" t="str">
        <x:v>服务单元</x:v>
      </x:c>
      <x:c r="D14" s="12" t="str">
        <x:v>AI 报价建档（三套方案 + 四步流程）</x:v>
      </x:c>
      <x:c r="E14" s="12" t="str">
        <x:v>原型</x:v>
      </x:c>
      <x:c r="F14" s="12" t="str">
        <x:v>P0</x:v>
      </x:c>
      <x:c r="G14" s="12" t="str">
        <x:v>需</x:v>
      </x:c>
      <x:c r="H14" s="12" t="str">
        <x:v>确认业务范围、原型路径与验收口径</x:v>
      </x:c>
      <x:c r="I14" s="12" t="str">
        <x:v>需求梳理，不进入本周UI执行</x:v>
      </x:c>
      <x:c r="J14" s="12" t="str"/>
      <x:c r="K14" s="12" t="str">
        <x:v>不纳入UI执行统计</x:v>
      </x:c>
      <x:c r="L14" s="13" t="str"/>
      <x:c r="M14" s="13" t="str">
        <x:v>待安排</x:v>
      </x:c>
    </x:row>
    <x:row r="15" ht="41.25" customHeight="1">
      <x:c r="A15" s="11" t="n">
        <x:v>7</x:v>
      </x:c>
      <x:c r="B15" s="11" t="n">
        <x:v>11</x:v>
      </x:c>
      <x:c r="C15" s="11" t="str">
        <x:v>服务组合</x:v>
      </x:c>
      <x:c r="D15" s="11" t="str">
        <x:v>服务组合列表页</x:v>
      </x:c>
      <x:c r="E15" s="11" t="str">
        <x:v>PRD</x:v>
      </x:c>
      <x:c r="F15" s="11" t="str">
        <x:v>P0</x:v>
      </x:c>
      <x:c r="G15" s="11" t="str">
        <x:v>UI/开</x:v>
      </x:c>
      <x:c r="H15" s="11" t="str">
        <x:v>以通用模板作对照，执行映射的业务UI用例</x:v>
      </x:c>
      <x:c r="I15" s="11" t="str">
        <x:v>PRD项：接业务页后执行</x:v>
      </x:c>
      <x:c r="J15" s="11" t="str">
        <x:v>W2-07-1、W2-07-2</x:v>
      </x:c>
      <x:c r="K15" s="11" t="str">
        <x:v>未执行（通用模板不含该业务页面）</x:v>
      </x:c>
      <x:c r="L15" s="13" t="str"/>
      <x:c r="M15" s="13" t="str">
        <x:v>待安排</x:v>
      </x:c>
    </x:row>
    <x:row r="16" ht="41.25" customHeight="1">
      <x:c r="A16" s="12" t="n">
        <x:v>8</x:v>
      </x:c>
      <x:c r="B16" s="12" t="n">
        <x:v>12</x:v>
      </x:c>
      <x:c r="C16" s="12" t="str">
        <x:v>服务组合</x:v>
      </x:c>
      <x:c r="D16" s="12" t="str">
        <x:v>新增/编辑服务组合</x:v>
      </x:c>
      <x:c r="E16" s="12" t="str">
        <x:v>PRD</x:v>
      </x:c>
      <x:c r="F16" s="12" t="str">
        <x:v>P0</x:v>
      </x:c>
      <x:c r="G16" s="12" t="str">
        <x:v>UI/开</x:v>
      </x:c>
      <x:c r="H16" s="12" t="str">
        <x:v>以通用模板作对照，执行映射的业务UI用例</x:v>
      </x:c>
      <x:c r="I16" s="12" t="str">
        <x:v>PRD项：接业务页后执行</x:v>
      </x:c>
      <x:c r="J16" s="12" t="str">
        <x:v>W2-08-1、W2-08-2</x:v>
      </x:c>
      <x:c r="K16" s="12" t="str">
        <x:v>未执行（通用模板不含该业务页面）</x:v>
      </x:c>
      <x:c r="L16" s="13" t="str"/>
      <x:c r="M16" s="13" t="str">
        <x:v>待安排</x:v>
      </x:c>
    </x:row>
    <x:row r="17" ht="41.25" customHeight="1">
      <x:c r="A17" s="11" t="n">
        <x:v>9</x:v>
      </x:c>
      <x:c r="B17" s="11" t="n">
        <x:v>13</x:v>
      </x:c>
      <x:c r="C17" s="11" t="str">
        <x:v>服务组合</x:v>
      </x:c>
      <x:c r="D17" s="11" t="str">
        <x:v>详情与历史版本（只读）</x:v>
      </x:c>
      <x:c r="E17" s="11" t="str">
        <x:v>PRD</x:v>
      </x:c>
      <x:c r="F17" s="11" t="str">
        <x:v>P1</x:v>
      </x:c>
      <x:c r="G17" s="11" t="str">
        <x:v>UI/开</x:v>
      </x:c>
      <x:c r="H17" s="11" t="str">
        <x:v>以通用模板作对照，执行映射的业务UI用例</x:v>
      </x:c>
      <x:c r="I17" s="11" t="str">
        <x:v>PRD项：接业务页后执行</x:v>
      </x:c>
      <x:c r="J17" s="11" t="str">
        <x:v>W2-09-1、W2-09-2</x:v>
      </x:c>
      <x:c r="K17" s="11" t="str">
        <x:v>未执行（通用模板不含该业务页面）</x:v>
      </x:c>
      <x:c r="L17" s="13" t="str"/>
      <x:c r="M17" s="13" t="str">
        <x:v>待安排</x:v>
      </x:c>
    </x:row>
    <x:row r="18" ht="41.25" customHeight="1">
      <x:c r="A18" s="12" t="n">
        <x:v>10</x:v>
      </x:c>
      <x:c r="B18" s="12" t="n">
        <x:v>14</x:v>
      </x:c>
      <x:c r="C18" s="12" t="str">
        <x:v>服务组合</x:v>
      </x:c>
      <x:c r="D18" s="12" t="str">
        <x:v>删除引用校验与并发控制</x:v>
      </x:c>
      <x:c r="E18" s="12" t="str">
        <x:v>PRD</x:v>
      </x:c>
      <x:c r="F18" s="12" t="str">
        <x:v>P1</x:v>
      </x:c>
      <x:c r="G18" s="12" t="str">
        <x:v>UI/开</x:v>
      </x:c>
      <x:c r="H18" s="12" t="str">
        <x:v>以通用模板作对照，执行映射的业务UI用例</x:v>
      </x:c>
      <x:c r="I18" s="12" t="str">
        <x:v>PRD项：接业务页后执行</x:v>
      </x:c>
      <x:c r="J18" s="12" t="str">
        <x:v>W2-10-1、W2-10-2</x:v>
      </x:c>
      <x:c r="K18" s="12" t="str">
        <x:v>未执行（通用模板不含该业务页面）</x:v>
      </x:c>
      <x:c r="L18" s="13" t="str"/>
      <x:c r="M18" s="13" t="str">
        <x:v>待安排</x:v>
      </x:c>
    </x:row>
    <x:row r="19" ht="41.25" customHeight="1">
      <x:c r="A19" s="11" t="n">
        <x:v>11</x:v>
      </x:c>
      <x:c r="B19" s="11" t="n">
        <x:v>15</x:v>
      </x:c>
      <x:c r="C19" s="11" t="str">
        <x:v>策略配置</x:v>
      </x:c>
      <x:c r="D19" s="11" t="str">
        <x:v>策略列表/详情</x:v>
      </x:c>
      <x:c r="E19" s="11" t="str">
        <x:v>PRD</x:v>
      </x:c>
      <x:c r="F19" s="11" t="str">
        <x:v>P0</x:v>
      </x:c>
      <x:c r="G19" s="11" t="str">
        <x:v>UI/开</x:v>
      </x:c>
      <x:c r="H19" s="11" t="str">
        <x:v>以通用模板作对照，执行映射的业务UI用例</x:v>
      </x:c>
      <x:c r="I19" s="11" t="str">
        <x:v>PRD项：接业务页后执行</x:v>
      </x:c>
      <x:c r="J19" s="11" t="str">
        <x:v>W2-11-1、W2-11-2</x:v>
      </x:c>
      <x:c r="K19" s="11" t="str">
        <x:v>未执行（通用模板不含该业务页面）</x:v>
      </x:c>
      <x:c r="L19" s="13" t="str"/>
      <x:c r="M19" s="13" t="str">
        <x:v>待安排</x:v>
      </x:c>
    </x:row>
    <x:row r="20" ht="41.25" customHeight="1">
      <x:c r="A20" s="12" t="n">
        <x:v>12</x:v>
      </x:c>
      <x:c r="B20" s="12" t="n">
        <x:v>16</x:v>
      </x:c>
      <x:c r="C20" s="12" t="str">
        <x:v>成本价卡</x:v>
      </x:c>
      <x:c r="D20" s="12" t="str">
        <x:v>成本价卡列表页</x:v>
      </x:c>
      <x:c r="E20" s="12" t="str">
        <x:v>PRD</x:v>
      </x:c>
      <x:c r="F20" s="12" t="str">
        <x:v>P0</x:v>
      </x:c>
      <x:c r="G20" s="12" t="str">
        <x:v>UI/开</x:v>
      </x:c>
      <x:c r="H20" s="12" t="str">
        <x:v>以通用模板作对照，执行映射的业务UI用例</x:v>
      </x:c>
      <x:c r="I20" s="12" t="str">
        <x:v>PRD项：接业务页后执行</x:v>
      </x:c>
      <x:c r="J20" s="12" t="str">
        <x:v>W2-12-1、W2-12-2</x:v>
      </x:c>
      <x:c r="K20" s="12" t="str">
        <x:v>未执行（通用模板不含该业务页面）</x:v>
      </x:c>
      <x:c r="L20" s="13" t="str"/>
      <x:c r="M20" s="13" t="str">
        <x:v>待安排</x:v>
      </x:c>
    </x:row>
    <x:row r="21" ht="41.25" customHeight="1">
      <x:c r="A21" s="11" t="n">
        <x:v>13</x:v>
      </x:c>
      <x:c r="B21" s="11" t="n">
        <x:v>17</x:v>
      </x:c>
      <x:c r="C21" s="11" t="str">
        <x:v>成本价卡</x:v>
      </x:c>
      <x:c r="D21" s="11" t="str">
        <x:v>新增/编辑成本价卡-价卡头</x:v>
      </x:c>
      <x:c r="E21" s="11" t="str">
        <x:v>PRD</x:v>
      </x:c>
      <x:c r="F21" s="11" t="str">
        <x:v>P0</x:v>
      </x:c>
      <x:c r="G21" s="11" t="str">
        <x:v>UI/开</x:v>
      </x:c>
      <x:c r="H21" s="11" t="str">
        <x:v>以通用模板作对照，执行映射的业务UI用例</x:v>
      </x:c>
      <x:c r="I21" s="11" t="str">
        <x:v>PRD项：接业务页后执行</x:v>
      </x:c>
      <x:c r="J21" s="11" t="str">
        <x:v>W2-13-1、W2-13-2</x:v>
      </x:c>
      <x:c r="K21" s="11" t="str">
        <x:v>未执行（通用模板不含该业务页面）</x:v>
      </x:c>
      <x:c r="L21" s="13" t="str"/>
      <x:c r="M21" s="13" t="str">
        <x:v>待安排</x:v>
      </x:c>
    </x:row>
    <x:row r="22" ht="41.25" customHeight="1">
      <x:c r="A22" s="12" t="n">
        <x:v>14</x:v>
      </x:c>
      <x:c r="B22" s="12" t="n">
        <x:v>18</x:v>
      </x:c>
      <x:c r="C22" s="12" t="str">
        <x:v>成本价卡</x:v>
      </x:c>
      <x:c r="D22" s="12" t="str">
        <x:v>价卡计费明细字段配置</x:v>
      </x:c>
      <x:c r="E22" s="12" t="str">
        <x:v>PRD</x:v>
      </x:c>
      <x:c r="F22" s="12" t="str">
        <x:v>P0</x:v>
      </x:c>
      <x:c r="G22" s="12" t="str">
        <x:v>UI/开</x:v>
      </x:c>
      <x:c r="H22" s="12" t="str">
        <x:v>以通用模板作对照，执行映射的业务UI用例</x:v>
      </x:c>
      <x:c r="I22" s="12" t="str">
        <x:v>PRD项：接业务页后执行</x:v>
      </x:c>
      <x:c r="J22" s="12" t="str">
        <x:v>W2-14-1、W2-14-2</x:v>
      </x:c>
      <x:c r="K22" s="12" t="str">
        <x:v>未执行（通用模板不含该业务页面）</x:v>
      </x:c>
      <x:c r="L22" s="13" t="str"/>
      <x:c r="M22" s="13" t="str">
        <x:v>待安排</x:v>
      </x:c>
    </x:row>
    <x:row r="23" ht="41.25" customHeight="1">
      <x:c r="A23" s="11" t="n">
        <x:v>15</x:v>
      </x:c>
      <x:c r="B23" s="11" t="n">
        <x:v>19</x:v>
      </x:c>
      <x:c r="C23" s="11" t="str">
        <x:v>成本价卡</x:v>
      </x:c>
      <x:c r="D23" s="11" t="str">
        <x:v>计费明细行操作与校验</x:v>
      </x:c>
      <x:c r="E23" s="11" t="str">
        <x:v>PRD</x:v>
      </x:c>
      <x:c r="F23" s="11" t="str">
        <x:v>P0</x:v>
      </x:c>
      <x:c r="G23" s="11" t="str">
        <x:v>UI/开</x:v>
      </x:c>
      <x:c r="H23" s="11" t="str">
        <x:v>以通用模板作对照，执行映射的业务UI用例</x:v>
      </x:c>
      <x:c r="I23" s="11" t="str">
        <x:v>PRD项：先裁决相关交互基线，再接业务页</x:v>
      </x:c>
      <x:c r="J23" s="11" t="str">
        <x:v>W2-15-1、W2-15-2</x:v>
      </x:c>
      <x:c r="K23" s="11" t="str">
        <x:v>未执行（通用模板不含该业务页面）</x:v>
      </x:c>
      <x:c r="L23" s="13" t="str"/>
      <x:c r="M23" s="13" t="str">
        <x:v>待安排</x:v>
      </x:c>
    </x:row>
    <x:row r="24" ht="41.25" customHeight="1">
      <x:c r="A24" s="12" t="n">
        <x:v>16</x:v>
      </x:c>
      <x:c r="B24" s="12" t="n">
        <x:v>20</x:v>
      </x:c>
      <x:c r="C24" s="12" t="str">
        <x:v>成本价卡</x:v>
      </x:c>
      <x:c r="D24" s="12" t="str">
        <x:v>计价范围选择器（起终点分区）</x:v>
      </x:c>
      <x:c r="E24" s="12" t="str">
        <x:v>PRD</x:v>
      </x:c>
      <x:c r="F24" s="12" t="str">
        <x:v>P0</x:v>
      </x:c>
      <x:c r="G24" s="12" t="str">
        <x:v>UI/开</x:v>
      </x:c>
      <x:c r="H24" s="12" t="str">
        <x:v>以通用模板作对照，执行映射的业务UI用例</x:v>
      </x:c>
      <x:c r="I24" s="12" t="str">
        <x:v>PRD项：接业务页后执行</x:v>
      </x:c>
      <x:c r="J24" s="12" t="str">
        <x:v>W2-16-1、W2-16-2</x:v>
      </x:c>
      <x:c r="K24" s="12" t="str">
        <x:v>未执行（通用模板不含该业务页面）</x:v>
      </x:c>
      <x:c r="L24" s="13" t="str"/>
      <x:c r="M24" s="13" t="str">
        <x:v>待安排</x:v>
      </x:c>
    </x:row>
    <x:row r="25" ht="41.25" customHeight="1">
      <x:c r="A25" s="11" t="n">
        <x:v>17</x:v>
      </x:c>
      <x:c r="B25" s="11" t="n">
        <x:v>21</x:v>
      </x:c>
      <x:c r="C25" s="11" t="str">
        <x:v>成本价卡</x:v>
      </x:c>
      <x:c r="D25" s="11" t="str">
        <x:v>成本价卡批量生成（计费要素模板五步）</x:v>
      </x:c>
      <x:c r="E25" s="11" t="str">
        <x:v>原型（待确认）</x:v>
      </x:c>
      <x:c r="F25" s="11" t="str">
        <x:v>P1</x:v>
      </x:c>
      <x:c r="G25" s="11" t="str">
        <x:v>UI/开</x:v>
      </x:c>
      <x:c r="H25" s="11" t="str">
        <x:v>以通用模板作对照，执行映射的业务UI用例</x:v>
      </x:c>
      <x:c r="I25" s="11" t="str">
        <x:v>条件项：先评审PRD/入口</x:v>
      </x:c>
      <x:c r="J25" s="11" t="str">
        <x:v>W2-17-1、W2-17-2</x:v>
      </x:c>
      <x:c r="K25" s="11" t="str">
        <x:v>未执行（通用模板不含该业务页面）</x:v>
      </x:c>
      <x:c r="L25" s="13" t="str"/>
      <x:c r="M25" s="13" t="str">
        <x:v>待安排</x:v>
      </x:c>
    </x:row>
    <x:row r="26" ht="41.25" customHeight="1">
      <x:c r="A26" s="12" t="n">
        <x:v>18</x:v>
      </x:c>
      <x:c r="B26" s="12" t="n">
        <x:v>22</x:v>
      </x:c>
      <x:c r="C26" s="12" t="str">
        <x:v>成本价卡</x:v>
      </x:c>
      <x:c r="D26" s="12" t="str">
        <x:v>计费要素模板维护</x:v>
      </x:c>
      <x:c r="E26" s="12" t="str">
        <x:v>原型（待确认）</x:v>
      </x:c>
      <x:c r="F26" s="12" t="str">
        <x:v>P1</x:v>
      </x:c>
      <x:c r="G26" s="12" t="str">
        <x:v>UI/开</x:v>
      </x:c>
      <x:c r="H26" s="12" t="str">
        <x:v>以通用模板作对照，执行映射的业务UI用例</x:v>
      </x:c>
      <x:c r="I26" s="12" t="str">
        <x:v>条件项：先评审PRD/入口</x:v>
      </x:c>
      <x:c r="J26" s="12" t="str">
        <x:v>W2-18-1、W2-18-2</x:v>
      </x:c>
      <x:c r="K26" s="12" t="str">
        <x:v>未执行（通用模板不含该业务页面）</x:v>
      </x:c>
      <x:c r="L26" s="13" t="str"/>
      <x:c r="M26" s="13" t="str">
        <x:v>待安排</x:v>
      </x:c>
    </x:row>
    <x:row r="27" ht="41.25" customHeight="1">
      <x:c r="A27" s="11" t="n">
        <x:v>19</x:v>
      </x:c>
      <x:c r="B27" s="11" t="n">
        <x:v>23</x:v>
      </x:c>
      <x:c r="C27" s="11" t="str">
        <x:v>成本价卡</x:v>
      </x:c>
      <x:c r="D27" s="11" t="str">
        <x:v>成本价卡导入（Excel / AI 文件导入四步）</x:v>
      </x:c>
      <x:c r="E27" s="11" t="str">
        <x:v>原型</x:v>
      </x:c>
      <x:c r="F27" s="11" t="str">
        <x:v>P0</x:v>
      </x:c>
      <x:c r="G27" s="11" t="str">
        <x:v>UI/开</x:v>
      </x:c>
      <x:c r="H27" s="11" t="str">
        <x:v>以通用模板作对照，执行映射的业务UI用例</x:v>
      </x:c>
      <x:c r="I27" s="11" t="str">
        <x:v>条件项：先评审PRD/入口</x:v>
      </x:c>
      <x:c r="J27" s="11" t="str">
        <x:v>W2-19-1、W2-19-2</x:v>
      </x:c>
      <x:c r="K27" s="11" t="str">
        <x:v>未执行（通用模板不含该业务页面）</x:v>
      </x:c>
      <x:c r="L27" s="13" t="str"/>
      <x:c r="M27" s="13" t="str">
        <x:v>待安排</x:v>
      </x:c>
    </x:row>
    <x:row r="28" ht="41.25" customHeight="1">
      <x:c r="A28" s="12" t="n">
        <x:v>20</x:v>
      </x:c>
      <x:c r="B28" s="12" t="n">
        <x:v>24</x:v>
      </x:c>
      <x:c r="C28" s="12" t="str">
        <x:v>成本价卡</x:v>
      </x:c>
      <x:c r="D28" s="12" t="str">
        <x:v>成本价卡高级复制与覆盖</x:v>
      </x:c>
      <x:c r="E28" s="12" t="str">
        <x:v>原型（无入口）</x:v>
      </x:c>
      <x:c r="F28" s="12" t="str">
        <x:v>P1</x:v>
      </x:c>
      <x:c r="G28" s="12" t="str">
        <x:v>UI/开</x:v>
      </x:c>
      <x:c r="H28" s="12" t="str">
        <x:v>以通用模板作对照，执行映射的业务UI用例</x:v>
      </x:c>
      <x:c r="I28" s="12" t="str">
        <x:v>条件项：先评审PRD/入口</x:v>
      </x:c>
      <x:c r="J28" s="12" t="str">
        <x:v>W2-20-1、W2-20-2</x:v>
      </x:c>
      <x:c r="K28" s="12" t="str">
        <x:v>未执行（通用模板不含该业务页面）</x:v>
      </x:c>
      <x:c r="L28" s="13" t="str"/>
      <x:c r="M28" s="13" t="str">
        <x:v>待安排</x:v>
      </x:c>
    </x:row>
    <x:row r="29" ht="41.25" customHeight="1">
      <x:c r="A29" s="11" t="n">
        <x:v>21</x:v>
      </x:c>
      <x:c r="B29" s="11" t="n">
        <x:v>25</x:v>
      </x:c>
      <x:c r="C29" s="11" t="str">
        <x:v>成本价卡</x:v>
      </x:c>
      <x:c r="D29" s="11" t="str">
        <x:v>成本价卡校验</x:v>
      </x:c>
      <x:c r="E29" s="11" t="str">
        <x:v>原型（无入口）</x:v>
      </x:c>
      <x:c r="F29" s="11" t="str">
        <x:v>P1</x:v>
      </x:c>
      <x:c r="G29" s="11" t="str">
        <x:v>UI/开</x:v>
      </x:c>
      <x:c r="H29" s="11" t="str">
        <x:v>以通用模板作对照，执行映射的业务UI用例</x:v>
      </x:c>
      <x:c r="I29" s="11" t="str">
        <x:v>条件项：先评审PRD/入口</x:v>
      </x:c>
      <x:c r="J29" s="11" t="str">
        <x:v>W2-21-1、W2-21-2</x:v>
      </x:c>
      <x:c r="K29" s="11" t="str">
        <x:v>未执行（通用模板不含该业务页面）</x:v>
      </x:c>
      <x:c r="L29" s="13" t="str"/>
      <x:c r="M29" s="13" t="str">
        <x:v>待安排</x:v>
      </x:c>
    </x:row>
    <x:row r="30" ht="41.25" customHeight="1">
      <x:c r="A30" s="12" t="n">
        <x:v>22</x:v>
      </x:c>
      <x:c r="B30" s="12" t="n">
        <x:v>26</x:v>
      </x:c>
      <x:c r="C30" s="12" t="str">
        <x:v>地点与Zone（分区维护）</x:v>
      </x:c>
      <x:c r="D30" s="12" t="str">
        <x:v>地点与邮编页签</x:v>
      </x:c>
      <x:c r="E30" s="12" t="str">
        <x:v>PRD</x:v>
      </x:c>
      <x:c r="F30" s="12" t="str">
        <x:v>P0</x:v>
      </x:c>
      <x:c r="G30" s="12" t="str">
        <x:v>UI/开</x:v>
      </x:c>
      <x:c r="H30" s="12" t="str">
        <x:v>以通用模板作对照，执行映射的业务UI用例</x:v>
      </x:c>
      <x:c r="I30" s="12" t="str">
        <x:v>PRD项：接业务页后执行</x:v>
      </x:c>
      <x:c r="J30" s="12" t="str">
        <x:v>W2-22-1、W2-22-2</x:v>
      </x:c>
      <x:c r="K30" s="12" t="str">
        <x:v>未执行（通用模板不含该业务页面）</x:v>
      </x:c>
      <x:c r="L30" s="13" t="str"/>
      <x:c r="M30" s="13" t="str">
        <x:v>待安排</x:v>
      </x:c>
    </x:row>
    <x:row r="31" ht="41.25" customHeight="1">
      <x:c r="A31" s="11" t="n">
        <x:v>23</x:v>
      </x:c>
      <x:c r="B31" s="11" t="n">
        <x:v>27</x:v>
      </x:c>
      <x:c r="C31" s="11" t="str">
        <x:v>地点与Zone（分区维护）</x:v>
      </x:c>
      <x:c r="D31" s="11" t="str">
        <x:v>Zone 清单页签</x:v>
      </x:c>
      <x:c r="E31" s="11" t="str">
        <x:v>PRD</x:v>
      </x:c>
      <x:c r="F31" s="11" t="str">
        <x:v>P0</x:v>
      </x:c>
      <x:c r="G31" s="11" t="str">
        <x:v>UI/开</x:v>
      </x:c>
      <x:c r="H31" s="11" t="str">
        <x:v>以通用模板作对照，执行映射的业务UI用例</x:v>
      </x:c>
      <x:c r="I31" s="11" t="str">
        <x:v>PRD项：接业务页后执行</x:v>
      </x:c>
      <x:c r="J31" s="11" t="str">
        <x:v>W2-23-1、W2-23-2</x:v>
      </x:c>
      <x:c r="K31" s="11" t="str">
        <x:v>未执行（通用模板不含该业务页面）</x:v>
      </x:c>
      <x:c r="L31" s="13" t="str"/>
      <x:c r="M31" s="13" t="str">
        <x:v>待安排</x:v>
      </x:c>
    </x:row>
    <x:row r="32" ht="41.25" customHeight="1">
      <x:c r="A32" s="12" t="n">
        <x:v>24</x:v>
      </x:c>
      <x:c r="B32" s="12" t="n">
        <x:v>28</x:v>
      </x:c>
      <x:c r="C32" s="12" t="str">
        <x:v>地点与Zone（分区维护）</x:v>
      </x:c>
      <x:c r="D32" s="12" t="str">
        <x:v>导入地点与邮编（批量）</x:v>
      </x:c>
      <x:c r="E32" s="12" t="str">
        <x:v>PRD</x:v>
      </x:c>
      <x:c r="F32" s="12" t="str">
        <x:v>P1</x:v>
      </x:c>
      <x:c r="G32" s="12" t="str">
        <x:v>UI/开</x:v>
      </x:c>
      <x:c r="H32" s="12" t="str">
        <x:v>以通用模板作对照，执行映射的业务UI用例</x:v>
      </x:c>
      <x:c r="I32" s="12" t="str">
        <x:v>PRD项：接业务页后执行</x:v>
      </x:c>
      <x:c r="J32" s="12" t="str">
        <x:v>W2-24-1、W2-24-2</x:v>
      </x:c>
      <x:c r="K32" s="12" t="str">
        <x:v>未执行（通用模板不含该业务页面）</x:v>
      </x:c>
      <x:c r="L32" s="13" t="str"/>
      <x:c r="M32" s="13" t="str">
        <x:v>待安排</x:v>
      </x:c>
    </x:row>
    <x:row r="33" ht="41.25" customHeight="1">
      <x:c r="A33" s="11" t="n">
        <x:v>25</x:v>
      </x:c>
      <x:c r="B33" s="11" t="n">
        <x:v>29</x:v>
      </x:c>
      <x:c r="C33" s="11" t="str">
        <x:v>地点与Zone（分区维护）</x:v>
      </x:c>
      <x:c r="D33" s="11" t="str">
        <x:v>可复用邮编组</x:v>
      </x:c>
      <x:c r="E33" s="11" t="str">
        <x:v>原型</x:v>
      </x:c>
      <x:c r="F33" s="11" t="str">
        <x:v>P1</x:v>
      </x:c>
      <x:c r="G33" s="11" t="str">
        <x:v>UI/开</x:v>
      </x:c>
      <x:c r="H33" s="11" t="str">
        <x:v>以通用模板作对照，执行映射的业务UI用例</x:v>
      </x:c>
      <x:c r="I33" s="11" t="str">
        <x:v>条件项：先评审PRD/入口</x:v>
      </x:c>
      <x:c r="J33" s="11" t="str">
        <x:v>W2-25-1、W2-25-2</x:v>
      </x:c>
      <x:c r="K33" s="11" t="str">
        <x:v>未执行（通用模板不含该业务页面）</x:v>
      </x:c>
      <x:c r="L33" s="13" t="str"/>
      <x:c r="M33" s="13" t="str">
        <x:v>待安排</x:v>
      </x:c>
    </x:row>
    <x:row r="34" ht="41.25" customHeight="1">
      <x:c r="A34" s="12" t="n">
        <x:v>26</x:v>
      </x:c>
      <x:c r="B34" s="12" t="n">
        <x:v>30</x:v>
      </x:c>
      <x:c r="C34" s="12" t="str">
        <x:v>燃油费规则</x:v>
      </x:c>
      <x:c r="D34" s="12" t="str">
        <x:v>燃油费规则列表</x:v>
      </x:c>
      <x:c r="E34" s="12" t="str">
        <x:v>PRD</x:v>
      </x:c>
      <x:c r="F34" s="12" t="str">
        <x:v>P0</x:v>
      </x:c>
      <x:c r="G34" s="12" t="str">
        <x:v>UI/开</x:v>
      </x:c>
      <x:c r="H34" s="12" t="str">
        <x:v>以通用模板作对照，执行映射的业务UI用例</x:v>
      </x:c>
      <x:c r="I34" s="12" t="str">
        <x:v>PRD项：接业务页后执行</x:v>
      </x:c>
      <x:c r="J34" s="12" t="str">
        <x:v>W2-26-1、W2-26-2</x:v>
      </x:c>
      <x:c r="K34" s="12" t="str">
        <x:v>未执行（通用模板不含该业务页面）</x:v>
      </x:c>
      <x:c r="L34" s="13" t="str"/>
      <x:c r="M34" s="13" t="str">
        <x:v>待安排</x:v>
      </x:c>
    </x:row>
    <x:row r="35" ht="41.25" customHeight="1">
      <x:c r="A35" s="11" t="n">
        <x:v>27</x:v>
      </x:c>
      <x:c r="B35" s="11" t="n">
        <x:v>31</x:v>
      </x:c>
      <x:c r="C35" s="11" t="str">
        <x:v>燃油费规则</x:v>
      </x:c>
      <x:c r="D35" s="11" t="str">
        <x:v>新增/编辑燃油费规则</x:v>
      </x:c>
      <x:c r="E35" s="11" t="str">
        <x:v>PRD</x:v>
      </x:c>
      <x:c r="F35" s="11" t="str">
        <x:v>P0</x:v>
      </x:c>
      <x:c r="G35" s="11" t="str">
        <x:v>UI/开</x:v>
      </x:c>
      <x:c r="H35" s="11" t="str">
        <x:v>以通用模板作对照，执行映射的业务UI用例</x:v>
      </x:c>
      <x:c r="I35" s="11" t="str">
        <x:v>PRD项：接业务页后执行</x:v>
      </x:c>
      <x:c r="J35" s="11" t="str">
        <x:v>W2-27-1、W2-27-2</x:v>
      </x:c>
      <x:c r="K35" s="11" t="str">
        <x:v>未执行（通用模板不含该业务页面）</x:v>
      </x:c>
      <x:c r="L35" s="13" t="str"/>
      <x:c r="M35" s="13" t="str">
        <x:v>待安排</x:v>
      </x:c>
    </x:row>
    <x:row r="36" ht="41.25" customHeight="1">
      <x:c r="A36" s="12" t="n">
        <x:v>28</x:v>
      </x:c>
      <x:c r="B36" s="12" t="n">
        <x:v>32</x:v>
      </x:c>
      <x:c r="C36" s="12" t="str">
        <x:v>分区管理</x:v>
      </x:c>
      <x:c r="D36" s="12" t="str">
        <x:v>分区维护（Zone / 分区类型）</x:v>
      </x:c>
      <x:c r="E36" s="12" t="str">
        <x:v>原型</x:v>
      </x:c>
      <x:c r="F36" s="12" t="str">
        <x:v>P0</x:v>
      </x:c>
      <x:c r="G36" s="12" t="str">
        <x:v>UI/开</x:v>
      </x:c>
      <x:c r="H36" s="12" t="str">
        <x:v>以通用模板作对照，执行映射的业务UI用例</x:v>
      </x:c>
      <x:c r="I36" s="12" t="str">
        <x:v>条件项：先评审PRD/入口</x:v>
      </x:c>
      <x:c r="J36" s="12" t="str">
        <x:v>W2-28-1、W2-28-2</x:v>
      </x:c>
      <x:c r="K36" s="12" t="str">
        <x:v>未执行（通用模板不含该业务页面）</x:v>
      </x:c>
      <x:c r="L36" s="13" t="str"/>
      <x:c r="M36" s="13" t="str">
        <x:v>待安排</x:v>
      </x:c>
    </x:row>
    <x:row r="37" ht="41.25" customHeight="1">
      <x:c r="A37" s="11" t="n">
        <x:v>29</x:v>
      </x:c>
      <x:c r="B37" s="11" t="n">
        <x:v>33</x:v>
      </x:c>
      <x:c r="C37" s="11" t="str">
        <x:v>分区管理</x:v>
      </x:c>
      <x:c r="D37" s="11" t="str">
        <x:v>分区价格表与价卡引用</x:v>
      </x:c>
      <x:c r="E37" s="11" t="str">
        <x:v>原型</x:v>
      </x:c>
      <x:c r="F37" s="11" t="str">
        <x:v>P1</x:v>
      </x:c>
      <x:c r="G37" s="11" t="str">
        <x:v>UI/开</x:v>
      </x:c>
      <x:c r="H37" s="11" t="str">
        <x:v>以通用模板作对照，执行映射的业务UI用例</x:v>
      </x:c>
      <x:c r="I37" s="11" t="str">
        <x:v>条件项：先评审PRD/入口</x:v>
      </x:c>
      <x:c r="J37" s="11" t="str">
        <x:v>W2-29-1、W2-29-2</x:v>
      </x:c>
      <x:c r="K37" s="11" t="str">
        <x:v>未执行（通用模板不含该业务页面）</x:v>
      </x:c>
      <x:c r="L37" s="13" t="str"/>
      <x:c r="M37" s="13" t="str">
        <x:v>待安排</x:v>
      </x:c>
    </x:row>
    <x:row r="38" ht="41.25" customHeight="1">
      <x:c r="A38" s="12" t="n">
        <x:v>30</x:v>
      </x:c>
      <x:c r="B38" s="12" t="n">
        <x:v>34</x:v>
      </x:c>
      <x:c r="C38" s="12" t="str">
        <x:v>产品编排</x:v>
      </x:c>
      <x:c r="D38" s="12" t="str">
        <x:v>按服务范围选择履约能力</x:v>
      </x:c>
      <x:c r="E38" s="12" t="str">
        <x:v>PRD</x:v>
      </x:c>
      <x:c r="F38" s="12" t="str">
        <x:v>P0</x:v>
      </x:c>
      <x:c r="G38" s="12" t="str">
        <x:v>需</x:v>
      </x:c>
      <x:c r="H38" s="12" t="str">
        <x:v>确认业务范围、原型路径与验收口径</x:v>
      </x:c>
      <x:c r="I38" s="12" t="str">
        <x:v>需求梳理，不进入本周UI执行</x:v>
      </x:c>
      <x:c r="J38" s="12" t="str"/>
      <x:c r="K38" s="12" t="str">
        <x:v>不纳入UI执行统计</x:v>
      </x:c>
      <x:c r="L38" s="13" t="str"/>
      <x:c r="M38" s="13" t="str">
        <x:v>待安排</x:v>
      </x:c>
    </x:row>
    <x:row r="39" ht="41.25" customHeight="1">
      <x:c r="A39" s="11" t="n">
        <x:v>31</x:v>
      </x:c>
      <x:c r="B39" s="11" t="n">
        <x:v>35</x:v>
      </x:c>
      <x:c r="C39" s="11" t="str">
        <x:v>产品编排</x:v>
      </x:c>
      <x:c r="D39" s="11" t="str">
        <x:v>履约流程画布（节点与排序）</x:v>
      </x:c>
      <x:c r="E39" s="11" t="str">
        <x:v>PRD</x:v>
      </x:c>
      <x:c r="F39" s="11" t="str">
        <x:v>P0</x:v>
      </x:c>
      <x:c r="G39" s="11" t="str">
        <x:v>需</x:v>
      </x:c>
      <x:c r="H39" s="11" t="str">
        <x:v>确认业务范围、原型路径与验收口径</x:v>
      </x:c>
      <x:c r="I39" s="11" t="str">
        <x:v>需求梳理，不进入本周UI执行</x:v>
      </x:c>
      <x:c r="J39" s="11" t="str"/>
      <x:c r="K39" s="11" t="str">
        <x:v>不纳入UI执行统计</x:v>
      </x:c>
      <x:c r="L39" s="13" t="str"/>
      <x:c r="M39" s="13" t="str">
        <x:v>待安排</x:v>
      </x:c>
    </x:row>
    <x:row r="40" ht="41.25" customHeight="1">
      <x:c r="A40" s="12" t="n">
        <x:v>32</x:v>
      </x:c>
      <x:c r="B40" s="12" t="n">
        <x:v>36</x:v>
      </x:c>
      <x:c r="C40" s="12" t="str">
        <x:v>产品编排</x:v>
      </x:c>
      <x:c r="D40" s="12" t="str">
        <x:v>产品基础信息</x:v>
      </x:c>
      <x:c r="E40" s="12" t="str">
        <x:v>PRD</x:v>
      </x:c>
      <x:c r="F40" s="12" t="str">
        <x:v>P0</x:v>
      </x:c>
      <x:c r="G40" s="12" t="str">
        <x:v>需</x:v>
      </x:c>
      <x:c r="H40" s="12" t="str">
        <x:v>确认业务范围、原型路径与验收口径</x:v>
      </x:c>
      <x:c r="I40" s="12" t="str">
        <x:v>需求梳理，不进入本周UI执行</x:v>
      </x:c>
      <x:c r="J40" s="12" t="str"/>
      <x:c r="K40" s="12" t="str">
        <x:v>不纳入UI执行统计</x:v>
      </x:c>
      <x:c r="L40" s="13" t="str"/>
      <x:c r="M40" s="13" t="str">
        <x:v>待安排</x:v>
      </x:c>
    </x:row>
    <x:row r="41" ht="41.25" customHeight="1">
      <x:c r="A41" s="11" t="n">
        <x:v>33</x:v>
      </x:c>
      <x:c r="B41" s="11" t="n">
        <x:v>37</x:v>
      </x:c>
      <x:c r="C41" s="11" t="str">
        <x:v>产品编排</x:v>
      </x:c>
      <x:c r="D41" s="11" t="str">
        <x:v>产品业务成本价卡</x:v>
      </x:c>
      <x:c r="E41" s="11" t="str">
        <x:v>PRD</x:v>
      </x:c>
      <x:c r="F41" s="11" t="str">
        <x:v>P0</x:v>
      </x:c>
      <x:c r="G41" s="11" t="str">
        <x:v>需</x:v>
      </x:c>
      <x:c r="H41" s="11" t="str">
        <x:v>确认业务范围、原型路径与验收口径</x:v>
      </x:c>
      <x:c r="I41" s="11" t="str">
        <x:v>需求梳理，不进入本周UI执行</x:v>
      </x:c>
      <x:c r="J41" s="11" t="str"/>
      <x:c r="K41" s="11" t="str">
        <x:v>不纳入UI执行统计</x:v>
      </x:c>
      <x:c r="L41" s="13" t="str"/>
      <x:c r="M41" s="13" t="str">
        <x:v>待安排</x:v>
      </x:c>
    </x:row>
    <x:row r="42" ht="41.25" customHeight="1">
      <x:c r="A42" s="12" t="n">
        <x:v>34</x:v>
      </x:c>
      <x:c r="B42" s="12" t="n">
        <x:v>38</x:v>
      </x:c>
      <x:c r="C42" s="12" t="str">
        <x:v>产品编排</x:v>
      </x:c>
      <x:c r="D42" s="12" t="str">
        <x:v>下单限制聚合（只读）</x:v>
      </x:c>
      <x:c r="E42" s="12" t="str">
        <x:v>PRD</x:v>
      </x:c>
      <x:c r="F42" s="12" t="str">
        <x:v>P1</x:v>
      </x:c>
      <x:c r="G42" s="12" t="str">
        <x:v>需</x:v>
      </x:c>
      <x:c r="H42" s="12" t="str">
        <x:v>确认业务范围、原型路径与验收口径</x:v>
      </x:c>
      <x:c r="I42" s="12" t="str">
        <x:v>需求梳理，不进入本周UI执行</x:v>
      </x:c>
      <x:c r="J42" s="12" t="str"/>
      <x:c r="K42" s="12" t="str">
        <x:v>不纳入UI执行统计</x:v>
      </x:c>
      <x:c r="L42" s="13" t="str"/>
      <x:c r="M42" s="13" t="str">
        <x:v>待安排</x:v>
      </x:c>
    </x:row>
    <x:row r="43" ht="41.25" customHeight="1">
      <x:c r="A43" s="11" t="n">
        <x:v>35</x:v>
      </x:c>
      <x:c r="B43" s="11" t="n">
        <x:v>39</x:v>
      </x:c>
      <x:c r="C43" s="11" t="str">
        <x:v>产品编排</x:v>
      </x:c>
      <x:c r="D43" s="11" t="str">
        <x:v>底部操作与产品状态机</x:v>
      </x:c>
      <x:c r="E43" s="11" t="str">
        <x:v>PRD</x:v>
      </x:c>
      <x:c r="F43" s="11" t="str">
        <x:v>P0</x:v>
      </x:c>
      <x:c r="G43" s="11" t="str">
        <x:v>需</x:v>
      </x:c>
      <x:c r="H43" s="11" t="str">
        <x:v>确认业务范围、原型路径与验收口径</x:v>
      </x:c>
      <x:c r="I43" s="11" t="str">
        <x:v>需求梳理，不进入本周UI执行</x:v>
      </x:c>
      <x:c r="J43" s="11" t="str"/>
      <x:c r="K43" s="11" t="str">
        <x:v>不纳入UI执行统计</x:v>
      </x:c>
      <x:c r="L43" s="13" t="str"/>
      <x:c r="M43" s="13" t="str">
        <x:v>待安排</x:v>
      </x:c>
    </x:row>
    <x:row r="44" ht="41.25" customHeight="1">
      <x:c r="A44" s="12" t="n">
        <x:v>36</x:v>
      </x:c>
      <x:c r="B44" s="12" t="n">
        <x:v>40</x:v>
      </x:c>
      <x:c r="C44" s="12" t="str">
        <x:v>产品编排</x:v>
      </x:c>
      <x:c r="D44" s="12" t="str">
        <x:v>联动视图与下单限制联动保存</x:v>
      </x:c>
      <x:c r="E44" s="12" t="str">
        <x:v>原型</x:v>
      </x:c>
      <x:c r="F44" s="12" t="str">
        <x:v>P1</x:v>
      </x:c>
      <x:c r="G44" s="12" t="str">
        <x:v>需</x:v>
      </x:c>
      <x:c r="H44" s="12" t="str">
        <x:v>确认业务范围、原型路径与验收口径</x:v>
      </x:c>
      <x:c r="I44" s="12" t="str">
        <x:v>需求梳理，不进入本周UI执行</x:v>
      </x:c>
      <x:c r="J44" s="12" t="str"/>
      <x:c r="K44" s="12" t="str">
        <x:v>不纳入UI执行统计</x:v>
      </x:c>
      <x:c r="L44" s="13" t="str"/>
      <x:c r="M44" s="13" t="str">
        <x:v>待安排</x:v>
      </x:c>
    </x:row>
    <x:row r="45" ht="41.25" customHeight="1">
      <x:c r="A45" s="11" t="n">
        <x:v>37</x:v>
      </x:c>
      <x:c r="B45" s="11" t="n">
        <x:v>41</x:v>
      </x:c>
      <x:c r="C45" s="11" t="str">
        <x:v>产品编排</x:v>
      </x:c>
      <x:c r="D45" s="11" t="str">
        <x:v>服务范围覆盖校验提示</x:v>
      </x:c>
      <x:c r="E45" s="11" t="str">
        <x:v>原型</x:v>
      </x:c>
      <x:c r="F45" s="11" t="str">
        <x:v>P1</x:v>
      </x:c>
      <x:c r="G45" s="11" t="str">
        <x:v>需</x:v>
      </x:c>
      <x:c r="H45" s="11" t="str">
        <x:v>确认业务范围、原型路径与验收口径</x:v>
      </x:c>
      <x:c r="I45" s="11" t="str">
        <x:v>需求梳理，不进入本周UI执行</x:v>
      </x:c>
      <x:c r="J45" s="11" t="str"/>
      <x:c r="K45" s="11" t="str">
        <x:v>不纳入UI执行统计</x:v>
      </x:c>
      <x:c r="L45" s="13" t="str"/>
      <x:c r="M45" s="13" t="str">
        <x:v>待安排</x:v>
      </x:c>
    </x:row>
    <x:row r="46" ht="41.25" customHeight="1">
      <x:c r="A46" s="12" t="n">
        <x:v>41</x:v>
      </x:c>
      <x:c r="B46" s="12" t="n">
        <x:v>45</x:v>
      </x:c>
      <x:c r="C46" s="12" t="str">
        <x:v>计算模拟</x:v>
      </x:c>
      <x:c r="D46" s="12" t="str">
        <x:v>固定试算参数</x:v>
      </x:c>
      <x:c r="E46" s="12" t="str">
        <x:v>PRD</x:v>
      </x:c>
      <x:c r="F46" s="12" t="str">
        <x:v>P0</x:v>
      </x:c>
      <x:c r="G46" s="12" t="str">
        <x:v>需</x:v>
      </x:c>
      <x:c r="H46" s="12" t="str">
        <x:v>确认业务范围、原型路径与验收口径</x:v>
      </x:c>
      <x:c r="I46" s="12" t="str">
        <x:v>需求梳理，不进入本周UI执行</x:v>
      </x:c>
      <x:c r="J46" s="12" t="str"/>
      <x:c r="K46" s="12" t="str">
        <x:v>不纳入UI执行统计</x:v>
      </x:c>
      <x:c r="L46" s="13" t="str"/>
      <x:c r="M46" s="13" t="str">
        <x:v>待安排</x:v>
      </x:c>
    </x:row>
    <x:row r="47" ht="41.25" customHeight="1">
      <x:c r="A47" s="11" t="n">
        <x:v>42</x:v>
      </x:c>
      <x:c r="B47" s="11" t="n">
        <x:v>46</x:v>
      </x:c>
      <x:c r="C47" s="11" t="str">
        <x:v>计算模拟</x:v>
      </x:c>
      <x:c r="D47" s="11" t="str">
        <x:v>动态试算字段（按覆盖范围生成）</x:v>
      </x:c>
      <x:c r="E47" s="11" t="str">
        <x:v>PRD</x:v>
      </x:c>
      <x:c r="F47" s="11" t="str">
        <x:v>P0</x:v>
      </x:c>
      <x:c r="G47" s="11" t="str">
        <x:v>需</x:v>
      </x:c>
      <x:c r="H47" s="11" t="str">
        <x:v>确认业务范围、原型路径与验收口径</x:v>
      </x:c>
      <x:c r="I47" s="11" t="str">
        <x:v>需求梳理，不进入本周UI执行</x:v>
      </x:c>
      <x:c r="J47" s="11" t="str"/>
      <x:c r="K47" s="11" t="str">
        <x:v>不纳入UI执行统计</x:v>
      </x:c>
      <x:c r="L47" s="13" t="str"/>
      <x:c r="M47" s="13" t="str">
        <x:v>待安排</x:v>
      </x:c>
    </x:row>
    <x:row r="48" ht="41.25" customHeight="1">
      <x:c r="A48" s="12" t="n">
        <x:v>43</x:v>
      </x:c>
      <x:c r="B48" s="12" t="n">
        <x:v>47</x:v>
      </x:c>
      <x:c r="C48" s="12" t="str">
        <x:v>计算模拟</x:v>
      </x:c>
      <x:c r="D48" s="12" t="str">
        <x:v>跨范围共享-货物基本信息</x:v>
      </x:c>
      <x:c r="E48" s="12" t="str">
        <x:v>PRD</x:v>
      </x:c>
      <x:c r="F48" s="12" t="str">
        <x:v>P0</x:v>
      </x:c>
      <x:c r="G48" s="12" t="str">
        <x:v>需</x:v>
      </x:c>
      <x:c r="H48" s="12" t="str">
        <x:v>确认业务范围、原型路径与验收口径</x:v>
      </x:c>
      <x:c r="I48" s="12" t="str">
        <x:v>需求梳理，不进入本周UI执行</x:v>
      </x:c>
      <x:c r="J48" s="12" t="str"/>
      <x:c r="K48" s="12" t="str">
        <x:v>不纳入UI执行统计</x:v>
      </x:c>
      <x:c r="L48" s="13" t="str"/>
      <x:c r="M48" s="13" t="str">
        <x:v>待安排</x:v>
      </x:c>
    </x:row>
    <x:row r="49" ht="41.25" customHeight="1">
      <x:c r="A49" s="11" t="n">
        <x:v>44</x:v>
      </x:c>
      <x:c r="B49" s="11" t="n">
        <x:v>48</x:v>
      </x:c>
      <x:c r="C49" s="11" t="str">
        <x:v>计算模拟</x:v>
      </x:c>
      <x:c r="D49" s="11" t="str">
        <x:v>执行计算校验</x:v>
      </x:c>
      <x:c r="E49" s="11" t="str">
        <x:v>PRD</x:v>
      </x:c>
      <x:c r="F49" s="11" t="str">
        <x:v>P0</x:v>
      </x:c>
      <x:c r="G49" s="11" t="str">
        <x:v>需</x:v>
      </x:c>
      <x:c r="H49" s="11" t="str">
        <x:v>确认业务范围、原型路径与验收口径</x:v>
      </x:c>
      <x:c r="I49" s="11" t="str">
        <x:v>需求梳理，不进入本周UI执行</x:v>
      </x:c>
      <x:c r="J49" s="11" t="str"/>
      <x:c r="K49" s="11" t="str">
        <x:v>不纳入UI执行统计</x:v>
      </x:c>
      <x:c r="L49" s="13" t="str"/>
      <x:c r="M49" s="13" t="str">
        <x:v>待安排</x:v>
      </x:c>
    </x:row>
    <x:row r="50" ht="41.25" customHeight="1">
      <x:c r="A50" s="12" t="n">
        <x:v>45</x:v>
      </x:c>
      <x:c r="B50" s="12" t="n">
        <x:v>49</x:v>
      </x:c>
      <x:c r="C50" s="12" t="str">
        <x:v>计算模拟</x:v>
      </x:c>
      <x:c r="D50" s="12" t="str">
        <x:v>计算结果展示</x:v>
      </x:c>
      <x:c r="E50" s="12" t="str">
        <x:v>PRD</x:v>
      </x:c>
      <x:c r="F50" s="12" t="str">
        <x:v>P0</x:v>
      </x:c>
      <x:c r="G50" s="12" t="str">
        <x:v>需</x:v>
      </x:c>
      <x:c r="H50" s="12" t="str">
        <x:v>确认业务范围、原型路径与验收口径</x:v>
      </x:c>
      <x:c r="I50" s="12" t="str">
        <x:v>需求梳理，不进入本周UI执行</x:v>
      </x:c>
      <x:c r="J50" s="12" t="str"/>
      <x:c r="K50" s="12" t="str">
        <x:v>不纳入UI执行统计</x:v>
      </x:c>
      <x:c r="L50" s="13" t="str"/>
      <x:c r="M50" s="13" t="str">
        <x:v>待安排</x:v>
      </x:c>
    </x:row>
    <x:row r="51" ht="41.25" customHeight="1">
      <x:c r="A51" s="11" t="n">
        <x:v>46</x:v>
      </x:c>
      <x:c r="B51" s="11" t="n">
        <x:v>50</x:v>
      </x:c>
      <x:c r="C51" s="11" t="str">
        <x:v>计费历史</x:v>
      </x:c>
      <x:c r="D51" s="11" t="str">
        <x:v>计费历史列表</x:v>
      </x:c>
      <x:c r="E51" s="11" t="str">
        <x:v>PRD</x:v>
      </x:c>
      <x:c r="F51" s="11" t="str">
        <x:v>P1</x:v>
      </x:c>
      <x:c r="G51" s="11" t="str">
        <x:v>需</x:v>
      </x:c>
      <x:c r="H51" s="11" t="str">
        <x:v>确认业务范围、原型路径与验收口径</x:v>
      </x:c>
      <x:c r="I51" s="11" t="str">
        <x:v>需求梳理，不进入本周UI执行</x:v>
      </x:c>
      <x:c r="J51" s="11" t="str"/>
      <x:c r="K51" s="11" t="str">
        <x:v>不纳入UI执行统计</x:v>
      </x:c>
      <x:c r="L51" s="13" t="str"/>
      <x:c r="M51" s="13" t="str">
        <x:v>待安排</x:v>
      </x:c>
    </x:row>
    <x:row r="52" ht="41.25" customHeight="1">
      <x:c r="A52" s="12" t="n">
        <x:v>47</x:v>
      </x:c>
      <x:c r="B52" s="12" t="n">
        <x:v>51</x:v>
      </x:c>
      <x:c r="C52" s="12" t="str">
        <x:v>计费历史</x:v>
      </x:c>
      <x:c r="D52" s="12" t="str">
        <x:v>费用明细详情弹窗</x:v>
      </x:c>
      <x:c r="E52" s="12" t="str">
        <x:v>PRD</x:v>
      </x:c>
      <x:c r="F52" s="12" t="str">
        <x:v>P1</x:v>
      </x:c>
      <x:c r="G52" s="12" t="str">
        <x:v>需</x:v>
      </x:c>
      <x:c r="H52" s="12" t="str">
        <x:v>确认业务范围、原型路径与验收口径</x:v>
      </x:c>
      <x:c r="I52" s="12" t="str">
        <x:v>需求梳理，不进入本周UI执行</x:v>
      </x:c>
      <x:c r="J52" s="12" t="str"/>
      <x:c r="K52" s="12" t="str">
        <x:v>不纳入UI执行统计</x:v>
      </x:c>
      <x:c r="L52" s="13" t="str"/>
      <x:c r="M52" s="13" t="str">
        <x:v>待安排</x:v>
      </x:c>
    </x:row>
    <x:row r="53" ht="41.25" customHeight="1">
      <x:c r="A53" s="11" t="n">
        <x:v>48</x:v>
      </x:c>
      <x:c r="B53" s="11" t="n">
        <x:v>52</x:v>
      </x:c>
      <x:c r="C53" s="11" t="str">
        <x:v>计费历史</x:v>
      </x:c>
      <x:c r="D53" s="11" t="str">
        <x:v>重新计费与差异对比</x:v>
      </x:c>
      <x:c r="E53" s="11" t="str">
        <x:v>PRD</x:v>
      </x:c>
      <x:c r="F53" s="11" t="str">
        <x:v>P1</x:v>
      </x:c>
      <x:c r="G53" s="11" t="str">
        <x:v>需</x:v>
      </x:c>
      <x:c r="H53" s="11" t="str">
        <x:v>确认业务范围、原型路径与验收口径</x:v>
      </x:c>
      <x:c r="I53" s="11" t="str">
        <x:v>需求梳理，不进入本周UI执行</x:v>
      </x:c>
      <x:c r="J53" s="11" t="str"/>
      <x:c r="K53" s="11" t="str">
        <x:v>不纳入UI执行统计</x:v>
      </x:c>
      <x:c r="L53" s="13" t="str"/>
      <x:c r="M53" s="13" t="str">
        <x:v>待安排</x:v>
      </x:c>
    </x:row>
    <x:row r="54" ht="41.25" customHeight="1">
      <x:c r="A54" s="12" t="n">
        <x:v>49</x:v>
      </x:c>
      <x:c r="B54" s="12" t="n">
        <x:v>53</x:v>
      </x:c>
      <x:c r="C54" s="12" t="str">
        <x:v>计费历史</x:v>
      </x:c>
      <x:c r="D54" s="12" t="str">
        <x:v>计费快照保存</x:v>
      </x:c>
      <x:c r="E54" s="12" t="str">
        <x:v>PRD</x:v>
      </x:c>
      <x:c r="F54" s="12" t="str">
        <x:v>P0</x:v>
      </x:c>
      <x:c r="G54" s="12" t="str">
        <x:v>需</x:v>
      </x:c>
      <x:c r="H54" s="12" t="str">
        <x:v>确认业务范围、原型路径与验收口径</x:v>
      </x:c>
      <x:c r="I54" s="12" t="str">
        <x:v>需求梳理，不进入本周UI执行</x:v>
      </x:c>
      <x:c r="J54" s="12" t="str"/>
      <x:c r="K54" s="12" t="str">
        <x:v>不纳入UI执行统计</x:v>
      </x:c>
      <x:c r="L54" s="13" t="str"/>
      <x:c r="M54" s="13" t="str">
        <x:v>待安排</x:v>
      </x:c>
    </x:row>
    <x:row r="55" ht="41.25" customHeight="1">
      <x:c r="A55" s="11" t="n">
        <x:v>50</x:v>
      </x:c>
      <x:c r="B55" s="11" t="n">
        <x:v>54</x:v>
      </x:c>
      <x:c r="C55" s="11" t="str">
        <x:v>产品管理参数配置</x:v>
      </x:c>
      <x:c r="D55" s="11" t="str">
        <x:v>费用项</x:v>
      </x:c>
      <x:c r="E55" s="11" t="str">
        <x:v>PRD</x:v>
      </x:c>
      <x:c r="F55" s="11" t="str">
        <x:v>P0</x:v>
      </x:c>
      <x:c r="G55" s="11" t="str">
        <x:v>UI/开</x:v>
      </x:c>
      <x:c r="H55" s="11" t="str">
        <x:v>以通用模板作对照，执行映射的业务UI用例</x:v>
      </x:c>
      <x:c r="I55" s="11" t="str">
        <x:v>PRD项：接业务页后执行</x:v>
      </x:c>
      <x:c r="J55" s="11" t="str">
        <x:v>W2-50-1、W2-50-2</x:v>
      </x:c>
      <x:c r="K55" s="11" t="str">
        <x:v>未执行（通用模板不含该业务页面）</x:v>
      </x:c>
      <x:c r="L55" s="13" t="str"/>
      <x:c r="M55" s="13" t="str">
        <x:v>待安排</x:v>
      </x:c>
    </x:row>
    <x:row r="56" ht="41.25" customHeight="1">
      <x:c r="A56" s="12" t="n">
        <x:v>51</x:v>
      </x:c>
      <x:c r="B56" s="12" t="n">
        <x:v>55</x:v>
      </x:c>
      <x:c r="C56" s="12" t="str">
        <x:v>产品管理参数配置</x:v>
      </x:c>
      <x:c r="D56" s="12" t="str">
        <x:v>币种与汇率</x:v>
      </x:c>
      <x:c r="E56" s="12" t="str">
        <x:v>PRD</x:v>
      </x:c>
      <x:c r="F56" s="12" t="str">
        <x:v>P0</x:v>
      </x:c>
      <x:c r="G56" s="12" t="str">
        <x:v>UI/开</x:v>
      </x:c>
      <x:c r="H56" s="12" t="str">
        <x:v>以通用模板作对照，执行映射的业务UI用例</x:v>
      </x:c>
      <x:c r="I56" s="12" t="str">
        <x:v>PRD项：接业务页后执行</x:v>
      </x:c>
      <x:c r="J56" s="12" t="str">
        <x:v>W2-51-1、W2-51-2</x:v>
      </x:c>
      <x:c r="K56" s="12" t="str">
        <x:v>未执行（通用模板不含该业务页面）</x:v>
      </x:c>
      <x:c r="L56" s="13" t="str"/>
      <x:c r="M56" s="13" t="str">
        <x:v>待安排</x:v>
      </x:c>
    </x:row>
    <x:row r="57" ht="41.25" customHeight="1">
      <x:c r="A57" s="11" t="n">
        <x:v>52</x:v>
      </x:c>
      <x:c r="B57" s="11" t="n">
        <x:v>56</x:v>
      </x:c>
      <x:c r="C57" s="11" t="str">
        <x:v>产品管理参数配置</x:v>
      </x:c>
      <x:c r="D57" s="11" t="str">
        <x:v>服务段</x:v>
      </x:c>
      <x:c r="E57" s="11" t="str">
        <x:v>PRD</x:v>
      </x:c>
      <x:c r="F57" s="11" t="str">
        <x:v>P1</x:v>
      </x:c>
      <x:c r="G57" s="11" t="str">
        <x:v>UI/开</x:v>
      </x:c>
      <x:c r="H57" s="11" t="str">
        <x:v>以通用模板作对照，执行映射的业务UI用例</x:v>
      </x:c>
      <x:c r="I57" s="11" t="str">
        <x:v>PRD项：接业务页后执行</x:v>
      </x:c>
      <x:c r="J57" s="11" t="str">
        <x:v>W2-52-1、W2-52-2</x:v>
      </x:c>
      <x:c r="K57" s="11" t="str">
        <x:v>未执行（通用模板不含该业务页面）</x:v>
      </x:c>
      <x:c r="L57" s="13" t="str"/>
      <x:c r="M57" s="13" t="str">
        <x:v>待安排</x:v>
      </x:c>
    </x:row>
    <x:row r="58" ht="41.25" customHeight="1">
      <x:c r="A58" s="12" t="n">
        <x:v>53</x:v>
      </x:c>
      <x:c r="B58" s="12" t="n">
        <x:v>57</x:v>
      </x:c>
      <x:c r="C58" s="12" t="str">
        <x:v>产品管理参数配置</x:v>
      </x:c>
      <x:c r="D58" s="12" t="str">
        <x:v>计费要素</x:v>
      </x:c>
      <x:c r="E58" s="12" t="str">
        <x:v>PRD</x:v>
      </x:c>
      <x:c r="F58" s="12" t="str">
        <x:v>P0</x:v>
      </x:c>
      <x:c r="G58" s="12" t="str">
        <x:v>UI/开</x:v>
      </x:c>
      <x:c r="H58" s="12" t="str">
        <x:v>以通用模板作对照，执行映射的业务UI用例</x:v>
      </x:c>
      <x:c r="I58" s="12" t="str">
        <x:v>PRD项：接业务页后执行</x:v>
      </x:c>
      <x:c r="J58" s="12" t="str">
        <x:v>W2-53-1、W2-53-2</x:v>
      </x:c>
      <x:c r="K58" s="12" t="str">
        <x:v>未执行（通用模板不含该业务页面）</x:v>
      </x:c>
      <x:c r="L58" s="13" t="str"/>
      <x:c r="M58" s="13" t="str">
        <x:v>待安排</x:v>
      </x:c>
    </x:row>
    <x:row r="59" ht="41.25" customHeight="1">
      <x:c r="A59" s="11" t="n">
        <x:v>54</x:v>
      </x:c>
      <x:c r="B59" s="11" t="n">
        <x:v>58</x:v>
      </x:c>
      <x:c r="C59" s="11" t="str">
        <x:v>产品管理参数配置</x:v>
      </x:c>
      <x:c r="D59" s="11" t="str">
        <x:v>计费方式</x:v>
      </x:c>
      <x:c r="E59" s="11" t="str">
        <x:v>PRD</x:v>
      </x:c>
      <x:c r="F59" s="11" t="str">
        <x:v>P0</x:v>
      </x:c>
      <x:c r="G59" s="11" t="str">
        <x:v>UI/开</x:v>
      </x:c>
      <x:c r="H59" s="11" t="str">
        <x:v>以通用模板作对照，执行映射的业务UI用例</x:v>
      </x:c>
      <x:c r="I59" s="11" t="str">
        <x:v>PRD项：接业务页后执行</x:v>
      </x:c>
      <x:c r="J59" s="11" t="str">
        <x:v>W2-54-1、W2-54-2</x:v>
      </x:c>
      <x:c r="K59" s="11" t="str">
        <x:v>未执行（通用模板不含该业务页面）</x:v>
      </x:c>
      <x:c r="L59" s="13" t="str"/>
      <x:c r="M59" s="13" t="str">
        <x:v>待安排</x:v>
      </x:c>
    </x:row>
    <x:row r="60" ht="41.25" customHeight="1">
      <x:c r="A60" s="12" t="n">
        <x:v>55</x:v>
      </x:c>
      <x:c r="B60" s="12" t="n">
        <x:v>59</x:v>
      </x:c>
      <x:c r="C60" s="12" t="str">
        <x:v>产品管理参数配置</x:v>
      </x:c>
      <x:c r="D60" s="12" t="str">
        <x:v>下单限制</x:v>
      </x:c>
      <x:c r="E60" s="12" t="str">
        <x:v>PRD</x:v>
      </x:c>
      <x:c r="F60" s="12" t="str">
        <x:v>P0</x:v>
      </x:c>
      <x:c r="G60" s="12" t="str">
        <x:v>UI/开</x:v>
      </x:c>
      <x:c r="H60" s="12" t="str">
        <x:v>以通用模板作对照，执行映射的业务UI用例</x:v>
      </x:c>
      <x:c r="I60" s="12" t="str">
        <x:v>PRD项：先裁决相关交互基线，再接业务页</x:v>
      </x:c>
      <x:c r="J60" s="12" t="str">
        <x:v>W2-55-1、W2-55-2</x:v>
      </x:c>
      <x:c r="K60" s="12" t="str">
        <x:v>未执行（通用模板不含该业务页面）</x:v>
      </x:c>
      <x:c r="L60" s="13" t="str"/>
      <x:c r="M60" s="13" t="str">
        <x:v>待安排</x:v>
      </x:c>
    </x:row>
    <x:row r="61" ht="41.25" customHeight="1">
      <x:c r="A61" s="11" t="n">
        <x:v>56</x:v>
      </x:c>
      <x:c r="B61" s="11" t="n">
        <x:v>60</x:v>
      </x:c>
      <x:c r="C61" s="11" t="str">
        <x:v>产品管理参数配置</x:v>
      </x:c>
      <x:c r="D61" s="11" t="str">
        <x:v>业务字典</x:v>
      </x:c>
      <x:c r="E61" s="11" t="str">
        <x:v>原型</x:v>
      </x:c>
      <x:c r="F61" s="11" t="str">
        <x:v>P0</x:v>
      </x:c>
      <x:c r="G61" s="11" t="str">
        <x:v>UI/开</x:v>
      </x:c>
      <x:c r="H61" s="11" t="str">
        <x:v>以通用模板作对照，执行映射的业务UI用例</x:v>
      </x:c>
      <x:c r="I61" s="11" t="str">
        <x:v>条件项：先评审PRD/入口</x:v>
      </x:c>
      <x:c r="J61" s="11" t="str">
        <x:v>W2-56-1、W2-56-2</x:v>
      </x:c>
      <x:c r="K61" s="11" t="str">
        <x:v>未执行（通用模板不含该业务页面）</x:v>
      </x:c>
      <x:c r="L61" s="13" t="str"/>
      <x:c r="M61" s="13" t="str">
        <x:v>待安排</x:v>
      </x:c>
    </x:row>
    <x:row r="62" ht="41.25" customHeight="1">
      <x:c r="A62" s="12" t="n">
        <x:v>57</x:v>
      </x:c>
      <x:c r="B62" s="12" t="n">
        <x:v>61</x:v>
      </x:c>
      <x:c r="C62" s="12" t="str">
        <x:v>产品管理参数配置</x:v>
      </x:c>
      <x:c r="D62" s="12" t="str">
        <x:v>可接货型</x:v>
      </x:c>
      <x:c r="E62" s="12" t="str">
        <x:v>原型</x:v>
      </x:c>
      <x:c r="F62" s="12" t="str">
        <x:v>P1</x:v>
      </x:c>
      <x:c r="G62" s="12" t="str">
        <x:v>UI/开</x:v>
      </x:c>
      <x:c r="H62" s="12" t="str">
        <x:v>以通用模板作对照，执行映射的业务UI用例</x:v>
      </x:c>
      <x:c r="I62" s="12" t="str">
        <x:v>条件项：先评审PRD/入口</x:v>
      </x:c>
      <x:c r="J62" s="12" t="str">
        <x:v>W2-57-1、W2-57-2</x:v>
      </x:c>
      <x:c r="K62" s="12" t="str">
        <x:v>未执行（通用模板不含该业务页面）</x:v>
      </x:c>
      <x:c r="L62" s="13" t="str"/>
      <x:c r="M62" s="13" t="str">
        <x:v>待安排</x:v>
      </x:c>
    </x:row>
    <x:row r="63" ht="41.25" customHeight="1">
      <x:c r="A63" s="11" t="n">
        <x:v>58</x:v>
      </x:c>
      <x:c r="B63" s="11" t="n">
        <x:v>62</x:v>
      </x:c>
      <x:c r="C63" s="11" t="str">
        <x:v>产品管理参数配置</x:v>
      </x:c>
      <x:c r="D63" s="11" t="str">
        <x:v>财务配置</x:v>
      </x:c>
      <x:c r="E63" s="11" t="str">
        <x:v>原型</x:v>
      </x:c>
      <x:c r="F63" s="11" t="str">
        <x:v>P1</x:v>
      </x:c>
      <x:c r="G63" s="11" t="str">
        <x:v>UI/开</x:v>
      </x:c>
      <x:c r="H63" s="11" t="str">
        <x:v>以通用模板作对照，执行映射的业务UI用例</x:v>
      </x:c>
      <x:c r="I63" s="11" t="str">
        <x:v>条件项：先评审PRD/入口</x:v>
      </x:c>
      <x:c r="J63" s="11" t="str">
        <x:v>W2-58-1、W2-58-2</x:v>
      </x:c>
      <x:c r="K63" s="11" t="str">
        <x:v>未执行（通用模板不含该业务页面）</x:v>
      </x:c>
      <x:c r="L63" s="13" t="str"/>
      <x:c r="M63" s="13" t="str">
        <x:v>待安排</x:v>
      </x:c>
    </x:row>
    <x:row r="64" ht="41.25" customHeight="1">
      <x:c r="A64" s="12" t="n">
        <x:v>59</x:v>
      </x:c>
      <x:c r="B64" s="12" t="n">
        <x:v>63</x:v>
      </x:c>
      <x:c r="C64" s="12" t="str">
        <x:v>任务一</x:v>
      </x:c>
      <x:c r="D64" s="12" t="str">
        <x:v>页面布局与交互</x:v>
      </x:c>
      <x:c r="E64" s="12" t="str">
        <x:v>PRD</x:v>
      </x:c>
      <x:c r="F64" s="12" t="str">
        <x:v>P0</x:v>
      </x:c>
      <x:c r="G64" s="12" t="str">
        <x:v>需</x:v>
      </x:c>
      <x:c r="H64" s="12" t="str">
        <x:v>确认业务范围、原型路径与验收口径</x:v>
      </x:c>
      <x:c r="I64" s="12" t="str">
        <x:v>需求梳理，不进入本周UI执行</x:v>
      </x:c>
      <x:c r="J64" s="12" t="str"/>
      <x:c r="K64" s="12" t="str">
        <x:v>不纳入UI执行统计</x:v>
      </x:c>
      <x:c r="L64" s="13" t="str"/>
      <x:c r="M64" s="13" t="str">
        <x:v>待安排</x:v>
      </x:c>
    </x:row>
    <x:row r="65" ht="41.25" customHeight="1">
      <x:c r="A65" s="11" t="n">
        <x:v>60</x:v>
      </x:c>
      <x:c r="B65" s="11" t="n">
        <x:v>64</x:v>
      </x:c>
      <x:c r="C65" s="11" t="str">
        <x:v>任务二</x:v>
      </x:c>
      <x:c r="D65" s="11" t="str">
        <x:v>修改价卡信息</x:v>
      </x:c>
      <x:c r="E65" s="11" t="str">
        <x:v>PRD</x:v>
      </x:c>
      <x:c r="F65" s="11" t="str">
        <x:v>P0</x:v>
      </x:c>
      <x:c r="G65" s="11" t="str">
        <x:v>需</x:v>
      </x:c>
      <x:c r="H65" s="11" t="str">
        <x:v>确认业务范围、原型路径与验收口径</x:v>
      </x:c>
      <x:c r="I65" s="11" t="str">
        <x:v>需求梳理，不进入本周UI执行</x:v>
      </x:c>
      <x:c r="J65" s="11" t="str"/>
      <x:c r="K65" s="11" t="str">
        <x:v>不纳入UI执行统计</x:v>
      </x:c>
      <x:c r="L65" s="13" t="str"/>
      <x:c r="M65" s="13" t="str">
        <x:v>待安排</x:v>
      </x:c>
    </x:row>
    <x:row r="66" ht="41.25" customHeight="1">
      <x:c r="A66" s="12" t="n">
        <x:v>61</x:v>
      </x:c>
      <x:c r="B66" s="12" t="n">
        <x:v>65</x:v>
      </x:c>
      <x:c r="C66" s="12" t="str">
        <x:v>任务三</x:v>
      </x:c>
      <x:c r="D66" s="12" t="str">
        <x:v>查询类处理</x:v>
      </x:c>
      <x:c r="E66" s="12" t="str">
        <x:v>PRD</x:v>
      </x:c>
      <x:c r="F66" s="12" t="str">
        <x:v>P0</x:v>
      </x:c>
      <x:c r="G66" s="12" t="str">
        <x:v>需</x:v>
      </x:c>
      <x:c r="H66" s="12" t="str">
        <x:v>确认业务范围、原型路径与验收口径</x:v>
      </x:c>
      <x:c r="I66" s="12" t="str">
        <x:v>需求梳理，不进入本周UI执行</x:v>
      </x:c>
      <x:c r="J66" s="12" t="str"/>
      <x:c r="K66" s="12" t="str">
        <x:v>不纳入UI执行统计</x:v>
      </x:c>
      <x:c r="L66" s="13" t="str"/>
      <x:c r="M66" s="13" t="str">
        <x:v>待安排</x:v>
      </x:c>
    </x:row>
    <x:row r="67" ht="41.25" customHeight="1">
      <x:c r="A67" s="11" t="n">
        <x:v>62</x:v>
      </x:c>
      <x:c r="B67" s="11" t="n">
        <x:v>66</x:v>
      </x:c>
      <x:c r="C67" s="11" t="str">
        <x:v>任务四</x:v>
      </x:c>
      <x:c r="D67" s="11" t="str">
        <x:v>修改服务单元信息</x:v>
      </x:c>
      <x:c r="E67" s="11" t="str">
        <x:v>PRD</x:v>
      </x:c>
      <x:c r="F67" s="11" t="str">
        <x:v>P0</x:v>
      </x:c>
      <x:c r="G67" s="11" t="str">
        <x:v>需</x:v>
      </x:c>
      <x:c r="H67" s="11" t="str">
        <x:v>确认业务范围、原型路径与验收口径</x:v>
      </x:c>
      <x:c r="I67" s="11" t="str">
        <x:v>需求梳理，不进入本周UI执行</x:v>
      </x:c>
      <x:c r="J67" s="11" t="str"/>
      <x:c r="K67" s="11" t="str">
        <x:v>不纳入UI执行统计</x:v>
      </x:c>
      <x:c r="L67" s="13" t="str"/>
      <x:c r="M67" s="13" t="str">
        <x:v>待安排</x:v>
      </x:c>
    </x:row>
    <x:row r="68" ht="41.25" customHeight="1">
      <x:c r="A68" s="12" t="n">
        <x:v>63</x:v>
      </x:c>
      <x:c r="B68" s="12" t="n">
        <x:v>67</x:v>
      </x:c>
      <x:c r="C68" s="12" t="str">
        <x:v>任务五</x:v>
      </x:c>
      <x:c r="D68" s="12" t="str">
        <x:v>文件解析类处理</x:v>
      </x:c>
      <x:c r="E68" s="12" t="str">
        <x:v>PRD</x:v>
      </x:c>
      <x:c r="F68" s="12" t="str">
        <x:v>P0</x:v>
      </x:c>
      <x:c r="G68" s="12" t="str">
        <x:v>需</x:v>
      </x:c>
      <x:c r="H68" s="12" t="str">
        <x:v>确认业务范围、原型路径与验收口径</x:v>
      </x:c>
      <x:c r="I68" s="12" t="str">
        <x:v>需求梳理，不进入本周UI执行</x:v>
      </x:c>
      <x:c r="J68" s="12" t="str"/>
      <x:c r="K68" s="12" t="str">
        <x:v>不纳入UI执行统计</x:v>
      </x:c>
      <x:c r="L68" s="13" t="str"/>
      <x:c r="M68" s="13" t="str">
        <x:v>待安排</x:v>
      </x:c>
    </x:row>
    <x:row r="69" ht="41.25" customHeight="1">
      <x:c r="A69" s="11" t="n">
        <x:v>65</x:v>
      </x:c>
      <x:c r="B69" s="11" t="n">
        <x:v>69</x:v>
      </x:c>
      <x:c r="C69" s="11" t="str">
        <x:v>操作日志</x:v>
      </x:c>
      <x:c r="D69" s="11" t="str">
        <x:v>操作日志</x:v>
      </x:c>
      <x:c r="E69" s="11" t="str">
        <x:v>原型</x:v>
      </x:c>
      <x:c r="F69" s="11" t="str">
        <x:v>P1</x:v>
      </x:c>
      <x:c r="G69" s="11" t="str">
        <x:v>UI/开</x:v>
      </x:c>
      <x:c r="H69" s="11" t="str">
        <x:v>以通用模板作对照，执行映射的业务UI用例</x:v>
      </x:c>
      <x:c r="I69" s="11" t="str">
        <x:v>条件项：先评审PRD/入口</x:v>
      </x:c>
      <x:c r="J69" s="11" t="str">
        <x:v>W2-65-1、W2-65-2</x:v>
      </x:c>
      <x:c r="K69" s="11" t="str">
        <x:v>未执行（通用模板不含该业务页面）</x:v>
      </x:c>
      <x:c r="L69" s="13" t="str"/>
      <x:c r="M69" s="13" t="str">
        <x:v>待安排</x:v>
      </x:c>
    </x:row>
    <x:row r="70" ht="64.5" customHeight="1">
      <x:c r="A70" s="12" t="n">
        <x:v>66</x:v>
      </x:c>
      <x:c r="B70" s="12" t="n">
        <x:v>70</x:v>
      </x:c>
      <x:c r="C70" s="12" t="str">
        <x:v>百运网系统对接</x:v>
      </x:c>
      <x:c r="D70" s="12" t="str">
        <x:v>同步触发节点 + 字段映射（渠道基本信息约 41 字段、渠道价格表、费用折扣、产品详情与查价 / 附加费限制）+ 供应商等基础数据获取</x:v>
      </x:c>
      <x:c r="E70" s="12" t="str">
        <x:v>PRD待完善</x:v>
      </x:c>
      <x:c r="F70" s="12" t="str">
        <x:v>P1</x:v>
      </x:c>
      <x:c r="G70" s="12" t="str">
        <x:v>需</x:v>
      </x:c>
      <x:c r="H70" s="12" t="str">
        <x:v>确认业务范围、原型路径与验收口径</x:v>
      </x:c>
      <x:c r="I70" s="12" t="str">
        <x:v>需求梳理，不进入本周UI执行</x:v>
      </x:c>
      <x:c r="J70" s="12" t="str"/>
      <x:c r="K70" s="12" t="str">
        <x:v>不纳入UI执行统计</x:v>
      </x:c>
      <x:c r="L70" s="13" t="str"/>
      <x:c r="M70" s="13" t="str">
        <x:v>待安排</x:v>
      </x:c>
    </x:row>
  </x:sheetData>
  <x:dataValidations count="1">
    <x:dataValidation type="list" sqref="M9:M70">
      <x:formula1>"待安排,进行中,待确认,待复测,已完成"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8129c378e401a"/>
  </x:tableParts>
</x:worksheet>
</file>

<file path=xl/worksheets/sheet2.xml><?xml version="1.0" encoding="utf-8"?>
<x:worksheet xmlns:x="http://schemas.openxmlformats.org/spreadsheetml/2006/main">
  <x:sheetPr>
    <x:tabColor rgb="FF175DB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9.75" hidden="0" customWidth="1"/>
    <x:col min="2" max="2" width="23.75" hidden="0" customWidth="1"/>
    <x:col min="3" max="3" width="35.630001068115234" hidden="0" customWidth="1"/>
    <x:col min="4" max="4" width="41.25" hidden="0" customWidth="1"/>
    <x:col min="5" max="5" width="14.380000114440918" hidden="0" customWidth="1"/>
    <x:col min="6" max="6" width="45" hidden="0" customWidth="1"/>
    <x:col min="7" max="7" width="28.75" hidden="0" customWidth="1"/>
    <x:col min="8" max="8" width="26.25" hidden="0" customWidth="1"/>
    <x:col min="9" max="9" width="10.630000114440918" hidden="0" customWidth="1"/>
    <x:col min="10" max="10" width="12.5" hidden="0" customWidth="1"/>
    <x:col min="11" max="11" width="13.75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" customHeight="1">
      <x:c r="A2" s="5" t="str">
        <x:v>通用模板检查与实际结果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1" customHeight="1">
      <x:c r="A3" s="6" t="str">
        <x:v>对象：http://127.0.0.1:5173｜截图编号与 evidence 文件夹对应｜原始观察保留，复测填写右侧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" customHeight="1">
      <x:c r="A4" s="4" t="str">
        <x:v>14项本地通过、3项明确规范差异；2项仅错误页展示通过。其他分别为建议、条件项、样例/静态风险及未执行。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1" customHeight="1">
      <x:c r="A5" s="4" t="str">
        <x:v>按钮/金额等Mock交互结果只证明前端可观察行为，不能作为业务规则、真实接口或权限验收。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1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1" customHeight="1">
      <x:c r="A7" s="6" t="str">
        <x:v>浅黄色为后续人工填写/更新区；表头带筛选，横向滚动时前两列保留。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14"/>
      <x:c r="M7" s="14"/>
      <x:c r="N7" s="14"/>
    </x:row>
    <x:row r="8" ht="31.5" customHeight="1">
      <x:c r="A8" s="10" t="str">
        <x:v>检查ID</x:v>
      </x:c>
      <x:c r="B8" s="10" t="str">
        <x:v>检查项</x:v>
      </x:c>
      <x:c r="C8" s="10" t="str">
        <x:v>操作步骤</x:v>
      </x:c>
      <x:c r="D8" s="10" t="str">
        <x:v>规范或建议期望</x:v>
      </x:c>
      <x:c r="E8" s="10" t="str">
        <x:v>本次状态</x:v>
      </x:c>
      <x:c r="F8" s="10" t="str">
        <x:v>实际观察</x:v>
      </x:c>
      <x:c r="G8" s="10" t="str">
        <x:v>证据编号/文件</x:v>
      </x:c>
      <x:c r="H8" s="10" t="str">
        <x:v>判定依据</x:v>
      </x:c>
      <x:c r="I8" s="10" t="str">
        <x:v>修改ID</x:v>
      </x:c>
      <x:c r="J8" s="10" t="str">
        <x:v>复测负责人</x:v>
      </x:c>
      <x:c r="K8" s="10" t="str">
        <x:v>复测结果</x:v>
      </x:c>
    </x:row>
    <x:row r="9" ht="41.25" customHeight="1">
      <x:c r="A9" s="11" t="str">
        <x:v>T01</x:v>
      </x:c>
      <x:c r="B9" s="11" t="str">
        <x:v>标题、按钮及容器基线</x:v>
      </x:c>
      <x:c r="C9" s="11" t="str">
        <x:v>1440×900打开列表并量测标题、按钮、卡片。</x:v>
      </x:c>
      <x:c r="D9" s="11" t="str">
        <x:v>H1 20px/500；默认按钮32px高/8px圆角；卡片12px圆角/24px内边距。</x:v>
      </x:c>
      <x:c r="E9" s="11" t="str">
        <x:v>本地通过</x:v>
      </x:c>
      <x:c r="F9" s="11" t="str">
        <x:v>本次抽样值与所列基线一致。</x:v>
      </x:c>
      <x:c r="G9" s="11" t="str">
        <x:v>E20-list-1440/list-metrics-1440.json</x:v>
      </x:c>
      <x:c r="H9" s="11" t="str">
        <x:v>规范3.2-3.4、4.2、5.1</x:v>
      </x:c>
      <x:c r="I9" s="11" t="str"/>
      <x:c r="J9" s="13" t="str"/>
      <x:c r="K9" s="13" t="str">
        <x:v>未复测</x:v>
      </x:c>
    </x:row>
    <x:row r="10" ht="41.25" customHeight="1">
      <x:c r="A10" s="12" t="str">
        <x:v>T02</x:v>
      </x:c>
      <x:c r="B10" s="12" t="str">
        <x:v>标准页头高度</x:v>
      </x:c>
      <x:c r="C10" s="12" t="str">
        <x:v>1440×900量测列表标准页头及面包屑。</x:v>
      </x:c>
      <x:c r="D10" s="12" t="str">
        <x:v>标准型94px，面包屑18px高。</x:v>
      </x:c>
      <x:c r="E10" s="12" t="str">
        <x:v>本地不符</x:v>
      </x:c>
      <x:c r="F10" s="12" t="str">
        <x:v>标准页头97px；面包屑18px、标题28px均正确，额外高度需排查。</x:v>
      </x:c>
      <x:c r="G10" s="12" t="str">
        <x:v>E20-list-1440/header-action-metrics.json</x:v>
      </x:c>
      <x:c r="H10" s="12" t="str">
        <x:v>规范4.2 内嵌0rCax8</x:v>
      </x:c>
      <x:c r="I10" s="12" t="str">
        <x:v>F02</x:v>
      </x:c>
      <x:c r="J10" s="13" t="str"/>
      <x:c r="K10" s="13" t="str">
        <x:v>未复测</x:v>
      </x:c>
    </x:row>
    <x:row r="11" ht="41.25" customHeight="1">
      <x:c r="A11" s="11" t="str">
        <x:v>T03</x:v>
      </x:c>
      <x:c r="B11" s="11" t="str">
        <x:v>表格操作列对齐与间距</x:v>
      </x:c>
      <x:c r="C11" s="11" t="str">
        <x:v>量测首行操作单元格和按钮容器。</x:v>
      </x:c>
      <x:c r="D11" s="11" t="str">
        <x:v>操作列左对齐；文字按钮间距16px。</x:v>
      </x:c>
      <x:c r="E11" s="11" t="str">
        <x:v>本地不符</x:v>
      </x:c>
      <x:c r="F11" s="11" t="str">
        <x:v>操作单元格内部center；按钮容器gap 8px。</x:v>
      </x:c>
      <x:c r="G11" s="11" t="str">
        <x:v>E20-list-1440/header-action-metrics.json</x:v>
      </x:c>
      <x:c r="H11" s="11" t="str">
        <x:v>规范5.8 IOfbnI、tkqkxw</x:v>
      </x:c>
      <x:c r="I11" s="11" t="str">
        <x:v>F01</x:v>
      </x:c>
      <x:c r="J11" s="13" t="str"/>
      <x:c r="K11" s="13" t="str">
        <x:v>未复测</x:v>
      </x:c>
    </x:row>
    <x:row r="12" ht="41.25" customHeight="1">
      <x:c r="A12" s="12" t="str">
        <x:v>T04</x:v>
      </x:c>
      <x:c r="B12" s="12" t="str">
        <x:v>表格正文色</x:v>
      </x:c>
      <x:c r="C12" s="12" t="str">
        <x:v>读取目的地、重量、日期等普通文本实际颜色。</x:v>
      </x:c>
      <x:c r="D12" s="12" t="str">
        <x:v>普通正文采用color-text-body #4B5564，链接和状态按各自语义。</x:v>
      </x:c>
      <x:c r="E12" s="12" t="str">
        <x:v>本地不符</x:v>
      </x:c>
      <x:c r="F12" s="12" t="str">
        <x:v>所测普通单元格继承#1A2130标题色。</x:v>
      </x:c>
      <x:c r="G12" s="12" t="str">
        <x:v>E20-list-1440/list-metrics-1440.json</x:v>
      </x:c>
      <x:c r="H12" s="12" t="str">
        <x:v>规范3.1/13 Design Token</x:v>
      </x:c>
      <x:c r="I12" s="12" t="str">
        <x:v>F03</x:v>
      </x:c>
      <x:c r="J12" s="13" t="str"/>
      <x:c r="K12" s="13" t="str">
        <x:v>未复测</x:v>
      </x:c>
    </x:row>
    <x:row r="13" ht="41.25" customHeight="1">
      <x:c r="A13" s="11" t="str">
        <x:v>T05</x:v>
      </x:c>
      <x:c r="B13" s="11" t="str">
        <x:v>48px行高和数字右对齐</x:v>
      </x:c>
      <x:c r="C13" s="11" t="str">
        <x:v>检查首2数据行及数字单元格内层。</x:v>
      </x:c>
      <x:c r="D13" s="11" t="str">
        <x:v>行高48px；重量/运费右对齐，状态有文字。</x:v>
      </x:c>
      <x:c r="E13" s="11" t="str">
        <x:v>本地通过</x:v>
      </x:c>
      <x:c r="F13" s="11" t="str">
        <x:v>抽样行48px；重量/金额内层right；状态兼有文字。</x:v>
      </x:c>
      <x:c r="G13" s="11" t="str">
        <x:v>E20-list-1440/list-metrics-1440.json</x:v>
      </x:c>
      <x:c r="H13" s="11" t="str">
        <x:v>规范4.5、5.8</x:v>
      </x:c>
      <x:c r="I13" s="11" t="str"/>
      <x:c r="J13" s="13" t="str"/>
      <x:c r="K13" s="13" t="str">
        <x:v>未复测</x:v>
      </x:c>
    </x:row>
    <x:row r="14" ht="41.25" customHeight="1">
      <x:c r="A14" s="12" t="str">
        <x:v>T06</x:v>
      </x:c>
      <x:c r="B14" s="12" t="str">
        <x:v>筛选无结果</x:v>
      </x:c>
      <x:c r="C14" s="12" t="str">
        <x:v>输入UI-NO-MATCH-20261013并查询。</x:v>
      </x:c>
      <x:c r="D14" s="12" t="str">
        <x:v>空结果有说明和调整筛选提示，保留查询区。</x:v>
      </x:c>
      <x:c r="E14" s="12" t="str">
        <x:v>本地通过</x:v>
      </x:c>
      <x:c r="F14" s="12" t="str">
        <x:v>0条；未找到相关结果/请调整筛选条件后重试；重置入口可见。</x:v>
      </x:c>
      <x:c r="G14" s="12" t="str">
        <x:v>E05-empty</x:v>
      </x:c>
      <x:c r="H14" s="12" t="str">
        <x:v>规范7.2/RV13</x:v>
      </x:c>
      <x:c r="I14" s="12" t="str"/>
      <x:c r="J14" s="13" t="str"/>
      <x:c r="K14" s="13" t="str">
        <x:v>未复测</x:v>
      </x:c>
    </x:row>
    <x:row r="15" ht="41.25" customHeight="1">
      <x:c r="A15" s="11" t="str">
        <x:v>T07</x:v>
      </x:c>
      <x:c r="B15" s="11" t="str">
        <x:v>重置恢复</x:v>
      </x:c>
      <x:c r="C15" s="11" t="str">
        <x:v>从T06空结果点击重置。</x:v>
      </x:c>
      <x:c r="D15" s="11" t="str">
        <x:v>条件清空且恢复列表，不保留空态。</x:v>
      </x:c>
      <x:c r="E15" s="11" t="str">
        <x:v>本地通过</x:v>
      </x:c>
      <x:c r="F15" s="11" t="str">
        <x:v>恢复86条Mock列表。未据此验证业务检索规则。</x:v>
      </x:c>
      <x:c r="G15" s="11" t="str">
        <x:v>E06-drawer</x:v>
      </x:c>
      <x:c r="H15" s="11" t="str">
        <x:v>RV13</x:v>
      </x:c>
      <x:c r="I15" s="11" t="str"/>
      <x:c r="J15" s="13" t="str"/>
      <x:c r="K15" s="13" t="str">
        <x:v>未复测</x:v>
      </x:c>
    </x:row>
    <x:row r="16" ht="41.25" customHeight="1">
      <x:c r="A16" s="12" t="str">
        <x:v>T08</x:v>
      </x:c>
      <x:c r="B16" s="12" t="str">
        <x:v>批量栏位置和取消</x:v>
      </x:c>
      <x:c r="C16" s="12" t="str">
        <x:v>勾选1行，观察顶部，再取消选择。</x:v>
      </x:c>
      <x:c r="D16" s="12" t="str">
        <x:v>批量栏出现于表格顶部；零选恢复默认工具栏。</x:v>
      </x:c>
      <x:c r="E16" s="12" t="str">
        <x:v>本地通过</x:v>
      </x:c>
      <x:c r="F16" s="12" t="str">
        <x:v>显示已选择1项与批量按钮；取消后恢复刷新/导出。</x:v>
      </x:c>
      <x:c r="G16" s="12" t="str">
        <x:v>E03-selected/E05-empty</x:v>
      </x:c>
      <x:c r="H16" s="12" t="str">
        <x:v>规范5.8/6.1/RV17</x:v>
      </x:c>
      <x:c r="I16" s="12" t="str"/>
      <x:c r="J16" s="13" t="str"/>
      <x:c r="K16" s="13" t="str">
        <x:v>未复测</x:v>
      </x:c>
    </x:row>
    <x:row r="17" ht="41.25" customHeight="1">
      <x:c r="A17" s="11" t="str">
        <x:v>T09</x:v>
      </x:c>
      <x:c r="B17" s="11" t="str">
        <x:v>选中行包含固定列</x:v>
      </x:c>
      <x:c r="C17" s="11" t="str">
        <x:v>勾首行并读取全部td背景。</x:v>
      </x:c>
      <x:c r="D17" s="11" t="str">
        <x:v>全行及左右固定列均#D1E4FB。</x:v>
      </x:c>
      <x:c r="E17" s="11" t="str">
        <x:v>本地通过</x:v>
      </x:c>
      <x:c r="F17" s="11" t="str">
        <x:v>9格背景均rgb(209,228,251)。仅验证单行选中。</x:v>
      </x:c>
      <x:c r="G17" s="11" t="str">
        <x:v>E03-selected</x:v>
      </x:c>
      <x:c r="H17" s="11" t="str">
        <x:v>规范5.8/RV18</x:v>
      </x:c>
      <x:c r="I17" s="11" t="str"/>
      <x:c r="J17" s="13" t="str"/>
      <x:c r="K17" s="13" t="str">
        <x:v>未复测</x:v>
      </x:c>
    </x:row>
    <x:row r="18" ht="41.25" customHeight="1">
      <x:c r="A18" s="12" t="str">
        <x:v>T10</x:v>
      </x:c>
      <x:c r="B18" s="12" t="str">
        <x:v>危险确认与取消</x:v>
      </x:c>
      <x:c r="C18" s="12" t="str">
        <x:v>选1行→批量删除→取消，不执行删除。</x:v>
      </x:c>
      <x:c r="D18" s="12" t="str">
        <x:v>确认对象数量、不可恢复提示、取消/确认删除清楚。</x:v>
      </x:c>
      <x:c r="E18" s="12" t="str">
        <x:v>本地通过</x:v>
      </x:c>
      <x:c r="F18" s="12" t="str">
        <x:v>提示删除选中的1项；取消后仍86条。未执行删除。</x:v>
      </x:c>
      <x:c r="G18" s="12" t="str">
        <x:v>E04-delete-dialog/E05-empty</x:v>
      </x:c>
      <x:c r="H18" s="12" t="str">
        <x:v>规范7.3、8.2</x:v>
      </x:c>
      <x:c r="I18" s="12" t="str"/>
      <x:c r="J18" s="13" t="str"/>
      <x:c r="K18" s="13" t="str">
        <x:v>未复测</x:v>
      </x:c>
    </x:row>
    <x:row r="19" ht="41.25" customHeight="1">
      <x:c r="A19" s="11" t="str">
        <x:v>T11</x:v>
      </x:c>
      <x:c r="B19" s="11" t="str">
        <x:v>详情抽屉承载</x:v>
      </x:c>
      <x:c r="C19" s="11" t="str">
        <x:v>点击首行详情，查看分组及关闭。</x:v>
      </x:c>
      <x:c r="D19" s="11" t="str">
        <x:v>右侧抽屉、分组可读，关闭回当前列表。</x:v>
      </x:c>
      <x:c r="E19" s="11" t="str">
        <x:v>本地通过</x:v>
      </x:c>
      <x:c r="F19" s="11" t="str">
        <x:v>运单详情分组展示，有顶/底关闭入口并回原列表。仅验证模板。</x:v>
      </x:c>
      <x:c r="G19" s="11" t="str">
        <x:v>E06-drawer</x:v>
      </x:c>
      <x:c r="H19" s="11" t="str">
        <x:v>规范5.11、6.2</x:v>
      </x:c>
      <x:c r="I19" s="11" t="str"/>
      <x:c r="J19" s="13" t="str"/>
      <x:c r="K19" s="13" t="str">
        <x:v>未复测</x:v>
      </x:c>
    </x:row>
    <x:row r="20" ht="41.25" customHeight="1">
      <x:c r="A20" s="12" t="str">
        <x:v>T12</x:v>
      </x:c>
      <x:c r="B20" s="12" t="str">
        <x:v>必填错误展示</x:v>
      </x:c>
      <x:c r="C20" s="12" t="str">
        <x:v>新建运单空表单点击保存。</x:v>
      </x:c>
      <x:c r="D20" s="12" t="str">
        <x:v>字段下红色错误，不弹错误确认框。</x:v>
      </x:c>
      <x:c r="E20" s="12" t="str">
        <x:v>本地通过</x:v>
      </x:c>
      <x:c r="F20" s="12" t="str">
        <x:v>5处字段错误可见，停留表单，未提交有效数据。</x:v>
      </x:c>
      <x:c r="G20" s="12" t="str">
        <x:v>E08-validation</x:v>
      </x:c>
      <x:c r="H20" s="12" t="str">
        <x:v>规范5.7/7.3</x:v>
      </x:c>
      <x:c r="I20" s="12" t="str"/>
      <x:c r="J20" s="13" t="str"/>
      <x:c r="K20" s="13" t="str">
        <x:v>未复测</x:v>
      </x:c>
    </x:row>
    <x:row r="21" ht="41.25" customHeight="1">
      <x:c r="A21" s="11" t="str">
        <x:v>T13</x:v>
      </x:c>
      <x:c r="B21" s="11" t="str">
        <x:v>字段标签与错误关联</x:v>
      </x:c>
      <x:c r="C21" s="11" t="str">
        <x:v>检查表单input及alert的DOM关联。</x:v>
      </x:c>
      <x:c r="D21" s="11" t="str">
        <x:v>补充建议：可见标签与字段建立for/id或ARIA关联，错误可被读屏定位。</x:v>
      </x:c>
      <x:c r="E21" s="11" t="str">
        <x:v>观察建议</x:v>
      </x:c>
      <x:c r="F21" s="11" t="str">
        <x:v>主要业务字段labels=0、aria-labelledby/aria-describedby缺失。</x:v>
      </x:c>
      <x:c r="G21" s="11" t="str">
        <x:v>E08-validation/form-metrics.json</x:v>
      </x:c>
      <x:c r="H21" s="11" t="str">
        <x:v>可用性补充，非规范原文硬性条款</x:v>
      </x:c>
      <x:c r="I21" s="11" t="str">
        <x:v>F06</x:v>
      </x:c>
      <x:c r="J21" s="13" t="str"/>
      <x:c r="K21" s="13" t="str">
        <x:v>未复测</x:v>
      </x:c>
    </x:row>
    <x:row r="22" ht="41.25" customHeight="1">
      <x:c r="A22" s="12" t="str">
        <x:v>T14</x:v>
      </x:c>
      <x:c r="B22" s="12" t="str">
        <x:v>首次错误定位</x:v>
      </x:c>
      <x:c r="C22" s="12" t="str">
        <x:v>空表单保存后观察焦点。</x:v>
      </x:c>
      <x:c r="D22" s="12" t="str">
        <x:v>补充建议：焦点或滚动定位首错，不让用户自行寻找屏外错误。</x:v>
      </x:c>
      <x:c r="E22" s="12" t="str">
        <x:v>观察建议</x:v>
      </x:c>
      <x:c r="F22" s="12" t="str">
        <x:v>焦点仍停留保存按钮；尚未模拟所有长表单错误。</x:v>
      </x:c>
      <x:c r="G22" s="12" t="str">
        <x:v>E08-validation/form-metrics.json</x:v>
      </x:c>
      <x:c r="H22" s="12" t="str">
        <x:v>可用性补充，先确认交互基线</x:v>
      </x:c>
      <x:c r="I22" s="12" t="str">
        <x:v>F06</x:v>
      </x:c>
      <x:c r="J22" s="13" t="str"/>
      <x:c r="K22" s="13" t="str">
        <x:v>未复测</x:v>
      </x:c>
    </x:row>
    <x:row r="23" ht="41.25" customHeight="1">
      <x:c r="A23" s="11" t="str">
        <x:v>T15</x:v>
      </x:c>
      <x:c r="B23" s="11" t="str">
        <x:v>备注长度反馈</x:v>
      </x:c>
      <x:c r="C23" s="11" t="str">
        <x:v>向备注输入201个汉字。</x:v>
      </x:c>
      <x:c r="D23" s="11" t="str">
        <x:v>遵循该模板200字限制，计数准确、无布局溢出。</x:v>
      </x:c>
      <x:c r="E23" s="11" t="str">
        <x:v>本地通过</x:v>
      </x:c>
      <x:c r="F23" s="11" t="str">
        <x:v>实际200字并显示200/200；不是业务字段长度基线。</x:v>
      </x:c>
      <x:c r="G23" s="11" t="str">
        <x:v>E09-remark-limit</x:v>
      </x:c>
      <x:c r="H23" s="11" t="str">
        <x:v>模板FormFields/阶段共识22</x:v>
      </x:c>
      <x:c r="I23" s="11" t="str"/>
      <x:c r="J23" s="13" t="str"/>
      <x:c r="K23" s="13" t="str">
        <x:v>未复测</x:v>
      </x:c>
    </x:row>
    <x:row r="24" ht="41.25" customHeight="1">
      <x:c r="A24" s="12" t="str">
        <x:v>T16</x:v>
      </x:c>
      <x:c r="B24" s="12" t="str">
        <x:v>未保存内容取消</x:v>
      </x:c>
      <x:c r="C24" s="12" t="str">
        <x:v>填写目的地/备注→取消→再次新建。</x:v>
      </x:c>
      <x:c r="D24" s="12" t="str">
        <x:v>去留提示策略需明确；建议未保存重要输入先确认。</x:v>
      </x:c>
      <x:c r="E24" s="12" t="str">
        <x:v>观察建议</x:v>
      </x:c>
      <x:c r="F24" s="12" t="str">
        <x:v>直接返回列表，重新进入时输入清空，无确认。</x:v>
      </x:c>
      <x:c r="G24" s="12" t="str">
        <x:v>E10-cancel/E11-cancel-reopen</x:v>
      </x:c>
      <x:c r="H24" s="12" t="str">
        <x:v>补充建议，当前规范未规定离开确认</x:v>
      </x:c>
      <x:c r="I24" s="12" t="str">
        <x:v>F05</x:v>
      </x:c>
      <x:c r="J24" s="13" t="str"/>
      <x:c r="K24" s="13" t="str">
        <x:v>未复测</x:v>
      </x:c>
    </x:row>
    <x:row r="25" ht="41.25" customHeight="1">
      <x:c r="A25" s="11" t="str">
        <x:v>T17</x:v>
      </x:c>
      <x:c r="B25" s="11" t="str">
        <x:v>分步表单错误</x:v>
      </x:c>
      <x:c r="C25" s="11" t="str">
        <x:v>1024宽切分步，第一步空值点击下一步。</x:v>
      </x:c>
      <x:c r="D25" s="11" t="str">
        <x:v>第一步错误就地显示，停留当前步。</x:v>
      </x:c>
      <x:c r="E25" s="11" t="str">
        <x:v>本地通过</x:v>
      </x:c>
      <x:c r="F25" s="11" t="str">
        <x:v>目的地/日期出现错误，当前仍第1步。</x:v>
      </x:c>
      <x:c r="G25" s="11" t="str">
        <x:v>E13-step-validation</x:v>
      </x:c>
      <x:c r="H25" s="11" t="str">
        <x:v>规范5.7/阶段共识19</x:v>
      </x:c>
      <x:c r="I25" s="11" t="str"/>
      <x:c r="J25" s="13" t="str"/>
      <x:c r="K25" s="13" t="str">
        <x:v>未复测</x:v>
      </x:c>
    </x:row>
    <x:row r="26" ht="41.25" customHeight="1">
      <x:c r="A26" s="12" t="str">
        <x:v>T18</x:v>
      </x:c>
      <x:c r="B26" s="12" t="str">
        <x:v>导入未选文件</x:v>
      </x:c>
      <x:c r="C26" s="12" t="str">
        <x:v>打开导入，不选文件点击保存，再取消。</x:v>
      </x:c>
      <x:c r="D26" s="12" t="str">
        <x:v>提示选择文件，弹窗不错误完成。</x:v>
      </x:c>
      <x:c r="E26" s="12" t="str">
        <x:v>本地通过</x:v>
      </x:c>
      <x:c r="F26" s="12" t="str">
        <x:v>出现请选择文件，弹窗保持；未上传文件。</x:v>
      </x:c>
      <x:c r="G26" s="12" t="str">
        <x:v>E16-import-empty</x:v>
      </x:c>
      <x:c r="H26" s="12" t="str">
        <x:v>规范5.6、7.3</x:v>
      </x:c>
      <x:c r="I26" s="12" t="str"/>
      <x:c r="J26" s="13" t="str"/>
      <x:c r="K26" s="13" t="str">
        <x:v>未复测</x:v>
      </x:c>
    </x:row>
    <x:row r="27" ht="41.25" customHeight="1">
      <x:c r="A27" s="11" t="str">
        <x:v>T19</x:v>
      </x:c>
      <x:c r="B27" s="11" t="str">
        <x:v>刷新保持路由</x:v>
      </x:c>
      <x:c r="C27" s="11" t="str">
        <x:v>在/demo/list刷新。</x:v>
      </x:c>
      <x:c r="D27" s="11" t="str">
        <x:v>仍处当前路由，不跳首页。</x:v>
      </x:c>
      <x:c r="E27" s="11" t="str">
        <x:v>本地通过</x:v>
      </x:c>
      <x:c r="F27" s="11" t="str">
        <x:v>刷新后仍/demo/list。筛选、页码持久化未覆盖。</x:v>
      </x:c>
      <x:c r="G27" s="11" t="str">
        <x:v>E17-refresh</x:v>
      </x:c>
      <x:c r="H27" s="11" t="str">
        <x:v>RV21</x:v>
      </x:c>
      <x:c r="I27" s="11" t="str"/>
      <x:c r="J27" s="13" t="str"/>
      <x:c r="K27" s="13" t="str">
        <x:v>未复测</x:v>
      </x:c>
    </x:row>
    <x:row r="28" ht="41.25" customHeight="1">
      <x:c r="A28" s="12" t="str">
        <x:v>T20</x:v>
      </x:c>
      <x:c r="B28" s="12" t="str">
        <x:v>顶栏搜索及通知反馈</x:v>
      </x:c>
      <x:c r="C28" s="12" t="str">
        <x:v>点击通知；顶栏搜索输入测试词后Enter。</x:v>
      </x:c>
      <x:c r="D28" s="12" t="str">
        <x:v>有效入口产生反馈；未实现入口需明确示例/隐藏策略。</x:v>
      </x:c>
      <x:c r="E28" s="12" t="str">
        <x:v>观察建议</x:v>
      </x:c>
      <x:c r="F28" s="12" t="str">
        <x:v>均无可见结果；AppHeader无对应搜索/通知处理绑定。</x:v>
      </x:c>
      <x:c r="G28" s="12" t="str">
        <x:v>E15-header-placeholder</x:v>
      </x:c>
      <x:c r="H28" s="12" t="str">
        <x:v>规范2.1状态完整/RV11待确认</x:v>
      </x:c>
      <x:c r="I28" s="12" t="str">
        <x:v>F04</x:v>
      </x:c>
      <x:c r="J28" s="13" t="str"/>
      <x:c r="K28" s="13" t="str">
        <x:v>未复测</x:v>
      </x:c>
    </x:row>
    <x:row r="29" ht="41.25" customHeight="1">
      <x:c r="A29" s="11" t="str">
        <x:v>T21</x:v>
      </x:c>
      <x:c r="B29" s="11" t="str">
        <x:v>浮动助手覆盖操作</x:v>
      </x:c>
      <x:c r="C29" s="11" t="str">
        <x:v>1280×800观察列表右侧操作与助手矩形。</x:v>
      </x:c>
      <x:c r="D29" s="11" t="str">
        <x:v>建议保持关键行操作可见可点击，浮动入口提供避让或收起。</x:v>
      </x:c>
      <x:c r="E29" s="11" t="str">
        <x:v>观察建议</x:v>
      </x:c>
      <x:c r="F29" s="11" t="str">
        <x:v>助手矩形与2个跟踪按钮相交；截图有视觉覆盖。</x:v>
      </x:c>
      <x:c r="G29" s="11" t="str">
        <x:v>E17-refresh/overlay-metrics.json</x:v>
      </x:c>
      <x:c r="H29" s="11" t="str">
        <x:v>规范11.2/可用性建议</x:v>
      </x:c>
      <x:c r="I29" s="11" t="str">
        <x:v>F07</x:v>
      </x:c>
      <x:c r="J29" s="13" t="str"/>
      <x:c r="K29" s="13" t="str">
        <x:v>未复测</x:v>
      </x:c>
    </x:row>
    <x:row r="30" ht="41.25" customHeight="1">
      <x:c r="A30" s="12" t="str">
        <x:v>T22</x:v>
      </x:c>
      <x:c r="B30" s="12" t="str">
        <x:v>1024宽表单布局</x:v>
      </x:c>
      <x:c r="C30" s="12" t="str">
        <x:v>1024×768观察表单和底部保存栏。</x:v>
      </x:c>
      <x:c r="D30" s="12" t="str">
        <x:v>控件可达、操作区固定；按Tablet规范适配。</x:v>
      </x:c>
      <x:c r="E30" s="12" t="str">
        <x:v>本地通过</x:v>
      </x:c>
      <x:c r="F30" s="12" t="str">
        <x:v>双列显示且操作区可见；本条只评溢出与可达性。</x:v>
      </x:c>
      <x:c r="G30" s="12" t="str">
        <x:v>E12-form-1024</x:v>
      </x:c>
      <x:c r="H30" s="12" t="str">
        <x:v>规范4.5、6.4</x:v>
      </x:c>
      <x:c r="I30" s="12" t="str"/>
      <x:c r="J30" s="13" t="str"/>
      <x:c r="K30" s="13" t="str">
        <x:v>未复测</x:v>
      </x:c>
    </x:row>
    <x:row r="31" ht="41.25" customHeight="1">
      <x:c r="A31" s="11" t="str">
        <x:v>T23</x:v>
      </x:c>
      <x:c r="B31" s="11" t="str">
        <x:v>390宽列表形态</x:v>
      </x:c>
      <x:c r="C31" s="11" t="str">
        <x:v>390×844观察列表及DOM。</x:v>
      </x:c>
      <x:c r="D31" s="11" t="str">
        <x:v>若项目启用Mobile，&lt;768使用卡片列表。</x:v>
      </x:c>
      <x:c r="E31" s="11" t="str">
        <x:v>条件差异</x:v>
      </x:c>
      <x:c r="F31" s="11" t="str">
        <x:v>仍为1100px宽table在325px容器内滚动；页面无水平溢出。</x:v>
      </x:c>
      <x:c r="G31" s="11" t="str">
        <x:v>E14-list-390/layout-390.json</x:v>
      </x:c>
      <x:c r="H31" s="11" t="str">
        <x:v>规范4.5；Mobile按项目选择</x:v>
      </x:c>
      <x:c r="I31" s="11" t="str">
        <x:v>F08</x:v>
      </x:c>
      <x:c r="J31" s="13" t="str"/>
      <x:c r="K31" s="13" t="str">
        <x:v>未复测</x:v>
      </x:c>
    </x:row>
    <x:row r="32" ht="41.25" customHeight="1">
      <x:c r="A32" s="12" t="str">
        <x:v>T24</x:v>
      </x:c>
      <x:c r="B32" s="12" t="str">
        <x:v>403展示页</x:v>
      </x:c>
      <x:c r="C32" s="12" t="str">
        <x:v>直接打开/403。</x:v>
      </x:c>
      <x:c r="D32" s="12" t="str">
        <x:v>有无权限说明及允许的返回入口。</x:v>
      </x:c>
      <x:c r="E32" s="12" t="str">
        <x:v>展示通过</x:v>
      </x:c>
      <x:c r="F32" s="12" t="str">
        <x:v>暂无访问权限/联系管理员/返回首页可见；未触发真实权限拒绝。</x:v>
      </x:c>
      <x:c r="G32" s="12" t="str">
        <x:v>E18-403</x:v>
      </x:c>
      <x:c r="H32" s="12" t="str">
        <x:v>规范7.3</x:v>
      </x:c>
      <x:c r="I32" s="12" t="str"/>
      <x:c r="J32" s="13" t="str"/>
      <x:c r="K32" s="13" t="str">
        <x:v>未复测</x:v>
      </x:c>
    </x:row>
    <x:row r="33" ht="41.25" customHeight="1">
      <x:c r="A33" s="11" t="str">
        <x:v>T25</x:v>
      </x:c>
      <x:c r="B33" s="11" t="str">
        <x:v>500展示页</x:v>
      </x:c>
      <x:c r="C33" s="11" t="str">
        <x:v>直接打开/500。</x:v>
      </x:c>
      <x:c r="D33" s="11" t="str">
        <x:v>异常说明、重试及返回入口清晰。</x:v>
      </x:c>
      <x:c r="E33" s="11" t="str">
        <x:v>展示通过</x:v>
      </x:c>
      <x:c r="F33" s="11" t="str">
        <x:v>异常说明及刷新重试/返回首页可见；未注入500响应。</x:v>
      </x:c>
      <x:c r="G33" s="11" t="str">
        <x:v>E19-500</x:v>
      </x:c>
      <x:c r="H33" s="11" t="str">
        <x:v>规范7.3</x:v>
      </x:c>
      <x:c r="I33" s="11" t="str"/>
      <x:c r="J33" s="13" t="str"/>
      <x:c r="K33" s="13" t="str">
        <x:v>未复测</x:v>
      </x:c>
    </x:row>
    <x:row r="34" ht="41.25" customHeight="1">
      <x:c r="A34" s="12" t="str">
        <x:v>T26</x:v>
      </x:c>
      <x:c r="B34" s="12" t="str">
        <x:v>Tabs示例覆盖</x:v>
      </x:c>
      <x:c r="C34" s="12" t="str">
        <x:v>打开基础组件，检查目录及可见节。</x:v>
      </x:c>
      <x:c r="D34" s="12" t="str">
        <x:v>应能用可交互示例复核5.17的页头/列表Tabs及键盘状态。</x:v>
      </x:c>
      <x:c r="E34" s="12" t="str">
        <x:v>待补样例</x:v>
      </x:c>
      <x:c r="F34" s="12" t="str">
        <x:v>目录17类未含Tabs专节；不据此认定核心库不支持Tabs。</x:v>
      </x:c>
      <x:c r="G34" s="12" t="str">
        <x:v>E22-components</x:v>
      </x:c>
      <x:c r="H34" s="12" t="str">
        <x:v>规范5.17/RV01</x:v>
      </x:c>
      <x:c r="I34" s="12" t="str">
        <x:v>F10</x:v>
      </x:c>
      <x:c r="J34" s="13" t="str"/>
      <x:c r="K34" s="13" t="str">
        <x:v>未复测</x:v>
      </x:c>
    </x:row>
    <x:row r="35" ht="41.25" customHeight="1">
      <x:c r="A35" s="11" t="str">
        <x:v>T27</x:v>
      </x:c>
      <x:c r="B35" s="11" t="str">
        <x:v>多分类/三级菜单</x:v>
      </x:c>
      <x:c r="C35" s="11" t="str">
        <x:v>静态检查AppSider；需至少2个分类和三级菜单fixture后走查。</x:v>
      </x:c>
      <x:c r="D35" s="11" t="str">
        <x:v>手动可多分类展开；跨分类选择按RV02；三级路径可达。</x:v>
      </x:c>
      <x:c r="E35" s="11" t="str">
        <x:v>静态风险</x:v>
      </x:c>
      <x:c r="F35" s="11" t="str">
        <x:v>accordion=true且只渲染一级及其直接children；当前数据不足以完整实测。</x:v>
      </x:c>
      <x:c r="G35" s="11" t="str">
        <x:v>pcs-front/src/layout/components/AppSider.vue:13,22</x:v>
      </x:c>
      <x:c r="H35" s="11" t="str">
        <x:v>RV02设计完毕/规范4.5</x:v>
      </x:c>
      <x:c r="I35" s="11" t="str">
        <x:v>F09</x:v>
      </x:c>
      <x:c r="J35" s="13" t="str"/>
      <x:c r="K35" s="13" t="str">
        <x:v>未复测</x:v>
      </x:c>
    </x:row>
    <x:row r="36" ht="41.25" customHeight="1">
      <x:c r="A36" s="12" t="str">
        <x:v>T28</x:v>
      </x:c>
      <x:c r="B36" s="12" t="str">
        <x:v>加载、超时、断网与局部重试</x:v>
      </x:c>
      <x:c r="C36" s="12" t="str">
        <x:v>通过受控前端fixture提供slow/timeout/offline/500，观察列表及按钮。</x:v>
      </x:c>
      <x:c r="D36" s="12" t="str">
        <x:v>区域Spin/按钮loading；结束解锁；错误可重试且保留输入。</x:v>
      </x:c>
      <x:c r="E36" s="12" t="str">
        <x:v>未执行</x:v>
      </x:c>
      <x:c r="F36" s="12" t="str">
        <x:v>没有执行故障注入；正常请求和错误页直开不能替代本项。</x:v>
      </x:c>
      <x:c r="G36" s="12" t="str"/>
      <x:c r="H36" s="12" t="str">
        <x:v>规范2.1、7.1、7.3</x:v>
      </x:c>
      <x:c r="I36" s="12" t="str"/>
      <x:c r="J36" s="13" t="str"/>
      <x:c r="K36" s="13" t="str">
        <x:v>未复测</x:v>
      </x:c>
    </x:row>
    <x:row r="37" ht="41.25" customHeight="1">
      <x:c r="A37" s="11" t="str">
        <x:v>T29</x:v>
      </x:c>
      <x:c r="B37" s="11" t="str">
        <x:v>全选半选与跨页选择</x:v>
      </x:c>
      <x:c r="C37" s="11" t="str">
        <x:v>有足够数据的fixture中全选、取消单行、切页再筛选。</x:v>
      </x:c>
      <x:c r="D37" s="11" t="str">
        <x:v>三态正确；跨页范围依PRD；批量操作对象提示一致。</x:v>
      </x:c>
      <x:c r="E37" s="11" t="str">
        <x:v>未执行</x:v>
      </x:c>
      <x:c r="F37" s="11" t="str">
        <x:v>本次仅执行单行选择，没有宣称全选/跨页通过。</x:v>
      </x:c>
      <x:c r="G37" s="11" t="str"/>
      <x:c r="H37" s="11" t="str">
        <x:v>规范5.8/RV17</x:v>
      </x:c>
      <x:c r="I37" s="11" t="str"/>
      <x:c r="J37" s="13" t="str"/>
      <x:c r="K37" s="13" t="str">
        <x:v>未复测</x:v>
      </x:c>
    </x:row>
    <x:row r="38" ht="41.25" customHeight="1">
      <x:c r="A38" s="12" t="str">
        <x:v>T30</x:v>
      </x:c>
      <x:c r="B38" s="12" t="str">
        <x:v>长文本、零值、极值专项</x:v>
      </x:c>
      <x:c r="C38" s="12" t="str">
        <x:v>构造L-1/L/L+1、多字节、0/空、极值和超大列表fixture。</x:v>
      </x:c>
      <x:c r="D38" s="12" t="str">
        <x:v>截断全文/单位/空零/布局符合规范；L等业务阈值取PRD。</x:v>
      </x:c>
      <x:c r="E38" s="12" t="str">
        <x:v>未执行</x:v>
      </x:c>
      <x:c r="F38" s="12" t="str">
        <x:v>只执行备注200/201字；列表极值和超大数据未造数。</x:v>
      </x:c>
      <x:c r="G38" s="12" t="str"/>
      <x:c r="H38" s="12" t="str">
        <x:v>规范9.1-9.4/阶段共识22</x:v>
      </x:c>
      <x:c r="I38" s="12" t="str"/>
      <x:c r="J38" s="13" t="str"/>
      <x:c r="K38" s="13" t="str">
        <x:v>未复测</x:v>
      </x:c>
    </x:row>
  </x:sheetData>
  <x:conditionalFormatting sqref="E9:E38">
    <x:cfRule type="containsText" dxfId="0" priority="1" operator="containsText" text="不符"/>
    <x:cfRule type="containsText" dxfId="1" priority="2" operator="containsText" text="未执行"/>
    <x:cfRule type="containsText" dxfId="2" priority="3" operator="containsText" text="待"/>
    <x:cfRule type="containsText" dxfId="3" priority="4" operator="containsText" text="通过"/>
  </x:conditionalFormatting>
  <x:dataValidations count="1">
    <x:dataValidation type="list" sqref="K9:K38">
      <x:formula1>"未复测,通过,不通过,受阻,不适用"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d2ff90a5d04db0"/>
  </x:tableParts>
</x:worksheet>
</file>

<file path=xl/worksheets/sheet3.xml><?xml version="1.0" encoding="utf-8"?>
<x:worksheet xmlns:x="http://schemas.openxmlformats.org/spreadsheetml/2006/main">
  <x:sheetPr>
    <x:tabColor rgb="FF175DB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.130000114440918" hidden="0" customWidth="1"/>
    <x:col min="2" max="2" width="11.25" hidden="0" customWidth="1"/>
    <x:col min="3" max="3" width="18.1299991607666" hidden="0" customWidth="1"/>
    <x:col min="4" max="4" width="10" hidden="0" customWidth="1"/>
    <x:col min="5" max="5" width="27.5" hidden="0" customWidth="1"/>
    <x:col min="6" max="6" width="13.75" hidden="0" customWidth="1"/>
    <x:col min="7" max="7" width="36.25" hidden="0" customWidth="1"/>
    <x:col min="8" max="8" width="45.630001068115234" hidden="0" customWidth="1"/>
    <x:col min="9" max="9" width="52.5" hidden="0" customWidth="1"/>
    <x:col min="10" max="10" width="15.630000114440918" hidden="0" customWidth="1"/>
    <x:col min="11" max="11" width="30" hidden="0" customWidth="1"/>
    <x:col min="12" max="12" width="12.5" hidden="0" customWidth="1"/>
    <x:col min="13" max="13" width="13.75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7" customHeight="1">
      <x:c r="A2" s="5" t="str">
        <x:v>本周业务 UI 与交互用例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1" customHeight="1">
      <x:c r="A3" s="6" t="str">
        <x:v>38个UI/开工作包，每项2个具体场景；通用模板只作参照，本业务用例均未执行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1" customHeight="1">
      <x:c r="A4" s="4" t="str">
        <x:v>边界值：L=PRD批准的字段长度；B=文件大小上限；K=文件数上限；N=每页条数。未规定时先确认，不自行定义业务规则。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21" customHeight="1">
      <x:c r="A5" s="4" t="str">
        <x:v>仅检查布局、状态、提示与恢复；算法/价格计算/引用判定/版本生成/数据落库/真实鉴权交由既有功能测试。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21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1" customHeight="1">
      <x:c r="A7" s="6" t="str">
        <x:v>浅黄色为后续人工填写/更新区；表头带筛选，横向滚动时前两列保留。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14"/>
    </x:row>
    <x:row r="8" ht="31.5" customHeight="1">
      <x:c r="A8" s="10" t="str">
        <x:v>用例ID</x:v>
      </x:c>
      <x:c r="B8" s="10" t="str">
        <x:v>源序号/行</x:v>
      </x:c>
      <x:c r="C8" s="10" t="str">
        <x:v>业务区域</x:v>
      </x:c>
      <x:c r="D8" s="10" t="str">
        <x:v>源优先级</x:v>
      </x:c>
      <x:c r="E8" s="10" t="str">
        <x:v>场景</x:v>
      </x:c>
      <x:c r="F8" s="10" t="str">
        <x:v>类型</x:v>
      </x:c>
      <x:c r="G8" s="10" t="str">
        <x:v>前置条件</x:v>
      </x:c>
      <x:c r="H8" s="10" t="str">
        <x:v>操作步骤</x:v>
      </x:c>
      <x:c r="I8" s="10" t="str">
        <x:v>可观察预期</x:v>
      </x:c>
      <x:c r="J8" s="10" t="str">
        <x:v>准入状态</x:v>
      </x:c>
      <x:c r="K8" s="10" t="str">
        <x:v>依据</x:v>
      </x:c>
      <x:c r="L8" s="10" t="str">
        <x:v>负责人</x:v>
      </x:c>
      <x:c r="M8" s="10" t="str">
        <x:v>执行结果</x:v>
      </x:c>
    </x:row>
    <x:row r="9" ht="41.25" customHeight="1">
      <x:c r="A9" s="11" t="str">
        <x:v>W2-01-1</x:v>
      </x:c>
      <x:c r="B9" s="11" t="str">
        <x:v>1 / 5</x:v>
      </x:c>
      <x:c r="C9" s="11" t="str">
        <x:v>服务单元</x:v>
      </x:c>
      <x:c r="D9" s="11" t="str">
        <x:v>P0</x:v>
      </x:c>
      <x:c r="E9" s="11" t="str">
        <x:v>列表层级与筛选反馈</x:v>
      </x:c>
      <x:c r="F9" s="11" t="str">
        <x:v>正常/空态</x:v>
      </x:c>
      <x:c r="G9" s="11" t="str">
        <x:v>提供该业务页的批准设计与可切换前端状态样例；本地通用模板仅作对照</x:v>
      </x:c>
      <x:c r="H9" s="11" t="str">
        <x:v>进入服务单元列表；以有效条件查询，再查询无结果；点击重置。</x:v>
      </x:c>
      <x:c r="I9" s="11" t="str">
        <x:v>页头主操作归位；筛选不强行拉伸填满；查询有刷新反馈；无结果提供清空筛选入口。</x:v>
      </x:c>
      <x:c r="J9" s="11" t="str">
        <x:v>待业务页执行</x:v>
      </x:c>
      <x:c r="K9" s="11" t="str">
        <x:v>RV12/RV13/RV14/RV23</x:v>
      </x:c>
      <x:c r="L9" s="13" t="str"/>
      <x:c r="M9" s="13" t="str">
        <x:v>未执行</x:v>
      </x:c>
    </x:row>
    <x:row r="10" ht="41.25" customHeight="1">
      <x:c r="A10" s="12" t="str">
        <x:v>W2-01-2</x:v>
      </x:c>
      <x:c r="B10" s="12" t="str">
        <x:v>1 / 5</x:v>
      </x:c>
      <x:c r="C10" s="12" t="str">
        <x:v>服务单元</x:v>
      </x:c>
      <x:c r="D10" s="12" t="str">
        <x:v>P0</x:v>
      </x:c>
      <x:c r="E10" s="12" t="str">
        <x:v>长名称与固定列</x:v>
      </x:c>
      <x:c r="F10" s="12" t="str">
        <x:v>边界</x:v>
      </x:c>
      <x:c r="G10" s="12" t="str">
        <x:v>提供该业务页的批准设计与可切换前端状态样例；本地通用模板仅作对照</x:v>
      </x:c>
      <x:c r="H10" s="12" t="str">
        <x:v>准备L字名称及宽表；横向滚动、悬停被截断内容。</x:v>
      </x:c>
      <x:c r="I10" s="12" t="str">
        <x:v>勾选列及业务识别列、右操作列可定位；长文本省略且可看全文；不出现页面级横向滚动。</x:v>
      </x:c>
      <x:c r="J10" s="12" t="str">
        <x:v>待业务页执行</x:v>
      </x:c>
      <x:c r="K10" s="12" t="str">
        <x:v>RV16/规范5.8、9.4</x:v>
      </x:c>
      <x:c r="L10" s="13" t="str"/>
      <x:c r="M10" s="13" t="str">
        <x:v>未执行</x:v>
      </x:c>
    </x:row>
    <x:row r="11" ht="41.25" customHeight="1">
      <x:c r="A11" s="11" t="str">
        <x:v>W2-02-1</x:v>
      </x:c>
      <x:c r="B11" s="11" t="str">
        <x:v>2 / 6</x:v>
      </x:c>
      <x:c r="C11" s="11" t="str">
        <x:v>服务单元</x:v>
      </x:c>
      <x:c r="D11" s="11" t="str">
        <x:v>P0</x:v>
      </x:c>
      <x:c r="E11" s="11" t="str">
        <x:v>批量栏与取消选择</x:v>
      </x:c>
      <x:c r="F11" s="11" t="str">
        <x:v>正常</x:v>
      </x:c>
      <x:c r="G11" s="11" t="str">
        <x:v>提供该业务页的批准设计与可切换前端状态样例；本地通用模板仅作对照</x:v>
      </x:c>
      <x:c r="H11" s="11" t="str">
        <x:v>先不勾选，再勾1条、全选本页、取消选择。</x:v>
      </x:c>
      <x:c r="I11" s="11" t="str">
        <x:v>零选无批量栏；选中出现表格顶部批量栏；全选半选状态准确；取消后恢复默认工具栏。</x:v>
      </x:c>
      <x:c r="J11" s="11" t="str">
        <x:v>待业务页执行</x:v>
      </x:c>
      <x:c r="K11" s="11" t="str">
        <x:v>RV17/RV18</x:v>
      </x:c>
      <x:c r="L11" s="13" t="str"/>
      <x:c r="M11" s="13" t="str">
        <x:v>未执行</x:v>
      </x:c>
    </x:row>
    <x:row r="12" ht="41.25" customHeight="1">
      <x:c r="A12" s="12" t="str">
        <x:v>W2-02-2</x:v>
      </x:c>
      <x:c r="B12" s="12" t="str">
        <x:v>2 / 6</x:v>
      </x:c>
      <x:c r="C12" s="12" t="str">
        <x:v>服务单元</x:v>
      </x:c>
      <x:c r="D12" s="12" t="str">
        <x:v>P0</x:v>
      </x:c>
      <x:c r="E12" s="12" t="str">
        <x:v>混合状态与跨页反馈</x:v>
      </x:c>
      <x:c r="F12" s="12" t="str">
        <x:v>边界/异常</x:v>
      </x:c>
      <x:c r="G12" s="12" t="str">
        <x:v>提供该业务页的批准设计与可切换前端状态样例；本地通用模板仅作对照</x:v>
      </x:c>
      <x:c r="H12" s="12" t="str">
        <x:v>准备可操作与不可操作混合项；切换页、筛选；模拟部分失败响应。</x:v>
      </x:c>
      <x:c r="I12" s="12" t="str">
        <x:v>选择范围和数量一致；禁用原因可理解；失败项可定位；不把部分成功显示成全成功。跨页保留策略先按PRD确认。</x:v>
      </x:c>
      <x:c r="J12" s="12" t="str">
        <x:v>待业务页执行</x:v>
      </x:c>
      <x:c r="K12" s="12" t="str">
        <x:v>阶段共识19/规范7.3</x:v>
      </x:c>
      <x:c r="L12" s="13" t="str"/>
      <x:c r="M12" s="13" t="str">
        <x:v>未执行</x:v>
      </x:c>
    </x:row>
    <x:row r="13" ht="41.25" customHeight="1">
      <x:c r="A13" s="11" t="str">
        <x:v>W2-03-1</x:v>
      </x:c>
      <x:c r="B13" s="11" t="str">
        <x:v>3 / 7</x:v>
      </x:c>
      <x:c r="C13" s="11" t="str">
        <x:v>服务单元</x:v>
      </x:c>
      <x:c r="D13" s="11" t="str">
        <x:v>P0</x:v>
      </x:c>
      <x:c r="E13" s="11" t="str">
        <x:v>新建编辑承载与分组</x:v>
      </x:c>
      <x:c r="F13" s="11" t="str">
        <x:v>待裁决</x:v>
      </x:c>
      <x:c r="G13" s="11" t="str">
        <x:v>提供该业务页的批准设计与可切换前端状态样例；本地通用模板仅作对照</x:v>
      </x:c>
      <x:c r="H13" s="11" t="str">
        <x:v>对比排期弹窗与RV06独立页；在批准容器中打开新建/编辑，查看分组、固定操作区。</x:v>
      </x:c>
      <x:c r="I13" s="11" t="str">
        <x:v>先固化容器；复杂内容不产生多层弹窗；新建与编辑标题明确，字段/主操作布局一致。</x:v>
      </x:c>
      <x:c r="J13" s="11" t="str">
        <x:v>待基线确认</x:v>
      </x:c>
      <x:c r="K13" s="11" t="str">
        <x:v>RV06/规范内容承载决策</x:v>
      </x:c>
      <x:c r="L13" s="13" t="str"/>
      <x:c r="M13" s="13" t="str">
        <x:v>未执行</x:v>
      </x:c>
    </x:row>
    <x:row r="14" ht="41.25" customHeight="1">
      <x:c r="A14" s="12" t="str">
        <x:v>W2-03-2</x:v>
      </x:c>
      <x:c r="B14" s="12" t="str">
        <x:v>3 / 7</x:v>
      </x:c>
      <x:c r="C14" s="12" t="str">
        <x:v>服务单元</x:v>
      </x:c>
      <x:c r="D14" s="12" t="str">
        <x:v>P0</x:v>
      </x:c>
      <x:c r="E14" s="12" t="str">
        <x:v>长表单校验与离开</x:v>
      </x:c>
      <x:c r="F14" s="12" t="str">
        <x:v>边界/异常</x:v>
      </x:c>
      <x:c r="G14" s="12" t="str">
        <x:v>提供该业务页的批准设计与可切换前端状态样例；本地通用模板仅作对照</x:v>
      </x:c>
      <x:c r="H14" s="12" t="str">
        <x:v>输入空值、空白、L-1/L/L+1文本；触发前端错误后修正；取消、返回、刷新。</x:v>
      </x:c>
      <x:c r="I14" s="12" t="str">
        <x:v>错误在字段下且不遮挡；长文不撑破；已录内容去留按批准策略提示；本轮只查提示与恢复。</x:v>
      </x:c>
      <x:c r="J14" s="12" t="str">
        <x:v>待基线确认</x:v>
      </x:c>
      <x:c r="K14" s="12" t="str">
        <x:v>规范5.7/阶段共识22</x:v>
      </x:c>
      <x:c r="L14" s="13" t="str"/>
      <x:c r="M14" s="13" t="str">
        <x:v>未执行</x:v>
      </x:c>
    </x:row>
    <x:row r="15" ht="41.25" customHeight="1">
      <x:c r="A15" s="11" t="str">
        <x:v>W2-04-1</x:v>
      </x:c>
      <x:c r="B15" s="11" t="str">
        <x:v>4 / 8</x:v>
      </x:c>
      <x:c r="C15" s="11" t="str">
        <x:v>服务单元</x:v>
      </x:c>
      <x:c r="D15" s="11" t="str">
        <x:v>P1</x:v>
      </x:c>
      <x:c r="E15" s="11" t="str">
        <x:v>详情承载方式与只读</x:v>
      </x:c>
      <x:c r="F15" s="11" t="str">
        <x:v>待裁决</x:v>
      </x:c>
      <x:c r="G15" s="11" t="str">
        <x:v>提供该业务页的批准设计与可切换前端状态样例；本地通用模板仅作对照</x:v>
      </x:c>
      <x:c r="H15" s="11" t="str">
        <x:v>对照RV07独立页面与RV22右抽屉，确认后打开一条服务单元。</x:v>
      </x:c>
      <x:c r="I15" s="11" t="str">
        <x:v>只读字段分组；入口和返回清晰；无误导性编辑控件；承载方式只按书面裁决验收。</x:v>
      </x:c>
      <x:c r="J15" s="11" t="str">
        <x:v>待基线确认</x:v>
      </x:c>
      <x:c r="K15" s="11" t="str">
        <x:v>RV07/RV22</x:v>
      </x:c>
      <x:c r="L15" s="13" t="str"/>
      <x:c r="M15" s="13" t="str">
        <x:v>未执行</x:v>
      </x:c>
    </x:row>
    <x:row r="16" ht="41.25" customHeight="1">
      <x:c r="A16" s="12" t="str">
        <x:v>W2-04-2</x:v>
      </x:c>
      <x:c r="B16" s="12" t="str">
        <x:v>4 / 8</x:v>
      </x:c>
      <x:c r="C16" s="12" t="str">
        <x:v>服务单元</x:v>
      </x:c>
      <x:c r="D16" s="12" t="str">
        <x:v>P1</x:v>
      </x:c>
      <x:c r="E16" s="12" t="str">
        <x:v>长详情与连续查看</x:v>
      </x:c>
      <x:c r="F16" s="12" t="str">
        <x:v>边界</x:v>
      </x:c>
      <x:c r="G16" s="12" t="str">
        <x:v>提供该业务页的批准设计与可切换前端状态样例；本地通用模板仅作对照</x:v>
      </x:c>
      <x:c r="H16" s="12" t="str">
        <x:v>准备空字段、长地址、长备注、多关联项；浏览到底，关闭后打开另一条。</x:v>
      </x:c>
      <x:c r="I16" s="12" t="str">
        <x:v>空值按口径展示；长文本展开；抽屉方案固定标题/底部且内容独立滚动；列表上下文保留。</x:v>
      </x:c>
      <x:c r="J16" s="12" t="str">
        <x:v>待基线确认</x:v>
      </x:c>
      <x:c r="K16" s="12" t="str">
        <x:v>规范5.11、9.1、9.4</x:v>
      </x:c>
      <x:c r="L16" s="13" t="str"/>
      <x:c r="M16" s="13" t="str">
        <x:v>未执行</x:v>
      </x:c>
    </x:row>
    <x:row r="17" ht="41.25" customHeight="1">
      <x:c r="A17" s="11" t="str">
        <x:v>W2-05-1</x:v>
      </x:c>
      <x:c r="B17" s="11" t="str">
        <x:v>5 / 9</x:v>
      </x:c>
      <x:c r="C17" s="11" t="str">
        <x:v>服务单元</x:v>
      </x:c>
      <x:c r="D17" s="11" t="str">
        <x:v>P0</x:v>
      </x:c>
      <x:c r="E17" s="11" t="str">
        <x:v>启停风险确认</x:v>
      </x:c>
      <x:c r="F17" s="11" t="str">
        <x:v>正常</x:v>
      </x:c>
      <x:c r="G17" s="11" t="str">
        <x:v>提供该业务页的批准设计与可切换前端状态样例；本地通用模板仅作对照</x:v>
      </x:c>
      <x:c r="H17" s="11" t="str">
        <x:v>打开禁用编排/启用确认，检查图标、对象名称、按钮语义，再取消。</x:v>
      </x:c>
      <x:c r="I17" s="11" t="str">
        <x:v>风险采用批准的Warning语义；标题与影响说明具体；取消不改变界面状态。</x:v>
      </x:c>
      <x:c r="J17" s="11" t="str">
        <x:v>待业务页执行</x:v>
      </x:c>
      <x:c r="K17" s="11" t="str">
        <x:v>RV09/规范7.3</x:v>
      </x:c>
      <x:c r="L17" s="13" t="str"/>
      <x:c r="M17" s="13" t="str">
        <x:v>未执行</x:v>
      </x:c>
    </x:row>
    <x:row r="18" ht="41.25" customHeight="1">
      <x:c r="A18" s="12" t="str">
        <x:v>W2-05-2</x:v>
      </x:c>
      <x:c r="B18" s="12" t="str">
        <x:v>5 / 9</x:v>
      </x:c>
      <x:c r="C18" s="12" t="str">
        <x:v>服务单元</x:v>
      </x:c>
      <x:c r="D18" s="12" t="str">
        <x:v>P0</x:v>
      </x:c>
      <x:c r="E18" s="12" t="str">
        <x:v>被引用或冲突的提示</x:v>
      </x:c>
      <x:c r="F18" s="12" t="str">
        <x:v>异常</x:v>
      </x:c>
      <x:c r="G18" s="12" t="str">
        <x:v>提供该业务页的批准设计与可切换前端状态样例；本地通用模板仅作对照</x:v>
      </x:c>
      <x:c r="H18" s="12" t="str">
        <x:v>用被引用、已停用、并发改变的响应样例驱动前端。</x:v>
      </x:c>
      <x:c r="I18" s="12" t="str">
        <x:v>原因可理解、对象可定位；未成功前不提前变成功；保留重试或返回入口。引用规则正确性另测。</x:v>
      </x:c>
      <x:c r="J18" s="12" t="str">
        <x:v>待业务页执行</x:v>
      </x:c>
      <x:c r="K18" s="12" t="str">
        <x:v>阶段共识19/PRD业务规则另测</x:v>
      </x:c>
      <x:c r="L18" s="13" t="str"/>
      <x:c r="M18" s="13" t="str">
        <x:v>未执行</x:v>
      </x:c>
    </x:row>
    <x:row r="19" ht="41.25" customHeight="1">
      <x:c r="A19" s="11" t="str">
        <x:v>W2-07-1</x:v>
      </x:c>
      <x:c r="B19" s="11" t="str">
        <x:v>7 / 11</x:v>
      </x:c>
      <x:c r="C19" s="11" t="str">
        <x:v>服务组合</x:v>
      </x:c>
      <x:c r="D19" s="11" t="str">
        <x:v>P0</x:v>
      </x:c>
      <x:c r="E19" s="11" t="str">
        <x:v>服务组合列表模板对齐</x:v>
      </x:c>
      <x:c r="F19" s="11" t="str">
        <x:v>正常</x:v>
      </x:c>
      <x:c r="G19" s="11" t="str">
        <x:v>提供该业务页的批准设计与可切换前端状态样例；本地通用模板仅作对照</x:v>
      </x:c>
      <x:c r="H19" s="11" t="str">
        <x:v>进入组合列表，检查页头、筛选、状态标签及详情入口。</x:v>
      </x:c>
      <x:c r="I19" s="11" t="str">
        <x:v>层级与服务单元一致，筛选字段按实际需求；链接可点击；状态兼有文字与颜色。</x:v>
      </x:c>
      <x:c r="J19" s="11" t="str">
        <x:v>待业务页执行</x:v>
      </x:c>
      <x:c r="K19" s="11" t="str">
        <x:v>RV12-RV19</x:v>
      </x:c>
      <x:c r="L19" s="13" t="str"/>
      <x:c r="M19" s="13" t="str">
        <x:v>未执行</x:v>
      </x:c>
    </x:row>
    <x:row r="20" ht="41.25" customHeight="1">
      <x:c r="A20" s="12" t="str">
        <x:v>W2-07-2</x:v>
      </x:c>
      <x:c r="B20" s="12" t="str">
        <x:v>7 / 11</x:v>
      </x:c>
      <x:c r="C20" s="12" t="str">
        <x:v>服务组合</x:v>
      </x:c>
      <x:c r="D20" s="12" t="str">
        <x:v>P0</x:v>
      </x:c>
      <x:c r="E20" s="12" t="str">
        <x:v>零条与末页</x:v>
      </x:c>
      <x:c r="F20" s="12" t="str">
        <x:v>边界</x:v>
      </x:c>
      <x:c r="G20" s="12" t="str">
        <x:v>提供该业务页的批准设计与可切换前端状态样例；本地通用模板仅作对照</x:v>
      </x:c>
      <x:c r="H20" s="12" t="str">
        <x:v>展示0、1、每页N、N+1条及末页不足N条。</x:v>
      </x:c>
      <x:c r="I20" s="12" t="str">
        <x:v>空态与无结果区别；页码、总数不错位；翻页后操作可达，数据删空回到可用页。</x:v>
      </x:c>
      <x:c r="J20" s="12" t="str">
        <x:v>待业务页执行</x:v>
      </x:c>
      <x:c r="K20" s="12" t="str">
        <x:v>RV15/规范7.2</x:v>
      </x:c>
      <x:c r="L20" s="13" t="str"/>
      <x:c r="M20" s="13" t="str">
        <x:v>未执行</x:v>
      </x:c>
    </x:row>
    <x:row r="21" ht="41.25" customHeight="1">
      <x:c r="A21" s="11" t="str">
        <x:v>W2-08-1</x:v>
      </x:c>
      <x:c r="B21" s="11" t="str">
        <x:v>8 / 12</x:v>
      </x:c>
      <x:c r="C21" s="11" t="str">
        <x:v>服务组合</x:v>
      </x:c>
      <x:c r="D21" s="11" t="str">
        <x:v>P0</x:v>
      </x:c>
      <x:c r="E21" s="11" t="str">
        <x:v>组合表单关联项布局</x:v>
      </x:c>
      <x:c r="F21" s="11" t="str">
        <x:v>正常</x:v>
      </x:c>
      <x:c r="G21" s="11" t="str">
        <x:v>提供该业务页的批准设计与可切换前端状态样例；本地通用模板仅作对照</x:v>
      </x:c>
      <x:c r="H21" s="11" t="str">
        <x:v>打开新增/编辑；展开关联服务单元选择，选择后返回表单。</x:v>
      </x:c>
      <x:c r="I21" s="11" t="str">
        <x:v>关联关系、分组、必填和已选状态清楚，连续操作不需要重复开多层弹窗。</x:v>
      </x:c>
      <x:c r="J21" s="11" t="str">
        <x:v>待业务页执行</x:v>
      </x:c>
      <x:c r="K21" s="11" t="str">
        <x:v>规范5.7/内容承载决策</x:v>
      </x:c>
      <x:c r="L21" s="13" t="str"/>
      <x:c r="M21" s="13" t="str">
        <x:v>未执行</x:v>
      </x:c>
    </x:row>
    <x:row r="22" ht="41.25" customHeight="1">
      <x:c r="A22" s="12" t="str">
        <x:v>W2-08-2</x:v>
      </x:c>
      <x:c r="B22" s="12" t="str">
        <x:v>8 / 12</x:v>
      </x:c>
      <x:c r="C22" s="12" t="str">
        <x:v>服务组合</x:v>
      </x:c>
      <x:c r="D22" s="12" t="str">
        <x:v>P0</x:v>
      </x:c>
      <x:c r="E22" s="12" t="str">
        <x:v>多关联与失效选项</x:v>
      </x:c>
      <x:c r="F22" s="12" t="str">
        <x:v>边界/异常</x:v>
      </x:c>
      <x:c r="G22" s="12" t="str">
        <x:v>提供该业务页的批准设计与可切换前端状态样例；本地通用模板仅作对照</x:v>
      </x:c>
      <x:c r="H22" s="12" t="str">
        <x:v>准备0、1、多关联项、超长名称和已失效选项；取消选择后再打开。</x:v>
      </x:c>
      <x:c r="I22" s="12" t="str">
        <x:v>文本不挤占操作区；空候选/失效状态有说明；取消只丢弃本次未确认选择。</x:v>
      </x:c>
      <x:c r="J22" s="12" t="str">
        <x:v>待业务页执行</x:v>
      </x:c>
      <x:c r="K22" s="12" t="str">
        <x:v>阶段共识13、19</x:v>
      </x:c>
      <x:c r="L22" s="13" t="str"/>
      <x:c r="M22" s="13" t="str">
        <x:v>未执行</x:v>
      </x:c>
    </x:row>
    <x:row r="23" ht="41.25" customHeight="1">
      <x:c r="A23" s="11" t="str">
        <x:v>W2-09-1</x:v>
      </x:c>
      <x:c r="B23" s="11" t="str">
        <x:v>9 / 13</x:v>
      </x:c>
      <x:c r="C23" s="11" t="str">
        <x:v>服务组合</x:v>
      </x:c>
      <x:c r="D23" s="11" t="str">
        <x:v>P1</x:v>
      </x:c>
      <x:c r="E23" s="11" t="str">
        <x:v>历史列表与详情返回</x:v>
      </x:c>
      <x:c r="F23" s="11" t="str">
        <x:v>正常</x:v>
      </x:c>
      <x:c r="G23" s="11" t="str">
        <x:v>提供该业务页的批准设计与可切换前端状态样例；本地通用模板仅作对照</x:v>
      </x:c>
      <x:c r="H23" s="11" t="str">
        <x:v>打开历史版本，进入某版本详情，再返回历史列表。</x:v>
      </x:c>
      <x:c r="I23" s="11" t="str">
        <x:v>采用批准的抽屉内视图切换；顶部有返回；分组只读；返回仍定位原版本。</x:v>
      </x:c>
      <x:c r="J23" s="11" t="str">
        <x:v>待业务页执行</x:v>
      </x:c>
      <x:c r="K23" s="11" t="str">
        <x:v>RV08/规范5.11</x:v>
      </x:c>
      <x:c r="L23" s="13" t="str"/>
      <x:c r="M23" s="13" t="str">
        <x:v>未执行</x:v>
      </x:c>
    </x:row>
    <x:row r="24" ht="41.25" customHeight="1">
      <x:c r="A24" s="12" t="str">
        <x:v>W2-09-2</x:v>
      </x:c>
      <x:c r="B24" s="12" t="str">
        <x:v>9 / 13</x:v>
      </x:c>
      <x:c r="C24" s="12" t="str">
        <x:v>服务组合</x:v>
      </x:c>
      <x:c r="D24" s="12" t="str">
        <x:v>P1</x:v>
      </x:c>
      <x:c r="E24" s="12" t="str">
        <x:v>无历史与长快照</x:v>
      </x:c>
      <x:c r="F24" s="12" t="str">
        <x:v>边界</x:v>
      </x:c>
      <x:c r="G24" s="12" t="str">
        <x:v>提供该业务页的批准设计与可切换前端状态样例；本地通用模板仅作对照</x:v>
      </x:c>
      <x:c r="H24" s="12" t="str">
        <x:v>准备0、1、多版本及长字段值；滚动、关闭重开。</x:v>
      </x:c>
      <x:c r="I24" s="12" t="str">
        <x:v>无历史有空态；过长版本信息可读；当前/历史区分；无保存按钮误导。版本生成另测。</x:v>
      </x:c>
      <x:c r="J24" s="12" t="str">
        <x:v>待业务页执行</x:v>
      </x:c>
      <x:c r="K24" s="12" t="str">
        <x:v>RV08/规范7.2、9.4</x:v>
      </x:c>
      <x:c r="L24" s="13" t="str"/>
      <x:c r="M24" s="13" t="str">
        <x:v>未执行</x:v>
      </x:c>
    </x:row>
    <x:row r="25" ht="41.25" customHeight="1">
      <x:c r="A25" s="11" t="str">
        <x:v>W2-10-1</x:v>
      </x:c>
      <x:c r="B25" s="11" t="str">
        <x:v>10 / 14</x:v>
      </x:c>
      <x:c r="C25" s="11" t="str">
        <x:v>服务组合</x:v>
      </x:c>
      <x:c r="D25" s="11" t="str">
        <x:v>P1</x:v>
      </x:c>
      <x:c r="E25" s="11" t="str">
        <x:v>删除确认与取消</x:v>
      </x:c>
      <x:c r="F25" s="11" t="str">
        <x:v>正常</x:v>
      </x:c>
      <x:c r="G25" s="11" t="str">
        <x:v>提供该业务页的批准设计与可切换前端状态样例；本地通用模板仅作对照</x:v>
      </x:c>
      <x:c r="H25" s="11" t="str">
        <x:v>组合列表打开删除确认，再取消。</x:v>
      </x:c>
      <x:c r="I25" s="11" t="str">
        <x:v>风险图标、对象名称、不可恢复提示和确认删除按钮明确；取消回原列表。</x:v>
      </x:c>
      <x:c r="J25" s="11" t="str">
        <x:v>待业务页执行</x:v>
      </x:c>
      <x:c r="K25" s="11" t="str">
        <x:v>规范7.3、8.2</x:v>
      </x:c>
      <x:c r="L25" s="13" t="str"/>
      <x:c r="M25" s="13" t="str">
        <x:v>未执行</x:v>
      </x:c>
    </x:row>
    <x:row r="26" ht="41.25" customHeight="1">
      <x:c r="A26" s="12" t="str">
        <x:v>W2-10-2</x:v>
      </x:c>
      <x:c r="B26" s="12" t="str">
        <x:v>10 / 14</x:v>
      </x:c>
      <x:c r="C26" s="12" t="str">
        <x:v>服务组合</x:v>
      </x:c>
      <x:c r="D26" s="12" t="str">
        <x:v>P1</x:v>
      </x:c>
      <x:c r="E26" s="12" t="str">
        <x:v>引用失败与并发冲突呈现</x:v>
      </x:c>
      <x:c r="F26" s="12" t="str">
        <x:v>异常</x:v>
      </x:c>
      <x:c r="G26" s="12" t="str">
        <x:v>提供该业务页的批准设计与可切换前端状态样例；本地通用模板仅作对照</x:v>
      </x:c>
      <x:c r="H26" s="12" t="str">
        <x:v>模拟有引用、已被他人删除、409冲突与超时响应。</x:v>
      </x:c>
      <x:c r="I26" s="12" t="str">
        <x:v>提示有明确原因和下一步；保留上下文；按钮结束loading可再次操作；不测引用判定算法。</x:v>
      </x:c>
      <x:c r="J26" s="12" t="str">
        <x:v>待业务页执行</x:v>
      </x:c>
      <x:c r="K26" s="12" t="str">
        <x:v>阶段共识19</x:v>
      </x:c>
      <x:c r="L26" s="13" t="str"/>
      <x:c r="M26" s="13" t="str">
        <x:v>未执行</x:v>
      </x:c>
    </x:row>
    <x:row r="27" ht="41.25" customHeight="1">
      <x:c r="A27" s="11" t="str">
        <x:v>W2-11-1</x:v>
      </x:c>
      <x:c r="B27" s="11" t="str">
        <x:v>11 / 15</x:v>
      </x:c>
      <x:c r="C27" s="11" t="str">
        <x:v>策略配置</x:v>
      </x:c>
      <x:c r="D27" s="11" t="str">
        <x:v>P0</x:v>
      </x:c>
      <x:c r="E27" s="11" t="str">
        <x:v>策略列表详情一致性</x:v>
      </x:c>
      <x:c r="F27" s="11" t="str">
        <x:v>正常</x:v>
      </x:c>
      <x:c r="G27" s="11" t="str">
        <x:v>提供该业务页的批准设计与可切换前端状态样例；本地通用模板仅作对照</x:v>
      </x:c>
      <x:c r="H27" s="11" t="str">
        <x:v>进入策略列表，打开只读详情，返回原列表。</x:v>
      </x:c>
      <x:c r="I27" s="11" t="str">
        <x:v>名称、状态、关键条件分组清楚；当前导航高亮；返回保持用户上下文。</x:v>
      </x:c>
      <x:c r="J27" s="11" t="str">
        <x:v>待业务页执行</x:v>
      </x:c>
      <x:c r="K27" s="11" t="str">
        <x:v>规范6.1、6.2</x:v>
      </x:c>
      <x:c r="L27" s="13" t="str"/>
      <x:c r="M27" s="13" t="str">
        <x:v>未执行</x:v>
      </x:c>
    </x:row>
    <x:row r="28" ht="41.25" customHeight="1">
      <x:c r="A28" s="12" t="str">
        <x:v>W2-11-2</x:v>
      </x:c>
      <x:c r="B28" s="12" t="str">
        <x:v>11 / 15</x:v>
      </x:c>
      <x:c r="C28" s="12" t="str">
        <x:v>策略配置</x:v>
      </x:c>
      <x:c r="D28" s="12" t="str">
        <x:v>P0</x:v>
      </x:c>
      <x:c r="E28" s="12" t="str">
        <x:v>超长条件与无权限</x:v>
      </x:c>
      <x:c r="F28" s="12" t="str">
        <x:v>边界/异常</x:v>
      </x:c>
      <x:c r="G28" s="12" t="str">
        <x:v>提供该业务页的批准设计与可切换前端状态样例；本地通用模板仅作对照</x:v>
      </x:c>
      <x:c r="H28" s="12" t="str">
        <x:v>准备长策略名、多条件与无权限响应；切换可见视图。</x:v>
      </x:c>
      <x:c r="I28" s="12" t="str">
        <x:v>截断内容有完整读取途径；无权限与空列表明确区分，提供允许的返回入口。</x:v>
      </x:c>
      <x:c r="J28" s="12" t="str">
        <x:v>待业务页执行</x:v>
      </x:c>
      <x:c r="K28" s="12" t="str">
        <x:v>规范7.3、9.4</x:v>
      </x:c>
      <x:c r="L28" s="13" t="str"/>
      <x:c r="M28" s="13" t="str">
        <x:v>未执行</x:v>
      </x:c>
    </x:row>
    <x:row r="29" ht="41.25" customHeight="1">
      <x:c r="A29" s="11" t="str">
        <x:v>W2-12-1</x:v>
      </x:c>
      <x:c r="B29" s="11" t="str">
        <x:v>12 / 16</x:v>
      </x:c>
      <x:c r="C29" s="11" t="str">
        <x:v>成本价卡</x:v>
      </x:c>
      <x:c r="D29" s="11" t="str">
        <x:v>P0</x:v>
      </x:c>
      <x:c r="E29" s="11" t="str">
        <x:v>价卡列表筛选与展示</x:v>
      </x:c>
      <x:c r="F29" s="11" t="str">
        <x:v>正常</x:v>
      </x:c>
      <x:c r="G29" s="11" t="str">
        <x:v>提供该业务页的批准设计与可切换前端状态样例；本地通用模板仅作对照</x:v>
      </x:c>
      <x:c r="H29" s="11" t="str">
        <x:v>打开成本价卡列表，筛选有效期/状态等批准字段，再重置。</x:v>
      </x:c>
      <x:c r="I29" s="11" t="str">
        <x:v>日期、状态、币种单位清晰；查询反馈、分页及操作栏一致；列口径按PRD。</x:v>
      </x:c>
      <x:c r="J29" s="11" t="str">
        <x:v>待业务页执行</x:v>
      </x:c>
      <x:c r="K29" s="11" t="str">
        <x:v>RV13-RV18</x:v>
      </x:c>
      <x:c r="L29" s="13" t="str"/>
      <x:c r="M29" s="13" t="str">
        <x:v>未执行</x:v>
      </x:c>
    </x:row>
    <x:row r="30" ht="41.25" customHeight="1">
      <x:c r="A30" s="12" t="str">
        <x:v>W2-12-2</x:v>
      </x:c>
      <x:c r="B30" s="12" t="str">
        <x:v>12 / 16</x:v>
      </x:c>
      <x:c r="C30" s="12" t="str">
        <x:v>成本价卡</x:v>
      </x:c>
      <x:c r="D30" s="12" t="str">
        <x:v>P0</x:v>
      </x:c>
      <x:c r="E30" s="12" t="str">
        <x:v>价卡宽表及金额边界显示</x:v>
      </x:c>
      <x:c r="F30" s="12" t="str">
        <x:v>边界</x:v>
      </x:c>
      <x:c r="G30" s="12" t="str">
        <x:v>提供该业务页的批准设计与可切换前端状态样例；本地通用模板仅作对照</x:v>
      </x:c>
      <x:c r="H30" s="12" t="str">
        <x:v>展示长名、0值、空值、极大金额和多币种样例；横向滚动。</x:v>
      </x:c>
      <x:c r="I30" s="12" t="str">
        <x:v>金额按PRD精度展示且右对齐；空与零可区分；固定列完整，不测计算值。</x:v>
      </x:c>
      <x:c r="J30" s="12" t="str">
        <x:v>待业务页执行</x:v>
      </x:c>
      <x:c r="K30" s="12" t="str">
        <x:v>规范4.5、9.1-9.4</x:v>
      </x:c>
      <x:c r="L30" s="13" t="str"/>
      <x:c r="M30" s="13" t="str">
        <x:v>未执行</x:v>
      </x:c>
    </x:row>
    <x:row r="31" ht="41.25" customHeight="1">
      <x:c r="A31" s="11" t="str">
        <x:v>W2-13-1</x:v>
      </x:c>
      <x:c r="B31" s="11" t="str">
        <x:v>13 / 17</x:v>
      </x:c>
      <x:c r="C31" s="11" t="str">
        <x:v>成本价卡</x:v>
      </x:c>
      <x:c r="D31" s="11" t="str">
        <x:v>P0</x:v>
      </x:c>
      <x:c r="E31" s="11" t="str">
        <x:v>价卡头信息层级</x:v>
      </x:c>
      <x:c r="F31" s="11" t="str">
        <x:v>正常</x:v>
      </x:c>
      <x:c r="G31" s="11" t="str">
        <x:v>提供该业务页的批准设计与可切换前端状态样例；本地通用模板仅作对照</x:v>
      </x:c>
      <x:c r="H31" s="11" t="str">
        <x:v>打开新增/编辑价卡；检查名称、币种、有效期等批准字段及分组。</x:v>
      </x:c>
      <x:c r="I31" s="11" t="str">
        <x:v>必填标识、单位、禁用和只读差异清楚；底部操作可见；保留必要业务说明。</x:v>
      </x:c>
      <x:c r="J31" s="11" t="str">
        <x:v>待业务页执行</x:v>
      </x:c>
      <x:c r="K31" s="11" t="str">
        <x:v>规范5.7/阶段共识17</x:v>
      </x:c>
      <x:c r="L31" s="13" t="str"/>
      <x:c r="M31" s="13" t="str">
        <x:v>未执行</x:v>
      </x:c>
    </x:row>
    <x:row r="32" ht="41.25" customHeight="1">
      <x:c r="A32" s="12" t="str">
        <x:v>W2-13-2</x:v>
      </x:c>
      <x:c r="B32" s="12" t="str">
        <x:v>13 / 17</x:v>
      </x:c>
      <x:c r="C32" s="12" t="str">
        <x:v>成本价卡</x:v>
      </x:c>
      <x:c r="D32" s="12" t="str">
        <x:v>P0</x:v>
      </x:c>
      <x:c r="E32" s="12" t="str">
        <x:v>日期和错误就地显示</x:v>
      </x:c>
      <x:c r="F32" s="12" t="str">
        <x:v>边界/异常</x:v>
      </x:c>
      <x:c r="G32" s="12" t="str">
        <x:v>提供该业务页的批准设计与可切换前端状态样例；本地通用模板仅作对照</x:v>
      </x:c>
      <x:c r="H32" s="12" t="str">
        <x:v>输入起止同日、颠倒、未选日期、长名称及保存失败响应。</x:v>
      </x:c>
      <x:c r="I32" s="12" t="str">
        <x:v>提示定位到对应字段；错误不挤压标签；失败后保留输入；日期是否有效由PRD判定。</x:v>
      </x:c>
      <x:c r="J32" s="12" t="str">
        <x:v>待业务页执行</x:v>
      </x:c>
      <x:c r="K32" s="12" t="str">
        <x:v>规范5.3、5.7</x:v>
      </x:c>
      <x:c r="L32" s="13" t="str"/>
      <x:c r="M32" s="13" t="str">
        <x:v>未执行</x:v>
      </x:c>
    </x:row>
    <x:row r="33" ht="41.25" customHeight="1">
      <x:c r="A33" s="11" t="str">
        <x:v>W2-14-1</x:v>
      </x:c>
      <x:c r="B33" s="11" t="str">
        <x:v>14 / 18</x:v>
      </x:c>
      <x:c r="C33" s="11" t="str">
        <x:v>成本价卡</x:v>
      </x:c>
      <x:c r="D33" s="11" t="str">
        <x:v>P0</x:v>
      </x:c>
      <x:c r="E33" s="11" t="str">
        <x:v>计费明细字段配置</x:v>
      </x:c>
      <x:c r="F33" s="11" t="str">
        <x:v>正常</x:v>
      </x:c>
      <x:c r="G33" s="11" t="str">
        <x:v>提供该业务页的批准设计与可切换前端状态样例；本地通用模板仅作对照</x:v>
      </x:c>
      <x:c r="H33" s="11" t="str">
        <x:v>按已批准方案展示字段配置区，增加/隐藏一个可配置列。</x:v>
      </x:c>
      <x:c r="I33" s="11" t="str">
        <x:v>列名、单位、必填和配置入口一致；只读字段不呈编辑态；配置效果可预览。</x:v>
      </x:c>
      <x:c r="J33" s="11" t="str">
        <x:v>待业务页执行</x:v>
      </x:c>
      <x:c r="K33" s="11" t="str">
        <x:v>规范5.8/排期18行</x:v>
      </x:c>
      <x:c r="L33" s="13" t="str"/>
      <x:c r="M33" s="13" t="str">
        <x:v>未执行</x:v>
      </x:c>
    </x:row>
    <x:row r="34" ht="41.25" customHeight="1">
      <x:c r="A34" s="12" t="str">
        <x:v>W2-14-2</x:v>
      </x:c>
      <x:c r="B34" s="12" t="str">
        <x:v>14 / 18</x:v>
      </x:c>
      <x:c r="C34" s="12" t="str">
        <x:v>成本价卡</x:v>
      </x:c>
      <x:c r="D34" s="12" t="str">
        <x:v>P0</x:v>
      </x:c>
      <x:c r="E34" s="12" t="str">
        <x:v>多列与长字段标题</x:v>
      </x:c>
      <x:c r="F34" s="12" t="str">
        <x:v>边界</x:v>
      </x:c>
      <x:c r="G34" s="12" t="str">
        <x:v>提供该业务页的批准设计与可切换前端状态样例；本地通用模板仅作对照</x:v>
      </x:c>
      <x:c r="H34" s="12" t="str">
        <x:v>使用多计费字段、长单位/列名和无可选字段状态。</x:v>
      </x:c>
      <x:c r="I34" s="12" t="str">
        <x:v>头部不覆盖数据；横向滚动保留锚点和操作；无可配置项有说明。</x:v>
      </x:c>
      <x:c r="J34" s="12" t="str">
        <x:v>待业务页执行</x:v>
      </x:c>
      <x:c r="K34" s="12" t="str">
        <x:v>RV16/规范9.4</x:v>
      </x:c>
      <x:c r="L34" s="13" t="str"/>
      <x:c r="M34" s="13" t="str">
        <x:v>未执行</x:v>
      </x:c>
    </x:row>
    <x:row r="35" ht="41.25" customHeight="1">
      <x:c r="A35" s="11" t="str">
        <x:v>W2-15-1</x:v>
      </x:c>
      <x:c r="B35" s="11" t="str">
        <x:v>15 / 19</x:v>
      </x:c>
      <x:c r="C35" s="11" t="str">
        <x:v>成本价卡</x:v>
      </x:c>
      <x:c r="D35" s="11" t="str">
        <x:v>P0</x:v>
      </x:c>
      <x:c r="E35" s="11" t="str">
        <x:v>行内编辑状态闭环</x:v>
      </x:c>
      <x:c r="F35" s="11" t="str">
        <x:v>待规范</x:v>
      </x:c>
      <x:c r="G35" s="11" t="str">
        <x:v>提供该业务页的批准设计与可切换前端状态样例；本地通用模板仅作对照</x:v>
      </x:c>
      <x:c r="H35" s="11" t="str">
        <x:v>规范批准后依次激活单元格、输入、确认、取消；再用键盘操作。</x:v>
      </x:c>
      <x:c r="I35" s="11" t="str">
        <x:v>显示默认/编辑/校验/保存中/成功/失败；行内错误不会挤乱整表；键位及提交方式按批准规范。</x:v>
      </x:c>
      <x:c r="J35" s="11" t="str">
        <x:v>待基线确认</x:v>
      </x:c>
      <x:c r="K35" s="11" t="str">
        <x:v>RV03 修改中</x:v>
      </x:c>
      <x:c r="L35" s="13" t="str"/>
      <x:c r="M35" s="13" t="str">
        <x:v>未执行</x:v>
      </x:c>
    </x:row>
    <x:row r="36" ht="41.25" customHeight="1">
      <x:c r="A36" s="12" t="str">
        <x:v>W2-15-2</x:v>
      </x:c>
      <x:c r="B36" s="12" t="str">
        <x:v>15 / 19</x:v>
      </x:c>
      <x:c r="C36" s="12" t="str">
        <x:v>成本价卡</x:v>
      </x:c>
      <x:c r="D36" s="12" t="str">
        <x:v>P0</x:v>
      </x:c>
      <x:c r="E36" s="12" t="str">
        <x:v>多行编辑与失败恢复</x:v>
      </x:c>
      <x:c r="F36" s="12" t="str">
        <x:v>异常/边界</x:v>
      </x:c>
      <x:c r="G36" s="12" t="str">
        <x:v>提供该业务页的批准设计与可切换前端状态样例；本地通用模板仅作对照</x:v>
      </x:c>
      <x:c r="H36" s="12" t="str">
        <x:v>两行连续编辑；模拟保存失败、并发冲突、切页或离开。</x:v>
      </x:c>
      <x:c r="I36" s="12" t="str">
        <x:v>未保存值与原值区分；失败定位行/字段；离开策略明确，禁止吞掉输入。</x:v>
      </x:c>
      <x:c r="J36" s="12" t="str">
        <x:v>待基线确认</x:v>
      </x:c>
      <x:c r="K36" s="12" t="str">
        <x:v>RV03/阶段共识19</x:v>
      </x:c>
      <x:c r="L36" s="13" t="str"/>
      <x:c r="M36" s="13" t="str">
        <x:v>未执行</x:v>
      </x:c>
    </x:row>
    <x:row r="37" ht="41.25" customHeight="1">
      <x:c r="A37" s="11" t="str">
        <x:v>W2-16-1</x:v>
      </x:c>
      <x:c r="B37" s="11" t="str">
        <x:v>16 / 20</x:v>
      </x:c>
      <x:c r="C37" s="11" t="str">
        <x:v>成本价卡</x:v>
      </x:c>
      <x:c r="D37" s="11" t="str">
        <x:v>P0</x:v>
      </x:c>
      <x:c r="E37" s="11" t="str">
        <x:v>起终点范围选择器</x:v>
      </x:c>
      <x:c r="F37" s="11" t="str">
        <x:v>正常</x:v>
      </x:c>
      <x:c r="G37" s="11" t="str">
        <x:v>提供该业务页的批准设计与可切换前端状态样例；本地通用模板仅作对照</x:v>
      </x:c>
      <x:c r="H37" s="11" t="str">
        <x:v>打开起点/终点分区选择，搜索、勾选、确认及取消。</x:v>
      </x:c>
      <x:c r="I37" s="11" t="str">
        <x:v>起终点语义清楚；已选状态反馈一致；确认后回到当前价卡，不产生重复选中标签。</x:v>
      </x:c>
      <x:c r="J37" s="11" t="str">
        <x:v>待业务页执行</x:v>
      </x:c>
      <x:c r="K37" s="11" t="str">
        <x:v>规范5.3、5.5</x:v>
      </x:c>
      <x:c r="L37" s="13" t="str"/>
      <x:c r="M37" s="13" t="str">
        <x:v>未执行</x:v>
      </x:c>
    </x:row>
    <x:row r="38" ht="41.25" customHeight="1">
      <x:c r="A38" s="12" t="str">
        <x:v>W2-16-2</x:v>
      </x:c>
      <x:c r="B38" s="12" t="str">
        <x:v>16 / 20</x:v>
      </x:c>
      <x:c r="C38" s="12" t="str">
        <x:v>成本价卡</x:v>
      </x:c>
      <x:c r="D38" s="12" t="str">
        <x:v>P0</x:v>
      </x:c>
      <x:c r="E38" s="12" t="str">
        <x:v>长树与无候选</x:v>
      </x:c>
      <x:c r="F38" s="12" t="str">
        <x:v>边界/异常</x:v>
      </x:c>
      <x:c r="G38" s="12" t="str">
        <x:v>提供该业务页的批准设计与可切换前端状态样例；本地通用模板仅作对照</x:v>
      </x:c>
      <x:c r="H38" s="12" t="str">
        <x:v>多层级、长名称、无匹配、数据加载失败及已选项失效。</x:v>
      </x:c>
      <x:c r="I38" s="12" t="str">
        <x:v>树/列表可滚动、节点全文可读；失败可重试；空候选有清晰说明。</x:v>
      </x:c>
      <x:c r="J38" s="12" t="str">
        <x:v>待业务页执行</x:v>
      </x:c>
      <x:c r="K38" s="12" t="str">
        <x:v>阶段共识13、19</x:v>
      </x:c>
      <x:c r="L38" s="13" t="str"/>
      <x:c r="M38" s="13" t="str">
        <x:v>未执行</x:v>
      </x:c>
    </x:row>
    <x:row r="39" ht="51.75" customHeight="1">
      <x:c r="A39" s="11" t="str">
        <x:v>W2-17-1</x:v>
      </x:c>
      <x:c r="B39" s="11" t="str">
        <x:v>17 / 21</x:v>
      </x:c>
      <x:c r="C39" s="11" t="str">
        <x:v>成本价卡</x:v>
      </x:c>
      <x:c r="D39" s="11" t="str">
        <x:v>P1</x:v>
      </x:c>
      <x:c r="E39" s="11" t="str">
        <x:v>批量生成五步界面</x:v>
      </x:c>
      <x:c r="F39" s="11" t="str">
        <x:v>条件用例</x:v>
      </x:c>
      <x:c r="G39" s="11" t="str">
        <x:v>先完成PRD/入口评审；提供该业务页的批准设计与可切换前端状态样例；本地通用模板仅作对照</x:v>
      </x:c>
      <x:c r="H39" s="11" t="str">
        <x:v>先确认原型功能进入PRD；逐步查看五步标题、当前步、前后操作。</x:v>
      </x:c>
      <x:c r="I39" s="11" t="str">
        <x:v>步骤与已批准流程一致；输入校验不过不前进；前一步数据回显；不验证生成算法。</x:v>
      </x:c>
      <x:c r="J39" s="11" t="str">
        <x:v>待基线确认</x:v>
      </x:c>
      <x:c r="K39" s="11" t="str">
        <x:v>排期21行 原型待确认</x:v>
      </x:c>
      <x:c r="L39" s="13" t="str"/>
      <x:c r="M39" s="13" t="str">
        <x:v>未执行</x:v>
      </x:c>
    </x:row>
    <x:row r="40" ht="51.75" customHeight="1">
      <x:c r="A40" s="12" t="str">
        <x:v>W2-17-2</x:v>
      </x:c>
      <x:c r="B40" s="12" t="str">
        <x:v>17 / 21</x:v>
      </x:c>
      <x:c r="C40" s="12" t="str">
        <x:v>成本价卡</x:v>
      </x:c>
      <x:c r="D40" s="12" t="str">
        <x:v>P1</x:v>
      </x:c>
      <x:c r="E40" s="12" t="str">
        <x:v>长任务中断和部分结果</x:v>
      </x:c>
      <x:c r="F40" s="12" t="str">
        <x:v>条件/异常</x:v>
      </x:c>
      <x:c r="G40" s="12" t="str">
        <x:v>先完成PRD/入口评审；提供该业务页的批准设计与可切换前端状态样例；本地通用模板仅作对照</x:v>
      </x:c>
      <x:c r="H40" s="12" t="str">
        <x:v>批准后模拟生成中、主动取消、部分失败、全部失败和重试。</x:v>
      </x:c>
      <x:c r="I40" s="12" t="str">
        <x:v>进度与对象数量明确；停止≠失败；未完成不能误显示可用；结果可定位。</x:v>
      </x:c>
      <x:c r="J40" s="12" t="str">
        <x:v>待基线确认</x:v>
      </x:c>
      <x:c r="K40" s="12" t="str">
        <x:v>规范7.1/阶段共识19</x:v>
      </x:c>
      <x:c r="L40" s="13" t="str"/>
      <x:c r="M40" s="13" t="str">
        <x:v>未执行</x:v>
      </x:c>
    </x:row>
    <x:row r="41" ht="51.75" customHeight="1">
      <x:c r="A41" s="11" t="str">
        <x:v>W2-18-1</x:v>
      </x:c>
      <x:c r="B41" s="11" t="str">
        <x:v>18 / 22</x:v>
      </x:c>
      <x:c r="C41" s="11" t="str">
        <x:v>成本价卡</x:v>
      </x:c>
      <x:c r="D41" s="11" t="str">
        <x:v>P1</x:v>
      </x:c>
      <x:c r="E41" s="11" t="str">
        <x:v>要素模板维护入口</x:v>
      </x:c>
      <x:c r="F41" s="11" t="str">
        <x:v>条件用例</x:v>
      </x:c>
      <x:c r="G41" s="11" t="str">
        <x:v>先完成PRD/入口评审；提供该业务页的批准设计与可切换前端状态样例；本地通用模板仅作对照</x:v>
      </x:c>
      <x:c r="H41" s="11" t="str">
        <x:v>先确认归属和PRD；从批准入口打开模板列表、新增与编辑。</x:v>
      </x:c>
      <x:c r="I41" s="11" t="str">
        <x:v>入口可达、标题一致、引用范围可理解；模板说明不过度占据主区。</x:v>
      </x:c>
      <x:c r="J41" s="11" t="str">
        <x:v>待基线确认</x:v>
      </x:c>
      <x:c r="K41" s="11" t="str">
        <x:v>排期22行 原型待确认</x:v>
      </x:c>
      <x:c r="L41" s="13" t="str"/>
      <x:c r="M41" s="13" t="str">
        <x:v>未执行</x:v>
      </x:c>
    </x:row>
    <x:row r="42" ht="51.75" customHeight="1">
      <x:c r="A42" s="12" t="str">
        <x:v>W2-18-2</x:v>
      </x:c>
      <x:c r="B42" s="12" t="str">
        <x:v>18 / 22</x:v>
      </x:c>
      <x:c r="C42" s="12" t="str">
        <x:v>成本价卡</x:v>
      </x:c>
      <x:c r="D42" s="12" t="str">
        <x:v>P1</x:v>
      </x:c>
      <x:c r="E42" s="12" t="str">
        <x:v>模板空态与超长字段</x:v>
      </x:c>
      <x:c r="F42" s="12" t="str">
        <x:v>条件/边界</x:v>
      </x:c>
      <x:c r="G42" s="12" t="str">
        <x:v>先完成PRD/入口评审；提供该业务页的批准设计与可切换前端状态样例；本地通用模板仅作对照</x:v>
      </x:c>
      <x:c r="H42" s="12" t="str">
        <x:v>批准后展示0个模板、长名、多要素和失效模板。</x:v>
      </x:c>
      <x:c r="I42" s="12" t="str">
        <x:v>空态引导可用操作；字段可完整读取；失效态与禁用原因可理解。</x:v>
      </x:c>
      <x:c r="J42" s="12" t="str">
        <x:v>待基线确认</x:v>
      </x:c>
      <x:c r="K42" s="12" t="str">
        <x:v>规范7.2、9.4</x:v>
      </x:c>
      <x:c r="L42" s="13" t="str"/>
      <x:c r="M42" s="13" t="str">
        <x:v>未执行</x:v>
      </x:c>
    </x:row>
    <x:row r="43" ht="51.75" customHeight="1">
      <x:c r="A43" s="11" t="str">
        <x:v>W2-19-1</x:v>
      </x:c>
      <x:c r="B43" s="11" t="str">
        <x:v>19 / 23</x:v>
      </x:c>
      <x:c r="C43" s="11" t="str">
        <x:v>成本价卡</x:v>
      </x:c>
      <x:c r="D43" s="11" t="str">
        <x:v>P0</x:v>
      </x:c>
      <x:c r="E43" s="11" t="str">
        <x:v>文件导入四步呈现</x:v>
      </x:c>
      <x:c r="F43" s="11" t="str">
        <x:v>条件用例</x:v>
      </x:c>
      <x:c r="G43" s="11" t="str">
        <x:v>先完成PRD/入口评审；提供该业务页的批准设计与可切换前端状态样例；本地通用模板仅作对照</x:v>
      </x:c>
      <x:c r="H43" s="11" t="str">
        <x:v>确认Excel/AI导入进入基线；依次观察上传、解析、预览确认、结果。</x:v>
      </x:c>
      <x:c r="I43" s="11" t="str">
        <x:v>进度、文件列表、AI标识和人工确认清晰；取消返回合理；未确认不执行正式写入。</x:v>
      </x:c>
      <x:c r="J43" s="11" t="str">
        <x:v>待基线确认</x:v>
      </x:c>
      <x:c r="K43" s="11" t="str">
        <x:v>排期23行 原型/规范2.2、5.6</x:v>
      </x:c>
      <x:c r="L43" s="13" t="str"/>
      <x:c r="M43" s="13" t="str">
        <x:v>未执行</x:v>
      </x:c>
    </x:row>
    <x:row r="44" ht="51.75" customHeight="1">
      <x:c r="A44" s="12" t="str">
        <x:v>W2-19-2</x:v>
      </x:c>
      <x:c r="B44" s="12" t="str">
        <x:v>19 / 23</x:v>
      </x:c>
      <x:c r="C44" s="12" t="str">
        <x:v>成本价卡</x:v>
      </x:c>
      <x:c r="D44" s="12" t="str">
        <x:v>P0</x:v>
      </x:c>
      <x:c r="E44" s="12" t="str">
        <x:v>文件限制与解析失败</x:v>
      </x:c>
      <x:c r="F44" s="12" t="str">
        <x:v>条件/异常</x:v>
      </x:c>
      <x:c r="G44" s="12" t="str">
        <x:v>先完成PRD/入口评审；提供该业务页的批准设计与可切换前端状态样例；本地通用模板仅作对照</x:v>
      </x:c>
      <x:c r="H44" s="12" t="str">
        <x:v>按批准B大小/K数量上限准备B-1/B/B+1、0字节、错格式、同名文件及解析失败样例。</x:v>
      </x:c>
      <x:c r="I44" s="12" t="str">
        <x:v>限制在上传前可见；行级失败与重试明确；取消/超时提示区分；不把空文件视为成功。</x:v>
      </x:c>
      <x:c r="J44" s="12" t="str">
        <x:v>待基线确认</x:v>
      </x:c>
      <x:c r="K44" s="12" t="str">
        <x:v>规范5.6/阶段共识22</x:v>
      </x:c>
      <x:c r="L44" s="13" t="str"/>
      <x:c r="M44" s="13" t="str">
        <x:v>未执行</x:v>
      </x:c>
    </x:row>
    <x:row r="45" ht="51.75" customHeight="1">
      <x:c r="A45" s="11" t="str">
        <x:v>W2-20-1</x:v>
      </x:c>
      <x:c r="B45" s="11" t="str">
        <x:v>20 / 24</x:v>
      </x:c>
      <x:c r="C45" s="11" t="str">
        <x:v>成本价卡</x:v>
      </x:c>
      <x:c r="D45" s="11" t="str">
        <x:v>P1</x:v>
      </x:c>
      <x:c r="E45" s="11" t="str">
        <x:v>高级复制与覆盖入口</x:v>
      </x:c>
      <x:c r="F45" s="11" t="str">
        <x:v>条件用例</x:v>
      </x:c>
      <x:c r="G45" s="11" t="str">
        <x:v>先完成PRD/入口评审；提供该业务页的批准设计与可切换前端状态样例；本地通用模板仅作对照</x:v>
      </x:c>
      <x:c r="H45" s="11" t="str">
        <x:v>产品补充PRD和可达入口后，打开范围选择与覆盖确认。</x:v>
      </x:c>
      <x:c r="I45" s="11" t="str">
        <x:v>来源/目标范围明确；覆盖风险突出；预览及取消路径可用。</x:v>
      </x:c>
      <x:c r="J45" s="11" t="str">
        <x:v>待基线确认</x:v>
      </x:c>
      <x:c r="K45" s="11" t="str">
        <x:v>排期24行 无入口</x:v>
      </x:c>
      <x:c r="L45" s="13" t="str"/>
      <x:c r="M45" s="13" t="str">
        <x:v>未执行</x:v>
      </x:c>
    </x:row>
    <x:row r="46" ht="51.75" customHeight="1">
      <x:c r="A46" s="12" t="str">
        <x:v>W2-20-2</x:v>
      </x:c>
      <x:c r="B46" s="12" t="str">
        <x:v>20 / 24</x:v>
      </x:c>
      <x:c r="C46" s="12" t="str">
        <x:v>成本价卡</x:v>
      </x:c>
      <x:c r="D46" s="12" t="str">
        <x:v>P1</x:v>
      </x:c>
      <x:c r="E46" s="12" t="str">
        <x:v>空范围和冲突提示</x:v>
      </x:c>
      <x:c r="F46" s="12" t="str">
        <x:v>条件/异常</x:v>
      </x:c>
      <x:c r="G46" s="12" t="str">
        <x:v>先完成PRD/入口评审；提供该业务页的批准设计与可切换前端状态样例；本地通用模板仅作对照</x:v>
      </x:c>
      <x:c r="H46" s="12" t="str">
        <x:v>批准后模拟未选范围、目标为空、目标已有内容和冲突。</x:v>
      </x:c>
      <x:c r="I46" s="12" t="str">
        <x:v>确认按钮状态与提示一致；冲突说明不遮挡范围；失败保留选择。</x:v>
      </x:c>
      <x:c r="J46" s="12" t="str">
        <x:v>待基线确认</x:v>
      </x:c>
      <x:c r="K46" s="12" t="str">
        <x:v>阶段共识12、19</x:v>
      </x:c>
      <x:c r="L46" s="13" t="str"/>
      <x:c r="M46" s="13" t="str">
        <x:v>未执行</x:v>
      </x:c>
    </x:row>
    <x:row r="47" ht="51.75" customHeight="1">
      <x:c r="A47" s="11" t="str">
        <x:v>W2-21-1</x:v>
      </x:c>
      <x:c r="B47" s="11" t="str">
        <x:v>21 / 25</x:v>
      </x:c>
      <x:c r="C47" s="11" t="str">
        <x:v>成本价卡</x:v>
      </x:c>
      <x:c r="D47" s="11" t="str">
        <x:v>P1</x:v>
      </x:c>
      <x:c r="E47" s="11" t="str">
        <x:v>价卡校验入口与结果区</x:v>
      </x:c>
      <x:c r="F47" s="11" t="str">
        <x:v>条件用例</x:v>
      </x:c>
      <x:c r="G47" s="11" t="str">
        <x:v>先完成PRD/入口评审；提供该业务页的批准设计与可切换前端状态样例；本地通用模板仅作对照</x:v>
      </x:c>
      <x:c r="H47" s="11" t="str">
        <x:v>补齐PRD/入口后，从价卡进入校验展示。</x:v>
      </x:c>
      <x:c r="I47" s="11" t="str">
        <x:v>结果摘要、问题行与明细区关系清楚；错误/警告有文字区分。</x:v>
      </x:c>
      <x:c r="J47" s="11" t="str">
        <x:v>待基线确认</x:v>
      </x:c>
      <x:c r="K47" s="11" t="str">
        <x:v>排期25行 无入口</x:v>
      </x:c>
      <x:c r="L47" s="13" t="str"/>
      <x:c r="M47" s="13" t="str">
        <x:v>未执行</x:v>
      </x:c>
    </x:row>
    <x:row r="48" ht="51.75" customHeight="1">
      <x:c r="A48" s="12" t="str">
        <x:v>W2-21-2</x:v>
      </x:c>
      <x:c r="B48" s="12" t="str">
        <x:v>21 / 25</x:v>
      </x:c>
      <x:c r="C48" s="12" t="str">
        <x:v>成本价卡</x:v>
      </x:c>
      <x:c r="D48" s="12" t="str">
        <x:v>P1</x:v>
      </x:c>
      <x:c r="E48" s="12" t="str">
        <x:v>多错误与空结果</x:v>
      </x:c>
      <x:c r="F48" s="12" t="str">
        <x:v>条件/边界</x:v>
      </x:c>
      <x:c r="G48" s="12" t="str">
        <x:v>先完成PRD/入口评审；提供该业务页的批准设计与可切换前端状态样例；本地通用模板仅作对照</x:v>
      </x:c>
      <x:c r="H48" s="12" t="str">
        <x:v>展示0、1、多条校验结果与失败响应，定位首/末条问题。</x:v>
      </x:c>
      <x:c r="I48" s="12" t="str">
        <x:v>无问题与请求失败不混用；分页/滚动可达；长错误不覆盖修正入口。</x:v>
      </x:c>
      <x:c r="J48" s="12" t="str">
        <x:v>待基线确认</x:v>
      </x:c>
      <x:c r="K48" s="12" t="str">
        <x:v>规范7.2、7.3、9.4</x:v>
      </x:c>
      <x:c r="L48" s="13" t="str"/>
      <x:c r="M48" s="13" t="str">
        <x:v>未执行</x:v>
      </x:c>
    </x:row>
    <x:row r="49" ht="41.25" customHeight="1">
      <x:c r="A49" s="11" t="str">
        <x:v>W2-22-1</x:v>
      </x:c>
      <x:c r="B49" s="11" t="str">
        <x:v>22 / 26</x:v>
      </x:c>
      <x:c r="C49" s="11" t="str">
        <x:v>地点与Zone（分区维护）</x:v>
      </x:c>
      <x:c r="D49" s="11" t="str">
        <x:v>P0</x:v>
      </x:c>
      <x:c r="E49" s="11" t="str">
        <x:v>地点和邮编同级页签</x:v>
      </x:c>
      <x:c r="F49" s="11" t="str">
        <x:v>正常</x:v>
      </x:c>
      <x:c r="G49" s="11" t="str">
        <x:v>提供该业务页的批准设计与可切换前端状态样例；本地通用模板仅作对照</x:v>
      </x:c>
      <x:c r="H49" s="11" t="str">
        <x:v>在地点与邮编页签间切换，观察选中项、标题和工具栏归属。</x:v>
      </x:c>
      <x:c r="I49" s="11" t="str">
        <x:v>同级内容用Tabs；点击即切换；选中条、内容区对应；新增只针对当前列表。</x:v>
      </x:c>
      <x:c r="J49" s="11" t="str">
        <x:v>待业务页执行</x:v>
      </x:c>
      <x:c r="K49" s="11" t="str">
        <x:v>RV01/规范5.17</x:v>
      </x:c>
      <x:c r="L49" s="13" t="str"/>
      <x:c r="M49" s="13" t="str">
        <x:v>未执行</x:v>
      </x:c>
    </x:row>
    <x:row r="50" ht="41.25" customHeight="1">
      <x:c r="A50" s="12" t="str">
        <x:v>W2-22-2</x:v>
      </x:c>
      <x:c r="B50" s="12" t="str">
        <x:v>22 / 26</x:v>
      </x:c>
      <x:c r="C50" s="12" t="str">
        <x:v>地点与Zone（分区维护）</x:v>
      </x:c>
      <x:c r="D50" s="12" t="str">
        <x:v>P0</x:v>
      </x:c>
      <x:c r="E50" s="12" t="str">
        <x:v>多语言地点与空结果</x:v>
      </x:c>
      <x:c r="F50" s="12" t="str">
        <x:v>边界</x:v>
      </x:c>
      <x:c r="G50" s="12" t="str">
        <x:v>提供该业务页的批准设计与可切换前端状态样例；本地通用模板仅作对照</x:v>
      </x:c>
      <x:c r="H50" s="12" t="str">
        <x:v>准备长英文地名、前导零邮编、空邮编和无结果视图。</x:v>
      </x:c>
      <x:c r="I50" s="12" t="str">
        <x:v>文本不错误数值化；长文有全文；空值与0按PRD区分；切换不残留旧结果。</x:v>
      </x:c>
      <x:c r="J50" s="12" t="str">
        <x:v>待业务页执行</x:v>
      </x:c>
      <x:c r="K50" s="12" t="str">
        <x:v>规范9.1、9.4</x:v>
      </x:c>
      <x:c r="L50" s="13" t="str"/>
      <x:c r="M50" s="13" t="str">
        <x:v>未执行</x:v>
      </x:c>
    </x:row>
    <x:row r="51" ht="41.25" customHeight="1">
      <x:c r="A51" s="11" t="str">
        <x:v>W2-23-1</x:v>
      </x:c>
      <x:c r="B51" s="11" t="str">
        <x:v>23 / 27</x:v>
      </x:c>
      <x:c r="C51" s="11" t="str">
        <x:v>地点与Zone（分区维护）</x:v>
      </x:c>
      <x:c r="D51" s="11" t="str">
        <x:v>P0</x:v>
      </x:c>
      <x:c r="E51" s="11" t="str">
        <x:v>Zone清单与关联详情</x:v>
      </x:c>
      <x:c r="F51" s="11" t="str">
        <x:v>正常</x:v>
      </x:c>
      <x:c r="G51" s="11" t="str">
        <x:v>提供该业务页的批准设计与可切换前端状态样例；本地通用模板仅作对照</x:v>
      </x:c>
      <x:c r="H51" s="11" t="str">
        <x:v>进入Zone页签、打开一条区域详情，再返回列表。</x:v>
      </x:c>
      <x:c r="I51" s="11" t="str">
        <x:v>名称/类型/引用清楚；列表保持上下文；只读和编辑区域区分。</x:v>
      </x:c>
      <x:c r="J51" s="11" t="str">
        <x:v>待业务页执行</x:v>
      </x:c>
      <x:c r="K51" s="11" t="str">
        <x:v>规范6.1、6.2</x:v>
      </x:c>
      <x:c r="L51" s="13" t="str"/>
      <x:c r="M51" s="13" t="str">
        <x:v>未执行</x:v>
      </x:c>
    </x:row>
    <x:row r="52" ht="41.25" customHeight="1">
      <x:c r="A52" s="12" t="str">
        <x:v>W2-23-2</x:v>
      </x:c>
      <x:c r="B52" s="12" t="str">
        <x:v>23 / 27</x:v>
      </x:c>
      <x:c r="C52" s="12" t="str">
        <x:v>地点与Zone（分区维护）</x:v>
      </x:c>
      <x:c r="D52" s="12" t="str">
        <x:v>P0</x:v>
      </x:c>
      <x:c r="E52" s="12" t="str">
        <x:v>大量Zone与长名称</x:v>
      </x:c>
      <x:c r="F52" s="12" t="str">
        <x:v>边界</x:v>
      </x:c>
      <x:c r="G52" s="12" t="str">
        <x:v>提供该业务页的批准设计与可切换前端状态样例；本地通用模板仅作对照</x:v>
      </x:c>
      <x:c r="H52" s="12" t="str">
        <x:v>使用多Zone、长名称、空关联与加载失败样例。</x:v>
      </x:c>
      <x:c r="I52" s="12" t="str">
        <x:v>滚动/分页清楚；截断有全文；失败不伪装空清单；当前选中稳定。</x:v>
      </x:c>
      <x:c r="J52" s="12" t="str">
        <x:v>待业务页执行</x:v>
      </x:c>
      <x:c r="K52" s="12" t="str">
        <x:v>阶段共识13、22</x:v>
      </x:c>
      <x:c r="L52" s="13" t="str"/>
      <x:c r="M52" s="13" t="str">
        <x:v>未执行</x:v>
      </x:c>
    </x:row>
    <x:row r="53" ht="41.25" customHeight="1">
      <x:c r="A53" s="11" t="str">
        <x:v>W2-24-1</x:v>
      </x:c>
      <x:c r="B53" s="11" t="str">
        <x:v>24 / 28</x:v>
      </x:c>
      <x:c r="C53" s="11" t="str">
        <x:v>地点与Zone（分区维护）</x:v>
      </x:c>
      <x:c r="D53" s="11" t="str">
        <x:v>P1</x:v>
      </x:c>
      <x:c r="E53" s="11" t="str">
        <x:v>地点邮编批量上传交互</x:v>
      </x:c>
      <x:c r="F53" s="11" t="str">
        <x:v>正常</x:v>
      </x:c>
      <x:c r="G53" s="11" t="str">
        <x:v>提供该业务页的批准设计与可切换前端状态样例；本地通用模板仅作对照</x:v>
      </x:c>
      <x:c r="H53" s="11" t="str">
        <x:v>打开导入，对照模板说明、文件选择、预览和取消。</x:v>
      </x:c>
      <x:c r="I53" s="11" t="str">
        <x:v>格式/大小/数量约束可见；文件删除和更换可理解；不触发正式数据导入。</x:v>
      </x:c>
      <x:c r="J53" s="11" t="str">
        <x:v>待业务页执行</x:v>
      </x:c>
      <x:c r="K53" s="11" t="str">
        <x:v>规范5.6</x:v>
      </x:c>
      <x:c r="L53" s="13" t="str"/>
      <x:c r="M53" s="13" t="str">
        <x:v>未执行</x:v>
      </x:c>
    </x:row>
    <x:row r="54" ht="41.25" customHeight="1">
      <x:c r="A54" s="12" t="str">
        <x:v>W2-24-2</x:v>
      </x:c>
      <x:c r="B54" s="12" t="str">
        <x:v>24 / 28</x:v>
      </x:c>
      <x:c r="C54" s="12" t="str">
        <x:v>地点与Zone（分区维护）</x:v>
      </x:c>
      <x:c r="D54" s="12" t="str">
        <x:v>P1</x:v>
      </x:c>
      <x:c r="E54" s="12" t="str">
        <x:v>部分错误文件与超限</x:v>
      </x:c>
      <x:c r="F54" s="12" t="str">
        <x:v>边界/异常</x:v>
      </x:c>
      <x:c r="G54" s="12" t="str">
        <x:v>提供该业务页的批准设计与可切换前端状态样例；本地通用模板仅作对照</x:v>
      </x:c>
      <x:c r="H54" s="12" t="str">
        <x:v>按批准限制构造错扩展、0字节、B+1、重复文件和部分错误预览。</x:v>
      </x:c>
      <x:c r="I54" s="12" t="str">
        <x:v>错误定位文件/行；有效项与无效项分开；支持取消/重试；保持上传上下文。</x:v>
      </x:c>
      <x:c r="J54" s="12" t="str">
        <x:v>待业务页执行</x:v>
      </x:c>
      <x:c r="K54" s="12" t="str">
        <x:v>规范5.6、7.3</x:v>
      </x:c>
      <x:c r="L54" s="13" t="str"/>
      <x:c r="M54" s="13" t="str">
        <x:v>未执行</x:v>
      </x:c>
    </x:row>
    <x:row r="55" ht="51.75" customHeight="1">
      <x:c r="A55" s="11" t="str">
        <x:v>W2-25-1</x:v>
      </x:c>
      <x:c r="B55" s="11" t="str">
        <x:v>25 / 29</x:v>
      </x:c>
      <x:c r="C55" s="11" t="str">
        <x:v>地点与Zone（分区维护）</x:v>
      </x:c>
      <x:c r="D55" s="11" t="str">
        <x:v>P1</x:v>
      </x:c>
      <x:c r="E55" s="11" t="str">
        <x:v>邮编组可达与分组展示</x:v>
      </x:c>
      <x:c r="F55" s="11" t="str">
        <x:v>条件用例</x:v>
      </x:c>
      <x:c r="G55" s="11" t="str">
        <x:v>先完成PRD/入口评审；提供该业务页的批准设计与可切换前端状态样例；本地通用模板仅作对照</x:v>
      </x:c>
      <x:c r="H55" s="11" t="str">
        <x:v>补PRD和导航入口后，打开邮编组列表、详情与编辑。</x:v>
      </x:c>
      <x:c r="I55" s="11" t="str">
        <x:v>路径可达；组名与成员层级清楚；当前操作对象可识别。</x:v>
      </x:c>
      <x:c r="J55" s="11" t="str">
        <x:v>待基线确认</x:v>
      </x:c>
      <x:c r="K55" s="11" t="str">
        <x:v>排期29行 无入口</x:v>
      </x:c>
      <x:c r="L55" s="13" t="str"/>
      <x:c r="M55" s="13" t="str">
        <x:v>未执行</x:v>
      </x:c>
    </x:row>
    <x:row r="56" ht="51.75" customHeight="1">
      <x:c r="A56" s="12" t="str">
        <x:v>W2-25-2</x:v>
      </x:c>
      <x:c r="B56" s="12" t="str">
        <x:v>25 / 29</x:v>
      </x:c>
      <x:c r="C56" s="12" t="str">
        <x:v>地点与Zone（分区维护）</x:v>
      </x:c>
      <x:c r="D56" s="12" t="str">
        <x:v>P1</x:v>
      </x:c>
      <x:c r="E56" s="12" t="str">
        <x:v>超大邮编组与空成员</x:v>
      </x:c>
      <x:c r="F56" s="12" t="str">
        <x:v>条件/边界</x:v>
      </x:c>
      <x:c r="G56" s="12" t="str">
        <x:v>先完成PRD/入口评审；提供该业务页的批准设计与可切换前端状态样例；本地通用模板仅作对照</x:v>
      </x:c>
      <x:c r="H56" s="12" t="str">
        <x:v>批准后展示空组、单成员、大量成员、长组名和检索无结果。</x:v>
      </x:c>
      <x:c r="I56" s="12" t="str">
        <x:v>成员区独立滚动；长名称可读；空态给合适引导；不测范围匹配规则。</x:v>
      </x:c>
      <x:c r="J56" s="12" t="str">
        <x:v>待基线确认</x:v>
      </x:c>
      <x:c r="K56" s="12" t="str">
        <x:v>规范7.2、9.4</x:v>
      </x:c>
      <x:c r="L56" s="13" t="str"/>
      <x:c r="M56" s="13" t="str">
        <x:v>未执行</x:v>
      </x:c>
    </x:row>
    <x:row r="57" ht="41.25" customHeight="1">
      <x:c r="A57" s="11" t="str">
        <x:v>W2-26-1</x:v>
      </x:c>
      <x:c r="B57" s="11" t="str">
        <x:v>26 / 30</x:v>
      </x:c>
      <x:c r="C57" s="11" t="str">
        <x:v>燃油费规则</x:v>
      </x:c>
      <x:c r="D57" s="11" t="str">
        <x:v>P0</x:v>
      </x:c>
      <x:c r="E57" s="11" t="str">
        <x:v>燃油规则列表视觉</x:v>
      </x:c>
      <x:c r="F57" s="11" t="str">
        <x:v>正常</x:v>
      </x:c>
      <x:c r="G57" s="11" t="str">
        <x:v>提供该业务页的批准设计与可切换前端状态样例；本地通用模板仅作对照</x:v>
      </x:c>
      <x:c r="H57" s="11" t="str">
        <x:v>进入规则列表，检查状态、有效期、比例单位和操作列。</x:v>
      </x:c>
      <x:c r="I57" s="11" t="str">
        <x:v>日期和百分比单位清楚；数值右对齐；启停标签与按钮含义一致。</x:v>
      </x:c>
      <x:c r="J57" s="11" t="str">
        <x:v>待业务页执行</x:v>
      </x:c>
      <x:c r="K57" s="11" t="str">
        <x:v>规范5.8、9.2</x:v>
      </x:c>
      <x:c r="L57" s="13" t="str"/>
      <x:c r="M57" s="13" t="str">
        <x:v>未执行</x:v>
      </x:c>
    </x:row>
    <x:row r="58" ht="41.25" customHeight="1">
      <x:c r="A58" s="12" t="str">
        <x:v>W2-26-2</x:v>
      </x:c>
      <x:c r="B58" s="12" t="str">
        <x:v>26 / 30</x:v>
      </x:c>
      <x:c r="C58" s="12" t="str">
        <x:v>燃油费规则</x:v>
      </x:c>
      <x:c r="D58" s="12" t="str">
        <x:v>P0</x:v>
      </x:c>
      <x:c r="E58" s="12" t="str">
        <x:v>零比例与长规则名</x:v>
      </x:c>
      <x:c r="F58" s="12" t="str">
        <x:v>边界</x:v>
      </x:c>
      <x:c r="G58" s="12" t="str">
        <x:v>提供该业务页的批准设计与可切换前端状态样例；本地通用模板仅作对照</x:v>
      </x:c>
      <x:c r="H58" s="12" t="str">
        <x:v>展示0值、空值、长规则名、极值及无结果。</x:v>
      </x:c>
      <x:c r="I58" s="12" t="str">
        <x:v>不把0误显示成空；超长文本可读；异常数据用明确呈现，合法范围由PRD定义。</x:v>
      </x:c>
      <x:c r="J58" s="12" t="str">
        <x:v>待业务页执行</x:v>
      </x:c>
      <x:c r="K58" s="12" t="str">
        <x:v>阶段共识22/规范9.1、9.4</x:v>
      </x:c>
      <x:c r="L58" s="13" t="str"/>
      <x:c r="M58" s="13" t="str">
        <x:v>未执行</x:v>
      </x:c>
    </x:row>
    <x:row r="59" ht="41.25" customHeight="1">
      <x:c r="A59" s="11" t="str">
        <x:v>W2-27-1</x:v>
      </x:c>
      <x:c r="B59" s="11" t="str">
        <x:v>27 / 31</x:v>
      </x:c>
      <x:c r="C59" s="11" t="str">
        <x:v>燃油费规则</x:v>
      </x:c>
      <x:c r="D59" s="11" t="str">
        <x:v>P0</x:v>
      </x:c>
      <x:c r="E59" s="11" t="str">
        <x:v>燃油规则表单反馈</x:v>
      </x:c>
      <x:c r="F59" s="11" t="str">
        <x:v>正常</x:v>
      </x:c>
      <x:c r="G59" s="11" t="str">
        <x:v>提供该业务页的批准设计与可切换前端状态样例；本地通用模板仅作对照</x:v>
      </x:c>
      <x:c r="H59" s="11" t="str">
        <x:v>打开新增/编辑，输入必填、日期与比例，触发前端校验。</x:v>
      </x:c>
      <x:c r="I59" s="11" t="str">
        <x:v>错误就地提示；单位常驻；输入不跳位；编辑时标题/只读字段明确。</x:v>
      </x:c>
      <x:c r="J59" s="11" t="str">
        <x:v>待业务页执行</x:v>
      </x:c>
      <x:c r="K59" s="11" t="str">
        <x:v>规范5.7</x:v>
      </x:c>
      <x:c r="L59" s="13" t="str"/>
      <x:c r="M59" s="13" t="str">
        <x:v>未执行</x:v>
      </x:c>
    </x:row>
    <x:row r="60" ht="41.25" customHeight="1">
      <x:c r="A60" s="12" t="str">
        <x:v>W2-27-2</x:v>
      </x:c>
      <x:c r="B60" s="12" t="str">
        <x:v>27 / 31</x:v>
      </x:c>
      <x:c r="C60" s="12" t="str">
        <x:v>燃油费规则</x:v>
      </x:c>
      <x:c r="D60" s="12" t="str">
        <x:v>P0</x:v>
      </x:c>
      <x:c r="E60" s="12" t="str">
        <x:v>保存失败与有效期边界</x:v>
      </x:c>
      <x:c r="F60" s="12" t="str">
        <x:v>异常/边界</x:v>
      </x:c>
      <x:c r="G60" s="12" t="str">
        <x:v>提供该业务页的批准设计与可切换前端状态样例；本地通用模板仅作对照</x:v>
      </x:c>
      <x:c r="H60" s="12" t="str">
        <x:v>同日/颠倒日期、空值、精度边界以及失败响应样例。</x:v>
      </x:c>
      <x:c r="I60" s="12" t="str">
        <x:v>错误关联字段、保留输入；保存中有反馈；重试入口清楚。有效期及比例正确性另测。</x:v>
      </x:c>
      <x:c r="J60" s="12" t="str">
        <x:v>待业务页执行</x:v>
      </x:c>
      <x:c r="K60" s="12" t="str">
        <x:v>阶段共识19、22</x:v>
      </x:c>
      <x:c r="L60" s="13" t="str"/>
      <x:c r="M60" s="13" t="str">
        <x:v>未执行</x:v>
      </x:c>
    </x:row>
    <x:row r="61" ht="51.75" customHeight="1">
      <x:c r="A61" s="11" t="str">
        <x:v>W2-28-1</x:v>
      </x:c>
      <x:c r="B61" s="11" t="str">
        <x:v>28 / 32</x:v>
      </x:c>
      <x:c r="C61" s="11" t="str">
        <x:v>分区管理</x:v>
      </x:c>
      <x:c r="D61" s="11" t="str">
        <x:v>P0</x:v>
      </x:c>
      <x:c r="E61" s="11" t="str">
        <x:v>独立分区页可达</x:v>
      </x:c>
      <x:c r="F61" s="11" t="str">
        <x:v>条件用例</x:v>
      </x:c>
      <x:c r="G61" s="11" t="str">
        <x:v>先完成PRD/入口评审；提供该业务页的批准设计与可切换前端状态样例；本地通用模板仅作对照</x:v>
      </x:c>
      <x:c r="H61" s="11" t="str">
        <x:v>产品补齐独立页面导航与基线后，进入Zone/分区类型维护。</x:v>
      </x:c>
      <x:c r="I61" s="11" t="str">
        <x:v>导航与面包屑对应；类型与Zone层级清楚；入口不依赖猜测URL。</x:v>
      </x:c>
      <x:c r="J61" s="11" t="str">
        <x:v>待基线确认</x:v>
      </x:c>
      <x:c r="K61" s="11" t="str">
        <x:v>排期32行 无入口</x:v>
      </x:c>
      <x:c r="L61" s="13" t="str"/>
      <x:c r="M61" s="13" t="str">
        <x:v>未执行</x:v>
      </x:c>
    </x:row>
    <x:row r="62" ht="51.75" customHeight="1">
      <x:c r="A62" s="12" t="str">
        <x:v>W2-28-2</x:v>
      </x:c>
      <x:c r="B62" s="12" t="str">
        <x:v>28 / 32</x:v>
      </x:c>
      <x:c r="C62" s="12" t="str">
        <x:v>分区管理</x:v>
      </x:c>
      <x:c r="D62" s="12" t="str">
        <x:v>P0</x:v>
      </x:c>
      <x:c r="E62" s="12" t="str">
        <x:v>分区树长文及空节点</x:v>
      </x:c>
      <x:c r="F62" s="12" t="str">
        <x:v>条件/边界</x:v>
      </x:c>
      <x:c r="G62" s="12" t="str">
        <x:v>先完成PRD/入口评审；提供该业务页的批准设计与可切换前端状态样例；本地通用模板仅作对照</x:v>
      </x:c>
      <x:c r="H62" s="12" t="str">
        <x:v>批准后展示深层级、长名、空分区及节点加载失败。</x:v>
      </x:c>
      <x:c r="I62" s="12" t="str">
        <x:v>层级缩进、展开箭头和选中态一致；失败局部恢复；不改变当前对象。</x:v>
      </x:c>
      <x:c r="J62" s="12" t="str">
        <x:v>待基线确认</x:v>
      </x:c>
      <x:c r="K62" s="12" t="str">
        <x:v>规范4.5、7.3</x:v>
      </x:c>
      <x:c r="L62" s="13" t="str"/>
      <x:c r="M62" s="13" t="str">
        <x:v>未执行</x:v>
      </x:c>
    </x:row>
    <x:row r="63" ht="51.75" customHeight="1">
      <x:c r="A63" s="11" t="str">
        <x:v>W2-29-1</x:v>
      </x:c>
      <x:c r="B63" s="11" t="str">
        <x:v>29 / 33</x:v>
      </x:c>
      <x:c r="C63" s="11" t="str">
        <x:v>分区管理</x:v>
      </x:c>
      <x:c r="D63" s="11" t="str">
        <x:v>P1</x:v>
      </x:c>
      <x:c r="E63" s="11" t="str">
        <x:v>分区价格表与引用布局</x:v>
      </x:c>
      <x:c r="F63" s="11" t="str">
        <x:v>条件用例</x:v>
      </x:c>
      <x:c r="G63" s="11" t="str">
        <x:v>先完成PRD/入口评审；提供该业务页的批准设计与可切换前端状态样例；本地通用模板仅作对照</x:v>
      </x:c>
      <x:c r="H63" s="11" t="str">
        <x:v>补齐基线与入口后打开分区价格表、查看价卡引用。</x:v>
      </x:c>
      <x:c r="I63" s="11" t="str">
        <x:v>分区、币种、单位和引用对象对应；查看引用有返回入口。</x:v>
      </x:c>
      <x:c r="J63" s="11" t="str">
        <x:v>待基线确认</x:v>
      </x:c>
      <x:c r="K63" s="11" t="str">
        <x:v>排期33行 无入口</x:v>
      </x:c>
      <x:c r="L63" s="13" t="str"/>
      <x:c r="M63" s="13" t="str">
        <x:v>未执行</x:v>
      </x:c>
    </x:row>
    <x:row r="64" ht="51.75" customHeight="1">
      <x:c r="A64" s="12" t="str">
        <x:v>W2-29-2</x:v>
      </x:c>
      <x:c r="B64" s="12" t="str">
        <x:v>29 / 33</x:v>
      </x:c>
      <x:c r="C64" s="12" t="str">
        <x:v>分区管理</x:v>
      </x:c>
      <x:c r="D64" s="12" t="str">
        <x:v>P1</x:v>
      </x:c>
      <x:c r="E64" s="12" t="str">
        <x:v>超宽价格表与引用失效</x:v>
      </x:c>
      <x:c r="F64" s="12" t="str">
        <x:v>条件/异常</x:v>
      </x:c>
      <x:c r="G64" s="12" t="str">
        <x:v>先完成PRD/入口评审；提供该业务页的批准设计与可切换前端状态样例；本地通用模板仅作对照</x:v>
      </x:c>
      <x:c r="H64" s="12" t="str">
        <x:v>批准后展示超宽列、长引用名、空价格与失效引用样例。</x:v>
      </x:c>
      <x:c r="I64" s="12" t="str">
        <x:v>固定识别/操作列；空零分明；失效引用有文字说明；不测计价关系正确性。</x:v>
      </x:c>
      <x:c r="J64" s="12" t="str">
        <x:v>待基线确认</x:v>
      </x:c>
      <x:c r="K64" s="12" t="str">
        <x:v>规范5.8、9.1、9.4</x:v>
      </x:c>
      <x:c r="L64" s="13" t="str"/>
      <x:c r="M64" s="13" t="str">
        <x:v>未执行</x:v>
      </x:c>
    </x:row>
    <x:row r="65" ht="41.25" customHeight="1">
      <x:c r="A65" s="11" t="str">
        <x:v>W2-50-1</x:v>
      </x:c>
      <x:c r="B65" s="11" t="str">
        <x:v>50 / 54</x:v>
      </x:c>
      <x:c r="C65" s="11" t="str">
        <x:v>产品管理参数配置</x:v>
      </x:c>
      <x:c r="D65" s="11" t="str">
        <x:v>P0</x:v>
      </x:c>
      <x:c r="E65" s="11" t="str">
        <x:v>费用项管理布局</x:v>
      </x:c>
      <x:c r="F65" s="11" t="str">
        <x:v>正常</x:v>
      </x:c>
      <x:c r="G65" s="11" t="str">
        <x:v>提供该业务页的批准设计与可切换前端状态样例；本地通用模板仅作对照</x:v>
      </x:c>
      <x:c r="H65" s="11" t="str">
        <x:v>在基础配置中进入费用项，打开新增/编辑。</x:v>
      </x:c>
      <x:c r="I65" s="11" t="str">
        <x:v>页头主分类Tabs、内容区子项及当前列表新增分层明确；编码名称字段对齐。</x:v>
      </x:c>
      <x:c r="J65" s="11" t="str">
        <x:v>待业务页执行</x:v>
      </x:c>
      <x:c r="K65" s="11" t="str">
        <x:v>RV01/规范5.17</x:v>
      </x:c>
      <x:c r="L65" s="13" t="str"/>
      <x:c r="M65" s="13" t="str">
        <x:v>未执行</x:v>
      </x:c>
    </x:row>
    <x:row r="66" ht="41.25" customHeight="1">
      <x:c r="A66" s="12" t="str">
        <x:v>W2-50-2</x:v>
      </x:c>
      <x:c r="B66" s="12" t="str">
        <x:v>50 / 54</x:v>
      </x:c>
      <x:c r="C66" s="12" t="str">
        <x:v>产品管理参数配置</x:v>
      </x:c>
      <x:c r="D66" s="12" t="str">
        <x:v>P0</x:v>
      </x:c>
      <x:c r="E66" s="12" t="str">
        <x:v>长编码与重复提示呈现</x:v>
      </x:c>
      <x:c r="F66" s="12" t="str">
        <x:v>边界/异常</x:v>
      </x:c>
      <x:c r="G66" s="12" t="str">
        <x:v>提供该业务页的批准设计与可切换前端状态样例；本地通用模板仅作对照</x:v>
      </x:c>
      <x:c r="H66" s="12" t="str">
        <x:v>输入L-1/L/L+1字符；模拟重复编码与保存失败。</x:v>
      </x:c>
      <x:c r="I66" s="12" t="str">
        <x:v>错误在相关字段下；输入保留；列表长文可读；唯一性规则由功能测试验证。</x:v>
      </x:c>
      <x:c r="J66" s="12" t="str">
        <x:v>待业务页执行</x:v>
      </x:c>
      <x:c r="K66" s="12" t="str">
        <x:v>规范5.7、9.4</x:v>
      </x:c>
      <x:c r="L66" s="13" t="str"/>
      <x:c r="M66" s="13" t="str">
        <x:v>未执行</x:v>
      </x:c>
    </x:row>
    <x:row r="67" ht="41.25" customHeight="1">
      <x:c r="A67" s="11" t="str">
        <x:v>W2-51-1</x:v>
      </x:c>
      <x:c r="B67" s="11" t="str">
        <x:v>51 / 55</x:v>
      </x:c>
      <x:c r="C67" s="11" t="str">
        <x:v>产品管理参数配置</x:v>
      </x:c>
      <x:c r="D67" s="11" t="str">
        <x:v>P0</x:v>
      </x:c>
      <x:c r="E67" s="11" t="str">
        <x:v>币种和汇率可读性</x:v>
      </x:c>
      <x:c r="F67" s="11" t="str">
        <x:v>正常</x:v>
      </x:c>
      <x:c r="G67" s="11" t="str">
        <x:v>提供该业务页的批准设计与可切换前端状态样例；本地通用模板仅作对照</x:v>
      </x:c>
      <x:c r="H67" s="11" t="str">
        <x:v>切换币种/汇率视图；查看币种对、单位、方向及生效日期。</x:v>
      </x:c>
      <x:c r="I67" s="11" t="str">
        <x:v>币种与汇率语义清楚；数值右对齐；视图切换不混淆当前列表。</x:v>
      </x:c>
      <x:c r="J67" s="11" t="str">
        <x:v>待业务页执行</x:v>
      </x:c>
      <x:c r="K67" s="11" t="str">
        <x:v>RV01/规范5.8</x:v>
      </x:c>
      <x:c r="L67" s="13" t="str"/>
      <x:c r="M67" s="13" t="str">
        <x:v>未执行</x:v>
      </x:c>
    </x:row>
    <x:row r="68" ht="41.25" customHeight="1">
      <x:c r="A68" s="12" t="str">
        <x:v>W2-51-2</x:v>
      </x:c>
      <x:c r="B68" s="12" t="str">
        <x:v>51 / 55</x:v>
      </x:c>
      <x:c r="C68" s="12" t="str">
        <x:v>产品管理参数配置</x:v>
      </x:c>
      <x:c r="D68" s="12" t="str">
        <x:v>P0</x:v>
      </x:c>
      <x:c r="E68" s="12" t="str">
        <x:v>零值空值及极小汇率</x:v>
      </x:c>
      <x:c r="F68" s="12" t="str">
        <x:v>边界</x:v>
      </x:c>
      <x:c r="G68" s="12" t="str">
        <x:v>提供该业务页的批准设计与可切换前端状态样例；本地通用模板仅作对照</x:v>
      </x:c>
      <x:c r="H68" s="12" t="str">
        <x:v>展示0、空、极小/极大、超精度汇率样例及多币种长名。</x:v>
      </x:c>
      <x:c r="I68" s="12" t="str">
        <x:v>数值展示遵循PRD精度，避免单位/方向丢失；空不等于0；不核验汇率换算算法。</x:v>
      </x:c>
      <x:c r="J68" s="12" t="str">
        <x:v>待业务页执行</x:v>
      </x:c>
      <x:c r="K68" s="12" t="str">
        <x:v>规范9.1、9.2</x:v>
      </x:c>
      <x:c r="L68" s="13" t="str"/>
      <x:c r="M68" s="13" t="str">
        <x:v>未执行</x:v>
      </x:c>
    </x:row>
    <x:row r="69" ht="41.25" customHeight="1">
      <x:c r="A69" s="11" t="str">
        <x:v>W2-52-1</x:v>
      </x:c>
      <x:c r="B69" s="11" t="str">
        <x:v>52 / 56</x:v>
      </x:c>
      <x:c r="C69" s="11" t="str">
        <x:v>产品管理参数配置</x:v>
      </x:c>
      <x:c r="D69" s="11" t="str">
        <x:v>P1</x:v>
      </x:c>
      <x:c r="E69" s="11" t="str">
        <x:v>服务段字典布局</x:v>
      </x:c>
      <x:c r="F69" s="11" t="str">
        <x:v>正常</x:v>
      </x:c>
      <x:c r="G69" s="11" t="str">
        <x:v>提供该业务页的批准设计与可切换前端状态样例；本地通用模板仅作对照</x:v>
      </x:c>
      <x:c r="H69" s="11" t="str">
        <x:v>进入服务段列表并打开新建/编辑。</x:v>
      </x:c>
      <x:c r="I69" s="11" t="str">
        <x:v>编码、名称、状态与基础配置其他列表一致；当前子项高亮。</x:v>
      </x:c>
      <x:c r="J69" s="11" t="str">
        <x:v>待业务页执行</x:v>
      </x:c>
      <x:c r="K69" s="11" t="str">
        <x:v>RV01/规范6.1</x:v>
      </x:c>
      <x:c r="L69" s="13" t="str"/>
      <x:c r="M69" s="13" t="str">
        <x:v>未执行</x:v>
      </x:c>
    </x:row>
    <x:row r="70" ht="41.25" customHeight="1">
      <x:c r="A70" s="12" t="str">
        <x:v>W2-52-2</x:v>
      </x:c>
      <x:c r="B70" s="12" t="str">
        <x:v>52 / 56</x:v>
      </x:c>
      <x:c r="C70" s="12" t="str">
        <x:v>产品管理参数配置</x:v>
      </x:c>
      <x:c r="D70" s="12" t="str">
        <x:v>P1</x:v>
      </x:c>
      <x:c r="E70" s="12" t="str">
        <x:v>长段名与停用选项</x:v>
      </x:c>
      <x:c r="F70" s="12" t="str">
        <x:v>边界</x:v>
      </x:c>
      <x:c r="G70" s="12" t="str">
        <x:v>提供该业务页的批准设计与可切换前端状态样例；本地通用模板仅作对照</x:v>
      </x:c>
      <x:c r="H70" s="12" t="str">
        <x:v>长中文/英文名、空列表、已停用服务段及错误响应。</x:v>
      </x:c>
      <x:c r="I70" s="12" t="str">
        <x:v>长文可读；停用态有文字标识；空态/失败态分离；输入不中断。</x:v>
      </x:c>
      <x:c r="J70" s="12" t="str">
        <x:v>待业务页执行</x:v>
      </x:c>
      <x:c r="K70" s="12" t="str">
        <x:v>规范7.2、7.3、9.4</x:v>
      </x:c>
      <x:c r="L70" s="13" t="str"/>
      <x:c r="M70" s="13" t="str">
        <x:v>未执行</x:v>
      </x:c>
    </x:row>
    <x:row r="71" ht="41.25" customHeight="1">
      <x:c r="A71" s="11" t="str">
        <x:v>W2-53-1</x:v>
      </x:c>
      <x:c r="B71" s="11" t="str">
        <x:v>53 / 57</x:v>
      </x:c>
      <x:c r="C71" s="11" t="str">
        <x:v>产品管理参数配置</x:v>
      </x:c>
      <x:c r="D71" s="11" t="str">
        <x:v>P0</x:v>
      </x:c>
      <x:c r="E71" s="11" t="str">
        <x:v>计费要素分组与类型</x:v>
      </x:c>
      <x:c r="F71" s="11" t="str">
        <x:v>正常</x:v>
      </x:c>
      <x:c r="G71" s="11" t="str">
        <x:v>提供该业务页的批准设计与可切换前端状态样例；本地通用模板仅作对照</x:v>
      </x:c>
      <x:c r="H71" s="11" t="str">
        <x:v>进入计费要素，切换批准的类型并观察字段组。</x:v>
      </x:c>
      <x:c r="I71" s="11" t="str">
        <x:v>字段类型、单位、必填提示与当前选择对应；隐藏字段不占空位。</x:v>
      </x:c>
      <x:c r="J71" s="11" t="str">
        <x:v>待业务页执行</x:v>
      </x:c>
      <x:c r="K71" s="11" t="str">
        <x:v>RV01/规范5.7</x:v>
      </x:c>
      <x:c r="L71" s="13" t="str"/>
      <x:c r="M71" s="13" t="str">
        <x:v>未执行</x:v>
      </x:c>
    </x:row>
    <x:row r="72" ht="41.25" customHeight="1">
      <x:c r="A72" s="12" t="str">
        <x:v>W2-53-2</x:v>
      </x:c>
      <x:c r="B72" s="12" t="str">
        <x:v>53 / 57</x:v>
      </x:c>
      <x:c r="C72" s="12" t="str">
        <x:v>产品管理参数配置</x:v>
      </x:c>
      <x:c r="D72" s="12" t="str">
        <x:v>P0</x:v>
      </x:c>
      <x:c r="E72" s="12" t="str">
        <x:v>类型切换后的错误与残值</x:v>
      </x:c>
      <x:c r="F72" s="12" t="str">
        <x:v>边界/异常</x:v>
      </x:c>
      <x:c r="G72" s="12" t="str">
        <x:v>提供该业务页的批准设计与可切换前端状态样例；本地通用模板仅作对照</x:v>
      </x:c>
      <x:c r="H72" s="12" t="str">
        <x:v>输入长值/错误值后切换类型，再返回；模拟保存失败。</x:v>
      </x:c>
      <x:c r="I72" s="12" t="str">
        <x:v>旧字段错误不残留在新组；值去留按批准规则呈现；失败保持可修正状态。</x:v>
      </x:c>
      <x:c r="J72" s="12" t="str">
        <x:v>待业务页执行</x:v>
      </x:c>
      <x:c r="K72" s="12" t="str">
        <x:v>阶段共识19、22</x:v>
      </x:c>
      <x:c r="L72" s="13" t="str"/>
      <x:c r="M72" s="13" t="str">
        <x:v>未执行</x:v>
      </x:c>
    </x:row>
    <x:row r="73" ht="41.25" customHeight="1">
      <x:c r="A73" s="11" t="str">
        <x:v>W2-54-1</x:v>
      </x:c>
      <x:c r="B73" s="11" t="str">
        <x:v>54 / 58</x:v>
      </x:c>
      <x:c r="C73" s="11" t="str">
        <x:v>产品管理参数配置</x:v>
      </x:c>
      <x:c r="D73" s="11" t="str">
        <x:v>P0</x:v>
      </x:c>
      <x:c r="E73" s="11" t="str">
        <x:v>计费方式配置交互</x:v>
      </x:c>
      <x:c r="F73" s="11" t="str">
        <x:v>正常</x:v>
      </x:c>
      <x:c r="G73" s="11" t="str">
        <x:v>提供该业务页的批准设计与可切换前端状态样例；本地通用模板仅作对照</x:v>
      </x:c>
      <x:c r="H73" s="11" t="str">
        <x:v>进入计费方式查看表单与说明、切换方式。</x:v>
      </x:c>
      <x:c r="I73" s="11" t="str">
        <x:v>方式命名和相关字段层级清楚；只显示必要说明；不展示内部实现术语。</x:v>
      </x:c>
      <x:c r="J73" s="11" t="str">
        <x:v>待业务页执行</x:v>
      </x:c>
      <x:c r="K73" s="11" t="str">
        <x:v>RV01/RV04</x:v>
      </x:c>
      <x:c r="L73" s="13" t="str"/>
      <x:c r="M73" s="13" t="str">
        <x:v>未执行</x:v>
      </x:c>
    </x:row>
    <x:row r="74" ht="41.25" customHeight="1">
      <x:c r="A74" s="12" t="str">
        <x:v>W2-54-2</x:v>
      </x:c>
      <x:c r="B74" s="12" t="str">
        <x:v>54 / 58</x:v>
      </x:c>
      <x:c r="C74" s="12" t="str">
        <x:v>产品管理参数配置</x:v>
      </x:c>
      <x:c r="D74" s="12" t="str">
        <x:v>P0</x:v>
      </x:c>
      <x:c r="E74" s="12" t="str">
        <x:v>无可选方式与长说明</x:v>
      </x:c>
      <x:c r="F74" s="12" t="str">
        <x:v>边界</x:v>
      </x:c>
      <x:c r="G74" s="12" t="str">
        <x:v>提供该业务页的批准设计与可切换前端状态样例；本地通用模板仅作对照</x:v>
      </x:c>
      <x:c r="H74" s="12" t="str">
        <x:v>准备0/1/多选项、长说明、禁用选项及获取失败。</x:v>
      </x:c>
      <x:c r="I74" s="12" t="str">
        <x:v>空候选和失败可区分；禁用原因可读；超过10项的Select提供搜索。</x:v>
      </x:c>
      <x:c r="J74" s="12" t="str">
        <x:v>待业务页执行</x:v>
      </x:c>
      <x:c r="K74" s="12" t="str">
        <x:v>规范5.3、9.4</x:v>
      </x:c>
      <x:c r="L74" s="13" t="str"/>
      <x:c r="M74" s="13" t="str">
        <x:v>未执行</x:v>
      </x:c>
    </x:row>
    <x:row r="75" ht="41.25" customHeight="1">
      <x:c r="A75" s="11" t="str">
        <x:v>W2-55-1</x:v>
      </x:c>
      <x:c r="B75" s="11" t="str">
        <x:v>55 / 59</x:v>
      </x:c>
      <x:c r="C75" s="11" t="str">
        <x:v>产品管理参数配置</x:v>
      </x:c>
      <x:c r="D75" s="11" t="str">
        <x:v>P0</x:v>
      </x:c>
      <x:c r="E75" s="11" t="str">
        <x:v>下单限制选择反馈</x:v>
      </x:c>
      <x:c r="F75" s="11" t="str">
        <x:v>正常</x:v>
      </x:c>
      <x:c r="G75" s="11" t="str">
        <x:v>提供该业务页的批准设计与可切换前端状态样例；本地通用模板仅作对照</x:v>
      </x:c>
      <x:c r="H75" s="11" t="str">
        <x:v>进入下单限制，搜索、勾选、取消与确认。</x:v>
      </x:c>
      <x:c r="I75" s="11" t="str">
        <x:v>选中反馈不重复堆叠Tag和计数；是否采用RV05方案需确认；操作对象明确。</x:v>
      </x:c>
      <x:c r="J75" s="11" t="str">
        <x:v>待基线确认</x:v>
      </x:c>
      <x:c r="K75" s="11" t="str">
        <x:v>RV05 待确认</x:v>
      </x:c>
      <x:c r="L75" s="13" t="str"/>
      <x:c r="M75" s="13" t="str">
        <x:v>未执行</x:v>
      </x:c>
    </x:row>
    <x:row r="76" ht="41.25" customHeight="1">
      <x:c r="A76" s="12" t="str">
        <x:v>W2-55-2</x:v>
      </x:c>
      <x:c r="B76" s="12" t="str">
        <x:v>55 / 59</x:v>
      </x:c>
      <x:c r="C76" s="12" t="str">
        <x:v>产品管理参数配置</x:v>
      </x:c>
      <x:c r="D76" s="12" t="str">
        <x:v>P0</x:v>
      </x:c>
      <x:c r="E76" s="12" t="str">
        <x:v>多限制与无匹配项</x:v>
      </x:c>
      <x:c r="F76" s="12" t="str">
        <x:v>边界</x:v>
      </x:c>
      <x:c r="G76" s="12" t="str">
        <x:v>提供该业务页的批准设计与可切换前端状态样例；本地通用模板仅作对照</x:v>
      </x:c>
      <x:c r="H76" s="12" t="str">
        <x:v>多选、全选、取消全部、长限制名与搜索无结果。</x:v>
      </x:c>
      <x:c r="I76" s="12" t="str">
        <x:v>已选和过滤结果一致；隐藏已选项不造成误解；无结果有清空引导。</x:v>
      </x:c>
      <x:c r="J76" s="12" t="str">
        <x:v>待业务页执行</x:v>
      </x:c>
      <x:c r="K76" s="12" t="str">
        <x:v>规范5.5、7.2</x:v>
      </x:c>
      <x:c r="L76" s="13" t="str"/>
      <x:c r="M76" s="13" t="str">
        <x:v>未执行</x:v>
      </x:c>
    </x:row>
    <x:row r="77" ht="51.75" customHeight="1">
      <x:c r="A77" s="11" t="str">
        <x:v>W2-56-1</x:v>
      </x:c>
      <x:c r="B77" s="11" t="str">
        <x:v>56 / 60</x:v>
      </x:c>
      <x:c r="C77" s="11" t="str">
        <x:v>产品管理参数配置</x:v>
      </x:c>
      <x:c r="D77" s="11" t="str">
        <x:v>P0</x:v>
      </x:c>
      <x:c r="E77" s="11" t="str">
        <x:v>业务字典分类切换</x:v>
      </x:c>
      <x:c r="F77" s="11" t="str">
        <x:v>条件用例</x:v>
      </x:c>
      <x:c r="G77" s="11" t="str">
        <x:v>先完成PRD/入口评审；提供该业务页的批准设计与可切换前端状态样例；本地通用模板仅作对照</x:v>
      </x:c>
      <x:c r="H77" s="11" t="str">
        <x:v>确认原型业务字典进入PRD后，在基础配置切主/子类别。</x:v>
      </x:c>
      <x:c r="I77" s="11" t="str">
        <x:v>主数据与计价底座的页头Tabs和子列表分层；新增归属当前列表。</x:v>
      </x:c>
      <x:c r="J77" s="11" t="str">
        <x:v>待基线确认</x:v>
      </x:c>
      <x:c r="K77" s="11" t="str">
        <x:v>RV01/排期60行 原型</x:v>
      </x:c>
      <x:c r="L77" s="13" t="str"/>
      <x:c r="M77" s="13" t="str">
        <x:v>未执行</x:v>
      </x:c>
    </x:row>
    <x:row r="78" ht="51.75" customHeight="1">
      <x:c r="A78" s="12" t="str">
        <x:v>W2-56-2</x:v>
      </x:c>
      <x:c r="B78" s="12" t="str">
        <x:v>56 / 60</x:v>
      </x:c>
      <x:c r="C78" s="12" t="str">
        <x:v>产品管理参数配置</x:v>
      </x:c>
      <x:c r="D78" s="12" t="str">
        <x:v>P0</x:v>
      </x:c>
      <x:c r="E78" s="12" t="str">
        <x:v>长类别与标签过量</x:v>
      </x:c>
      <x:c r="F78" s="12" t="str">
        <x:v>条件/边界</x:v>
      </x:c>
      <x:c r="G78" s="12" t="str">
        <x:v>先完成PRD/入口评审；提供该业务页的批准设计与可切换前端状态样例；本地通用模板仅作对照</x:v>
      </x:c>
      <x:c r="H78" s="12" t="str">
        <x:v>批准后用长类别名和超过7项同级选项检查承载；Tab键和方向键切换。</x:v>
      </x:c>
      <x:c r="I78" s="12" t="str">
        <x:v>避免多层Tabs；过多/过长改选择器；选中与内容对应，键盘ARIA按5.17。</x:v>
      </x:c>
      <x:c r="J78" s="12" t="str">
        <x:v>待基线确认</x:v>
      </x:c>
      <x:c r="K78" s="12" t="str">
        <x:v>规范5.17</x:v>
      </x:c>
      <x:c r="L78" s="13" t="str"/>
      <x:c r="M78" s="13" t="str">
        <x:v>未执行</x:v>
      </x:c>
    </x:row>
    <x:row r="79" ht="51.75" customHeight="1">
      <x:c r="A79" s="11" t="str">
        <x:v>W2-57-1</x:v>
      </x:c>
      <x:c r="B79" s="11" t="str">
        <x:v>57 / 61</x:v>
      </x:c>
      <x:c r="C79" s="11" t="str">
        <x:v>产品管理参数配置</x:v>
      </x:c>
      <x:c r="D79" s="11" t="str">
        <x:v>P1</x:v>
      </x:c>
      <x:c r="E79" s="11" t="str">
        <x:v>可接货型展示与选择</x:v>
      </x:c>
      <x:c r="F79" s="11" t="str">
        <x:v>条件用例</x:v>
      </x:c>
      <x:c r="G79" s="11" t="str">
        <x:v>先完成PRD/入口评审；提供该业务页的批准设计与可切换前端状态样例；本地通用模板仅作对照</x:v>
      </x:c>
      <x:c r="H79" s="11" t="str">
        <x:v>确认PRD后进入货型列表/选择控件，打开新增/编辑。</x:v>
      </x:c>
      <x:c r="I79" s="11" t="str">
        <x:v>货型名称与状态可理解；选择和业务限制说明分开。</x:v>
      </x:c>
      <x:c r="J79" s="11" t="str">
        <x:v>待基线确认</x:v>
      </x:c>
      <x:c r="K79" s="11" t="str">
        <x:v>排期61行 原型</x:v>
      </x:c>
      <x:c r="L79" s="13" t="str"/>
      <x:c r="M79" s="13" t="str">
        <x:v>未执行</x:v>
      </x:c>
    </x:row>
    <x:row r="80" ht="51.75" customHeight="1">
      <x:c r="A80" s="12" t="str">
        <x:v>W2-57-2</x:v>
      </x:c>
      <x:c r="B80" s="12" t="str">
        <x:v>57 / 61</x:v>
      </x:c>
      <x:c r="C80" s="12" t="str">
        <x:v>产品管理参数配置</x:v>
      </x:c>
      <x:c r="D80" s="12" t="str">
        <x:v>P1</x:v>
      </x:c>
      <x:c r="E80" s="12" t="str">
        <x:v>长货型名称和无数据</x:v>
      </x:c>
      <x:c r="F80" s="12" t="str">
        <x:v>条件/边界</x:v>
      </x:c>
      <x:c r="G80" s="12" t="str">
        <x:v>先完成PRD/入口评审；提供该业务页的批准设计与可切换前端状态样例；本地通用模板仅作对照</x:v>
      </x:c>
      <x:c r="H80" s="12" t="str">
        <x:v>批准后使用长名、无选项、停用项、加载失败。</x:v>
      </x:c>
      <x:c r="I80" s="12" t="str">
        <x:v>名称完整可读；无选项不伪装为已选择；失效项有明确说明。</x:v>
      </x:c>
      <x:c r="J80" s="12" t="str">
        <x:v>待基线确认</x:v>
      </x:c>
      <x:c r="K80" s="12" t="str">
        <x:v>规范5.3、7.2、9.4</x:v>
      </x:c>
      <x:c r="L80" s="13" t="str"/>
      <x:c r="M80" s="13" t="str">
        <x:v>未执行</x:v>
      </x:c>
    </x:row>
    <x:row r="81" ht="51.75" customHeight="1">
      <x:c r="A81" s="11" t="str">
        <x:v>W2-58-1</x:v>
      </x:c>
      <x:c r="B81" s="11" t="str">
        <x:v>58 / 62</x:v>
      </x:c>
      <x:c r="C81" s="11" t="str">
        <x:v>产品管理参数配置</x:v>
      </x:c>
      <x:c r="D81" s="11" t="str">
        <x:v>P1</x:v>
      </x:c>
      <x:c r="E81" s="11" t="str">
        <x:v>财务配置列表与表单</x:v>
      </x:c>
      <x:c r="F81" s="11" t="str">
        <x:v>条件用例</x:v>
      </x:c>
      <x:c r="G81" s="11" t="str">
        <x:v>先完成PRD/入口评审；提供该业务页的批准设计与可切换前端状态样例；本地通用模板仅作对照</x:v>
      </x:c>
      <x:c r="H81" s="11" t="str">
        <x:v>确认PRD后打开财务配置，观察分组、单位及敏感字段展示。</x:v>
      </x:c>
      <x:c r="I81" s="11" t="str">
        <x:v>当前分类与操作归属清楚；金额单位不缺失；只读/隐藏按PRD权限展示。</x:v>
      </x:c>
      <x:c r="J81" s="11" t="str">
        <x:v>待基线确认</x:v>
      </x:c>
      <x:c r="K81" s="11" t="str">
        <x:v>排期62行 原型</x:v>
      </x:c>
      <x:c r="L81" s="13" t="str"/>
      <x:c r="M81" s="13" t="str">
        <x:v>未执行</x:v>
      </x:c>
    </x:row>
    <x:row r="82" ht="51.75" customHeight="1">
      <x:c r="A82" s="12" t="str">
        <x:v>W2-58-2</x:v>
      </x:c>
      <x:c r="B82" s="12" t="str">
        <x:v>58 / 62</x:v>
      </x:c>
      <x:c r="C82" s="12" t="str">
        <x:v>产品管理参数配置</x:v>
      </x:c>
      <x:c r="D82" s="12" t="str">
        <x:v>P1</x:v>
      </x:c>
      <x:c r="E82" s="12" t="str">
        <x:v>精度和权限异常呈现</x:v>
      </x:c>
      <x:c r="F82" s="12" t="str">
        <x:v>条件/异常</x:v>
      </x:c>
      <x:c r="G82" s="12" t="str">
        <x:v>先完成PRD/入口评审；提供该业务页的批准设计与可切换前端状态样例；本地通用模板仅作对照</x:v>
      </x:c>
      <x:c r="H82" s="12" t="str">
        <x:v>批准后展示空零/极值及403、保存失败响应。</x:v>
      </x:c>
      <x:c r="I82" s="12" t="str">
        <x:v>错误有可执行下一步；字段内容不意外暴露；金额精度只验显示，不验财务算法。</x:v>
      </x:c>
      <x:c r="J82" s="12" t="str">
        <x:v>待基线确认</x:v>
      </x:c>
      <x:c r="K82" s="12" t="str">
        <x:v>规范7.3、9.1、9.2</x:v>
      </x:c>
      <x:c r="L82" s="13" t="str"/>
      <x:c r="M82" s="13" t="str">
        <x:v>未执行</x:v>
      </x:c>
    </x:row>
    <x:row r="83" ht="51.75" customHeight="1">
      <x:c r="A83" s="11" t="str">
        <x:v>W2-65-1</x:v>
      </x:c>
      <x:c r="B83" s="11" t="str">
        <x:v>65 / 69</x:v>
      </x:c>
      <x:c r="C83" s="11" t="str">
        <x:v>操作日志</x:v>
      </x:c>
      <x:c r="D83" s="11" t="str">
        <x:v>P1</x:v>
      </x:c>
      <x:c r="E83" s="11" t="str">
        <x:v>操作日志阅读路径</x:v>
      </x:c>
      <x:c r="F83" s="11" t="str">
        <x:v>条件用例</x:v>
      </x:c>
      <x:c r="G83" s="11" t="str">
        <x:v>先完成PRD/入口评审；提供该业务页的批准设计与可切换前端状态样例；本地通用模板仅作对照</x:v>
      </x:c>
      <x:c r="H83" s="11" t="str">
        <x:v>确认原型日志进入PRD后打开列表、筛选并查看详情。</x:v>
      </x:c>
      <x:c r="I83" s="11" t="str">
        <x:v>时间、操作者、动作、对象分层清楚；只读；详情返回保持定位。</x:v>
      </x:c>
      <x:c r="J83" s="11" t="str">
        <x:v>待基线确认</x:v>
      </x:c>
      <x:c r="K83" s="11" t="str">
        <x:v>排期69行 原型</x:v>
      </x:c>
      <x:c r="L83" s="13" t="str"/>
      <x:c r="M83" s="13" t="str">
        <x:v>未执行</x:v>
      </x:c>
    </x:row>
    <x:row r="84" ht="51.75" customHeight="1">
      <x:c r="A84" s="12" t="str">
        <x:v>W2-65-2</x:v>
      </x:c>
      <x:c r="B84" s="12" t="str">
        <x:v>65 / 69</x:v>
      </x:c>
      <x:c r="C84" s="12" t="str">
        <x:v>操作日志</x:v>
      </x:c>
      <x:c r="D84" s="12" t="str">
        <x:v>P1</x:v>
      </x:c>
      <x:c r="E84" s="12" t="str">
        <x:v>长日志与空异常状态</x:v>
      </x:c>
      <x:c r="F84" s="12" t="str">
        <x:v>条件/边界</x:v>
      </x:c>
      <x:c r="G84" s="12" t="str">
        <x:v>先完成PRD/入口评审；提供该业务页的批准设计与可切换前端状态样例；本地通用模板仅作对照</x:v>
      </x:c>
      <x:c r="H84" s="12" t="str">
        <x:v>批准后展示长错误内容、空结果、无权限与加载失败。</x:v>
      </x:c>
      <x:c r="I84" s="12" t="str">
        <x:v>长文可展开，特殊字符按文本安全显示；空态与异常分明；不验证日志落库。</x:v>
      </x:c>
      <x:c r="J84" s="12" t="str">
        <x:v>待基线确认</x:v>
      </x:c>
      <x:c r="K84" s="12" t="str">
        <x:v>规范7.2、7.3、9.4</x:v>
      </x:c>
      <x:c r="L84" s="13" t="str"/>
      <x:c r="M84" s="13" t="str">
        <x:v>未执行</x:v>
      </x:c>
    </x:row>
  </x:sheetData>
  <x:conditionalFormatting sqref="J9:J84">
    <x:cfRule type="containsText" dxfId="4" priority="1" operator="containsText" text="不符"/>
    <x:cfRule type="containsText" dxfId="5" priority="2" operator="containsText" text="未执行"/>
    <x:cfRule type="containsText" dxfId="6" priority="3" operator="containsText" text="待"/>
    <x:cfRule type="containsText" dxfId="7" priority="4" operator="containsText" text="通过"/>
  </x:conditionalFormatting>
  <x:dataValidations count="1">
    <x:dataValidation type="list" sqref="M9:M84">
      <x:formula1>"未执行,通过,不通过,受阻,不适用"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7eb152f6874822"/>
  </x:tableParts>
</x:worksheet>
</file>

<file path=xl/worksheets/sheet4.xml><?xml version="1.0" encoding="utf-8"?>
<x:worksheet xmlns:x="http://schemas.openxmlformats.org/spreadsheetml/2006/main">
  <x:sheetPr>
    <x:tabColor rgb="FF175DB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11.25" hidden="0" customWidth="1"/>
    <x:col min="3" max="3" width="18.1299991607666" hidden="0" customWidth="1"/>
    <x:col min="4" max="4" width="30.6299991607666" hidden="0" customWidth="1"/>
    <x:col min="5" max="5" width="44.380001068115234" hidden="0" customWidth="1"/>
    <x:col min="6" max="6" width="50.630001068115234" hidden="0" customWidth="1"/>
    <x:col min="7" max="7" width="16.8799991607666" hidden="0" customWidth="1"/>
    <x:col min="8" max="8" width="30" hidden="0" customWidth="1"/>
    <x:col min="9" max="9" width="35" hidden="0" customWidth="1"/>
    <x:col min="10" max="10" width="22.5" hidden="0" customWidth="1"/>
    <x:col min="11" max="11" width="45.630001068115234" hidden="0" customWidth="1"/>
    <x:col min="12" max="12" width="14.380000114440918" hidden="0" customWidth="1"/>
    <x:col min="13" max="13" width="12.5" hidden="0" customWidth="1"/>
    <x:col min="14" max="14" width="13.75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7" customHeight="1">
      <x:c r="A2" s="5" t="str">
        <x:v>修改清单与规范待决事项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6" t="str">
        <x:v>建议优先级只用于本轮分派；原始Review优先级保留在Review来源。13项并非13个已证实缺陷。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1" customHeight="1">
      <x:c r="A4" s="4" t="str">
        <x:v>优先处理P1交互可用性与规范依赖；P2视觉差异统一修正后回归。建议/条件项先确认口径，不能当作规范已批准。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1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21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21" customHeight="1">
      <x:c r="A7" s="6" t="str">
        <x:v>浅黄色为后续人工填写/更新区；表头带筛选，横向滚动时前两列保留。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</x:row>
    <x:row r="8" ht="31.5" customHeight="1">
      <x:c r="A8" s="10" t="str">
        <x:v>事项ID</x:v>
      </x:c>
      <x:c r="B8" s="10" t="str">
        <x:v>建议优先级</x:v>
      </x:c>
      <x:c r="C8" s="10" t="str">
        <x:v>判定类型</x:v>
      </x:c>
      <x:c r="D8" s="10" t="str">
        <x:v>问题/待决事项</x:v>
      </x:c>
      <x:c r="E8" s="10" t="str">
        <x:v>证据与实际表现</x:v>
      </x:c>
      <x:c r="F8" s="10" t="str">
        <x:v>修改或裁决要求</x:v>
      </x:c>
      <x:c r="G8" s="10" t="str">
        <x:v>承接角色</x:v>
      </x:c>
      <x:c r="H8" s="10" t="str">
        <x:v>依据</x:v>
      </x:c>
      <x:c r="I8" s="10" t="str">
        <x:v>定位</x:v>
      </x:c>
      <x:c r="J8" s="10" t="str">
        <x:v>关联用例</x:v>
      </x:c>
      <x:c r="K8" s="10" t="str">
        <x:v>复测判据</x:v>
      </x:c>
      <x:c r="L8" s="10" t="str">
        <x:v>处理状态</x:v>
      </x:c>
      <x:c r="M8" s="10" t="str">
        <x:v>负责人</x:v>
      </x:c>
      <x:c r="N8" s="10" t="str">
        <x:v>复测结果</x:v>
      </x:c>
    </x:row>
    <x:row r="9" ht="51.75" customHeight="1">
      <x:c r="A9" s="11" t="str">
        <x:v>F01</x:v>
      </x:c>
      <x:c r="B9" s="11" t="str">
        <x:v>P2</x:v>
      </x:c>
      <x:c r="C9" s="11" t="str">
        <x:v>已证实规范差异</x:v>
      </x:c>
      <x:c r="D9" s="11" t="str">
        <x:v>操作列居中且间距8px</x:v>
      </x:c>
      <x:c r="E9" s="11" t="str">
        <x:v>列表操作列内层center，a-space gap=8px。
证据：E20-list-1440</x:v>
      </x:c>
      <x:c r="F9" s="11" t="str">
        <x:v>改为左对齐及16px间距，同时调整操作列宽避免裁切。</x:v>
      </x:c>
      <x:c r="G9" s="11" t="str">
        <x:v>开发</x:v>
      </x:c>
      <x:c r="H9" s="11" t="str">
        <x:v>规范5.8 IOfbnI/tkqkxw</x:v>
      </x:c>
      <x:c r="I9" s="11" t="str">
        <x:v>src/views/demo/config/listConfig.ts:53；src/views/demo/views/ListView.vue</x:v>
      </x:c>
      <x:c r="J9" s="11" t="str">
        <x:v>T03</x:v>
      </x:c>
      <x:c r="K9" s="11" t="str">
        <x:v>在1440/1280/1024横向滚动复测，左右固定列不重叠。</x:v>
      </x:c>
      <x:c r="L9" s="13" t="str">
        <x:v>待安排</x:v>
      </x:c>
      <x:c r="M9" s="13" t="str"/>
      <x:c r="N9" s="13" t="str">
        <x:v>未复测</x:v>
      </x:c>
    </x:row>
    <x:row r="10" ht="41.25" customHeight="1">
      <x:c r="A10" s="12" t="str">
        <x:v>F02</x:v>
      </x:c>
      <x:c r="B10" s="12" t="str">
        <x:v>P2</x:v>
      </x:c>
      <x:c r="C10" s="12" t="str">
        <x:v>已证实规范差异</x:v>
      </x:c>
      <x:c r="D10" s="12" t="str">
        <x:v>标准页头97px与94px基线不符</x:v>
      </x:c>
      <x:c r="E10" s="12" t="str">
        <x:v>1440×900标准页头实测97px。
证据：E20-list-1440</x:v>
      </x:c>
      <x:c r="F10" s="12" t="str">
        <x:v>排查面包屑行盒基线间隙，修正标准型到94px；同时复核完整型/简洁型。</x:v>
      </x:c>
      <x:c r="G10" s="12" t="str">
        <x:v>开发</x:v>
      </x:c>
      <x:c r="H10" s="12" t="str">
        <x:v>规范4.2 0rCax8</x:v>
      </x:c>
      <x:c r="I10" s="12" t="str">
        <x:v>src/layout/components/PageHeader.vue；AppBreadcrumb.vue</x:v>
      </x:c>
      <x:c r="J10" s="12" t="str">
        <x:v>T02</x:v>
      </x:c>
      <x:c r="K10" s="12" t="str">
        <x:v>标准页头94px，H1/面包屑及操作底部对齐。</x:v>
      </x:c>
      <x:c r="L10" s="13" t="str">
        <x:v>待安排</x:v>
      </x:c>
      <x:c r="M10" s="13" t="str"/>
      <x:c r="N10" s="13" t="str">
        <x:v>未复测</x:v>
      </x:c>
    </x:row>
    <x:row r="11" ht="41.25" customHeight="1">
      <x:c r="A11" s="11" t="str">
        <x:v>F03</x:v>
      </x:c>
      <x:c r="B11" s="11" t="str">
        <x:v>P2</x:v>
      </x:c>
      <x:c r="C11" s="11" t="str">
        <x:v>已证实规范差异</x:v>
      </x:c>
      <x:c r="D11" s="11" t="str">
        <x:v>表格普通正文使用标题色</x:v>
      </x:c>
      <x:c r="E11" s="11" t="str">
        <x:v>目的地、重量、日期等普通单元格继承#1A2130。
证据：E20-list-1440</x:v>
      </x:c>
      <x:c r="F11" s="11" t="str">
        <x:v>普通表格正文对齐color-text-body；保留标题、链接与语义Tag专用色。</x:v>
      </x:c>
      <x:c r="G11" s="11" t="str">
        <x:v>开发/核心组件维护</x:v>
      </x:c>
      <x:c r="H11" s="11" t="str">
        <x:v>规范3.1/13 Design Token</x:v>
      </x:c>
      <x:c r="I11" s="11" t="str">
        <x:v>@baiyun/template-core样式映射；本地ListView作用域需核对</x:v>
      </x:c>
      <x:c r="J11" s="11" t="str">
        <x:v>T04</x:v>
      </x:c>
      <x:c r="K11" s="11" t="str">
        <x:v>计算样式#4B5564；蓝链接和状态色不被统一覆盖。</x:v>
      </x:c>
      <x:c r="L11" s="13" t="str">
        <x:v>待安排</x:v>
      </x:c>
      <x:c r="M11" s="13" t="str"/>
      <x:c r="N11" s="13" t="str">
        <x:v>未复测</x:v>
      </x:c>
    </x:row>
    <x:row r="12" ht="51.75" customHeight="1">
      <x:c r="A12" s="12" t="str">
        <x:v>F04</x:v>
      </x:c>
      <x:c r="B12" s="12" t="str">
        <x:v>P2</x:v>
      </x:c>
      <x:c r="C12" s="12" t="str">
        <x:v>已观察交互缺口</x:v>
      </x:c>
      <x:c r="D12" s="12" t="str">
        <x:v>顶栏搜索与通知无反馈</x:v>
      </x:c>
      <x:c r="E12" s="12" t="str">
        <x:v>输入搜索Enter/点击通知无可见结果；源码未绑定处理。
证据：E15-header-placeholder</x:v>
      </x:c>
      <x:c r="F12" s="12" t="str">
        <x:v>模板注明演示占位或提供最小演示反馈；业务接入时隐藏无功能入口或接通批准功能。</x:v>
      </x:c>
      <x:c r="G12" s="12" t="str">
        <x:v>产品/开发</x:v>
      </x:c>
      <x:c r="H12" s="12" t="str">
        <x:v>规范2.1/RV11待确认</x:v>
      </x:c>
      <x:c r="I12" s="12" t="str">
        <x:v>src/layout/components/AppHeader.vue:31</x:v>
      </x:c>
      <x:c r="J12" s="12" t="str">
        <x:v>T20</x:v>
      </x:c>
      <x:c r="K12" s="12" t="str">
        <x:v>所有可点击入口有可理解反馈，无无效操作暗示。</x:v>
      </x:c>
      <x:c r="L12" s="13" t="str">
        <x:v>待安排</x:v>
      </x:c>
      <x:c r="M12" s="13" t="str"/>
      <x:c r="N12" s="13" t="str">
        <x:v>未复测</x:v>
      </x:c>
    </x:row>
    <x:row r="13" ht="41.25" customHeight="1">
      <x:c r="A13" s="11" t="str">
        <x:v>F05</x:v>
      </x:c>
      <x:c r="B13" s="11" t="str">
        <x:v>P1</x:v>
      </x:c>
      <x:c r="C13" s="11" t="str">
        <x:v>建议待确认</x:v>
      </x:c>
      <x:c r="D13" s="11" t="str">
        <x:v>未保存输入取消后直接丢失</x:v>
      </x:c>
      <x:c r="E13" s="11" t="str">
        <x:v>取消返回列表，再新建为空表单。
证据：E10-cancel/E11-cancel-reopen</x:v>
      </x:c>
      <x:c r="F13" s="11" t="str">
        <x:v>产品确定重要输入离开策略；建议dirty时确认离开/继续编辑，原始未改表单直接返回。</x:v>
      </x:c>
      <x:c r="G13" s="11" t="str">
        <x:v>产品/开发</x:v>
      </x:c>
      <x:c r="H13" s="11" t="str">
        <x:v>可用性补充；规范未定义强制确认</x:v>
      </x:c>
      <x:c r="I13" s="11" t="str">
        <x:v>src/views/demo/views/FormView.vue:133</x:v>
      </x:c>
      <x:c r="J13" s="11" t="str">
        <x:v>T16</x:v>
      </x:c>
      <x:c r="K13" s="11" t="str">
        <x:v>覆盖取消、侧栏跳转、浏览器返回、刷新；选择继续编辑保留输入。</x:v>
      </x:c>
      <x:c r="L13" s="13" t="str">
        <x:v>待安排</x:v>
      </x:c>
      <x:c r="M13" s="13" t="str"/>
      <x:c r="N13" s="13" t="str">
        <x:v>未复测</x:v>
      </x:c>
    </x:row>
    <x:row r="14" ht="51.75" customHeight="1">
      <x:c r="A14" s="12" t="str">
        <x:v>F06</x:v>
      </x:c>
      <x:c r="B14" s="12" t="str">
        <x:v>P2</x:v>
      </x:c>
      <x:c r="C14" s="12" t="str">
        <x:v>建议待确认</x:v>
      </x:c>
      <x:c r="D14" s="12" t="str">
        <x:v>标签/错误未关联且未定位首错</x:v>
      </x:c>
      <x:c r="E14" s="12" t="str">
        <x:v>主要表单字段缺少id和ARIA关联；空提交焦点仍在保存。
证据：E08-validation</x:v>
      </x:c>
      <x:c r="F14" s="12" t="str">
        <x:v>为控件建立可见标签/错误描述关联；补首错焦点/滚动策略，确认读屏目标范围。</x:v>
      </x:c>
      <x:c r="G14" s="12" t="str">
        <x:v>UI/开发</x:v>
      </x:c>
      <x:c r="H14" s="12" t="str">
        <x:v>可用性补充，不冒充规范硬性条款</x:v>
      </x:c>
      <x:c r="I14" s="12" t="str">
        <x:v>src/views/demo/components/FormFields.biz.vue；ListFilterBar.vue</x:v>
      </x:c>
      <x:c r="J14" s="12" t="str">
        <x:v>T13/T14</x:v>
      </x:c>
      <x:c r="K14" s="12" t="str">
        <x:v>键盘逐项可识别名称；错误可定位且修正后清除；避免焦点突然跳出。</x:v>
      </x:c>
      <x:c r="L14" s="13" t="str">
        <x:v>待安排</x:v>
      </x:c>
      <x:c r="M14" s="13" t="str"/>
      <x:c r="N14" s="13" t="str">
        <x:v>未复测</x:v>
      </x:c>
    </x:row>
    <x:row r="15" ht="51.75" customHeight="1">
      <x:c r="A15" s="11" t="str">
        <x:v>F07</x:v>
      </x:c>
      <x:c r="B15" s="11" t="str">
        <x:v>P1</x:v>
      </x:c>
      <x:c r="C15" s="11" t="str">
        <x:v>已观察可用性问题</x:v>
      </x:c>
      <x:c r="D15" s="11" t="str">
        <x:v>助手浮动入口覆盖行操作</x:v>
      </x:c>
      <x:c r="E15" s="11" t="str">
        <x:v>1280×800助手边界与2个跟踪按钮相交，截图可见覆盖。
证据：E17-refresh</x:v>
      </x:c>
      <x:c r="F15" s="11" t="str">
        <x:v>UI确定拖动/收起/安全区避让方案；保证关键操作可达，不直接改变品牌入口规范。</x:v>
      </x:c>
      <x:c r="G15" s="11" t="str">
        <x:v>UI/核心组件维护</x:v>
      </x:c>
      <x:c r="H15" s="11" t="str">
        <x:v>规范11.2及可用性审查</x:v>
      </x:c>
      <x:c r="I15" s="11" t="str">
        <x:v>@baiyun/template-core/ai入口；src/layout/BasicLayout.vue</x:v>
      </x:c>
      <x:c r="J15" s="11" t="str">
        <x:v>T21</x:v>
      </x:c>
      <x:c r="K15" s="11" t="str">
        <x:v>1280/1440长表不同滚动位置，入口和提示均不阻断行操作。</x:v>
      </x:c>
      <x:c r="L15" s="13" t="str">
        <x:v>待安排</x:v>
      </x:c>
      <x:c r="M15" s="13" t="str"/>
      <x:c r="N15" s="13" t="str">
        <x:v>未复测</x:v>
      </x:c>
    </x:row>
    <x:row r="16" ht="41.25" customHeight="1">
      <x:c r="A16" s="12" t="str">
        <x:v>F08</x:v>
      </x:c>
      <x:c r="B16" s="12" t="str">
        <x:v>P2</x:v>
      </x:c>
      <x:c r="C16" s="12" t="str">
        <x:v>条件差异</x:v>
      </x:c>
      <x:c r="D16" s="12" t="str">
        <x:v>Mobile仍显示横滚Table</x:v>
      </x:c>
      <x:c r="E16" s="12" t="str">
        <x:v>390px宽为1100px table，未转卡片。
证据：E14-list-390</x:v>
      </x:c>
      <x:c r="F16" s="12" t="str">
        <x:v>先确认本项目是否支持Mobile；如启用，按4.5转卡片并满足44px触达。</x:v>
      </x:c>
      <x:c r="G16" s="12" t="str">
        <x:v>产品/UI/开发</x:v>
      </x:c>
      <x:c r="H16" s="12" t="str">
        <x:v>规范4.5 cHhLBb：Mobile按项目选择</x:v>
      </x:c>
      <x:c r="I16" s="12" t="str">
        <x:v>src/views/demo/views/ListView.vue</x:v>
      </x:c>
      <x:c r="J16" s="12" t="str">
        <x:v>T23</x:v>
      </x:c>
      <x:c r="K16" s="12" t="str">
        <x:v>启用时在767/390转卡片，768保留Tablet表格；未启用则记录本期不做。</x:v>
      </x:c>
      <x:c r="L16" s="13" t="str">
        <x:v>待安排</x:v>
      </x:c>
      <x:c r="M16" s="13" t="str"/>
      <x:c r="N16" s="13" t="str">
        <x:v>未复测</x:v>
      </x:c>
    </x:row>
    <x:row r="17" ht="51.75" customHeight="1">
      <x:c r="A17" s="11" t="str">
        <x:v>F09</x:v>
      </x:c>
      <x:c r="B17" s="11" t="str">
        <x:v>P1</x:v>
      </x:c>
      <x:c r="C17" s="11" t="str">
        <x:v>静态适配风险</x:v>
      </x:c>
      <x:c r="D17" s="11" t="str">
        <x:v>多分类及三级导航待补样例</x:v>
      </x:c>
      <x:c r="E17" s="11" t="str">
        <x:v>accordion=true；模板直接children作为menu-item渲染，未展示三级链。
证据：静态代码，未作多分类现场失败判定</x:v>
      </x:c>
      <x:c r="F17" s="11" t="str">
        <x:v>提供两分类+三级混合菜单样例；按RV02分开处理手动展开与跨分类选中，按4.5验证三级导航。</x:v>
      </x:c>
      <x:c r="G17" s="11" t="str">
        <x:v>开发/UI</x:v>
      </x:c>
      <x:c r="H17" s="11" t="str">
        <x:v>RV02设计完毕/规范4.5</x:v>
      </x:c>
      <x:c r="I17" s="11" t="str">
        <x:v>src/layout/components/AppSider.vue:13,22；menu.ts</x:v>
      </x:c>
      <x:c r="J17" s="11" t="str">
        <x:v>T27</x:v>
      </x:c>
      <x:c r="K17" s="11" t="str">
        <x:v>展开/收起不导航；三级路径可达；跨分类切换选中及展开符合裁决。</x:v>
      </x:c>
      <x:c r="L17" s="13" t="str">
        <x:v>待安排</x:v>
      </x:c>
      <x:c r="M17" s="13" t="str"/>
      <x:c r="N17" s="13" t="str">
        <x:v>未复测</x:v>
      </x:c>
    </x:row>
    <x:row r="18" ht="41.25" customHeight="1">
      <x:c r="A18" s="12" t="str">
        <x:v>F10</x:v>
      </x:c>
      <x:c r="B18" s="12" t="str">
        <x:v>P1</x:v>
      </x:c>
      <x:c r="C18" s="12" t="str">
        <x:v>样例覆盖缺口</x:v>
      </x:c>
      <x:c r="D18" s="12" t="str">
        <x:v>新规范Tabs缺少专项示例</x:v>
      </x:c>
      <x:c r="E18" s="12" t="str">
        <x:v>组件目录17类未提供5.17 Tabs专节。
证据：E22-components</x:v>
      </x:c>
      <x:c r="F18" s="12" t="str">
        <x:v>补页头48px/列表40px、单选、数量999+、换行、ARIA、方向键、Home/End、加载态可交互样例。</x:v>
      </x:c>
      <x:c r="G18" s="12" t="str">
        <x:v>UI/开发</x:v>
      </x:c>
      <x:c r="H18" s="12" t="str">
        <x:v>规范5.17/RV01设计完毕</x:v>
      </x:c>
      <x:c r="I18" s="12" t="str">
        <x:v>src/views/components/ComponentsShowcase.vue及sections目录</x:v>
      </x:c>
      <x:c r="J18" s="12" t="str">
        <x:v>T26</x:v>
      </x:c>
      <x:c r="K18" s="12" t="str">
        <x:v>示例证明可复用后再用于基础配置；不用按钮组假装Tabs。</x:v>
      </x:c>
      <x:c r="L18" s="13" t="str">
        <x:v>待安排</x:v>
      </x:c>
      <x:c r="M18" s="13" t="str"/>
      <x:c r="N18" s="13" t="str">
        <x:v>未复测</x:v>
      </x:c>
    </x:row>
    <x:row r="19" ht="41.25" customHeight="1">
      <x:c r="A19" s="11" t="str">
        <x:v>D01</x:v>
      </x:c>
      <x:c r="B19" s="11" t="str">
        <x:v>P1</x:v>
      </x:c>
      <x:c r="C19" s="11" t="str">
        <x:v>规范待裁决</x:v>
      </x:c>
      <x:c r="D19" s="11" t="str">
        <x:v>服务单元详情Page与Drawer冲突</x:v>
      </x:c>
      <x:c r="E19" s="11" t="str">
        <x:v>RV07要求新页面，RV22要求右Drawer，后者待确认。
证据：飞书Review记录</x:v>
      </x:c>
      <x:c r="F19" s="11" t="str">
        <x:v>产品/UI按主任务区分完整详情和列表临时查看；书面确认各入口承载，回写基线。</x:v>
      </x:c>
      <x:c r="G19" s="11" t="str">
        <x:v>产品/UI</x:v>
      </x:c>
      <x:c r="H19" s="11" t="str">
        <x:v>RV07/RV22；规范内容承载决策</x:v>
      </x:c>
      <x:c r="I19" s="11" t="str">
        <x:v>业务设计基线</x:v>
      </x:c>
      <x:c r="J19" s="11" t="str">
        <x:v>W2-04-1/W2-04-2</x:v>
      </x:c>
      <x:c r="K19" s="11" t="str">
        <x:v>明确一套可执行验收口径后再实施，未裁决不报实现失败。</x:v>
      </x:c>
      <x:c r="L19" s="13" t="str">
        <x:v>待安排</x:v>
      </x:c>
      <x:c r="M19" s="13" t="str"/>
      <x:c r="N19" s="13" t="str">
        <x:v>未复测</x:v>
      </x:c>
    </x:row>
    <x:row r="20" ht="41.25" customHeight="1">
      <x:c r="A20" s="12" t="str">
        <x:v>D02</x:v>
      </x:c>
      <x:c r="B20" s="12" t="str">
        <x:v>P1</x:v>
      </x:c>
      <x:c r="C20" s="12" t="str">
        <x:v>规范待裁决</x:v>
      </x:c>
      <x:c r="D20" s="12" t="str">
        <x:v>行内编辑规范仍修改中</x:v>
      </x:c>
      <x:c r="E20" s="12" t="str">
        <x:v>RV03没有完整规则，状态为修改中。
证据：飞书Review记录</x:v>
      </x:c>
      <x:c r="F20" s="12" t="str">
        <x:v>补单元格进入/确认/取消、键盘、loading、错误、冲突、离开和多行状态规范。</x:v>
      </x:c>
      <x:c r="G20" s="12" t="str">
        <x:v>UI/产品</x:v>
      </x:c>
      <x:c r="H20" s="12" t="str">
        <x:v>RV03 review-294de09d51</x:v>
      </x:c>
      <x:c r="I20" s="12" t="str">
        <x:v>规范/业务交互稿</x:v>
      </x:c>
      <x:c r="J20" s="12" t="str">
        <x:v>W2-15-1/W2-15-2</x:v>
      </x:c>
      <x:c r="K20" s="12" t="str">
        <x:v>规范批准并提供交互样例，不能以Zone编辑代替价卡明细行内编辑。</x:v>
      </x:c>
      <x:c r="L20" s="13" t="str">
        <x:v>待安排</x:v>
      </x:c>
      <x:c r="M20" s="13" t="str"/>
      <x:c r="N20" s="13" t="str">
        <x:v>未复测</x:v>
      </x:c>
    </x:row>
    <x:row r="21" ht="41.25" customHeight="1">
      <x:c r="A21" s="11" t="str">
        <x:v>D03</x:v>
      </x:c>
      <x:c r="B21" s="11" t="str">
        <x:v>P1</x:v>
      </x:c>
      <x:c r="C21" s="11" t="str">
        <x:v>需求待确认</x:v>
      </x:c>
      <x:c r="D21" s="11" t="str">
        <x:v>原型项与无入口项不能直接升级为需求</x:v>
      </x:c>
      <x:c r="E21" s="11" t="str">
        <x:v>W2多项仅原型或入口待补；阶段共识要求PRD评审。
证据：排期原行</x:v>
      </x:c>
      <x:c r="F21" s="11" t="str">
        <x:v>逐项确认PRD、承载页面、入口、验收状态；未批准保持条件用例。</x:v>
      </x:c>
      <x:c r="G21" s="11" t="str">
        <x:v>产品</x:v>
      </x:c>
      <x:c r="H21" s="11" t="str">
        <x:v>阶段共识5、6、12、15/排期</x:v>
      </x:c>
      <x:c r="I21" s="11" t="str">
        <x:v>本周任务中来源非PRD的记录</x:v>
      </x:c>
      <x:c r="J21" s="11" t="str">
        <x:v>对应条件用例</x:v>
      </x:c>
      <x:c r="K21" s="11" t="str">
        <x:v>PRD评审+入口可达后转待执行；不擅自扩大本周承诺。</x:v>
      </x:c>
      <x:c r="L21" s="13" t="str">
        <x:v>待安排</x:v>
      </x:c>
      <x:c r="M21" s="13" t="str"/>
      <x:c r="N21" s="13" t="str">
        <x:v>未复测</x:v>
      </x:c>
    </x:row>
  </x:sheetData>
  <x:dataValidations count="2">
    <x:dataValidation type="list" sqref="L9:L21">
      <x:formula1>"待安排,待确认,进行中,待复测,已完成,本期不做"</x:formula1>
    </x:dataValidation>
    <x:dataValidation type="list" sqref="N9:N21">
      <x:formula1>"未复测,通过,不通过,受阻,不适用"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383b88f1984fa6"/>
  </x:tableParts>
</x:worksheet>
</file>

<file path=xl/worksheets/sheet5.xml><?xml version="1.0" encoding="utf-8"?>
<x:worksheet xmlns:x="http://schemas.openxmlformats.org/spreadsheetml/2006/main">
  <x:sheetPr>
    <x:tabColor rgb="FF175DB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8.1299991607666" hidden="0" customWidth="1"/>
    <x:col min="2" max="2" width="25.6299991607666" hidden="0" customWidth="1"/>
    <x:col min="3" max="3" width="81.87999725341797" hidden="0" customWidth="1"/>
    <x:col min="4" max="4" width="38.75" hidden="0" customWidth="1"/>
    <x:col min="5" max="5" width="11.25" hidden="0" customWidth="1"/>
  </x:cols>
  <x:sheetData>
    <x:row r="1" ht="21" customHeight="1">
      <x:c r="A1" s="3"/>
      <x:c r="B1" s="3"/>
      <x:c r="C1" s="3"/>
      <x:c r="D1" s="3"/>
      <x:c r="E1" s="3"/>
    </x:row>
    <x:row r="2" ht="27" customHeight="1">
      <x:c r="A2" s="5" t="str">
        <x:v>通用规范检查基线</x:v>
      </x:c>
      <x:c r="B2" s="4"/>
      <x:c r="C2" s="4"/>
      <x:c r="D2" s="4"/>
      <x:c r="E2" s="4"/>
    </x:row>
    <x:row r="3" ht="21" customHeight="1">
      <x:c r="A3" s="6" t="str">
        <x:v>通用设计规范V1.2：revision 5256｜24张内嵌表已读取；本页列出与本次工作直接相关的16组标准</x:v>
      </x:c>
      <x:c r="B3" s="4"/>
      <x:c r="C3" s="4"/>
      <x:c r="D3" s="4"/>
      <x:c r="E3" s="4"/>
    </x:row>
    <x:row r="4" ht="21" customHeight="1">
      <x:c r="A4" s="4" t="str">
        <x:v>明确标准优先；Review待确认项、规范冲突和个人可用性建议均独立标注。</x:v>
      </x:c>
      <x:c r="B4" s="4"/>
      <x:c r="C4" s="4"/>
      <x:c r="D4" s="4"/>
      <x:c r="E4" s="4"/>
    </x:row>
    <x:row r="5" ht="21" customHeight="1">
      <x:c r="A5" s="4" t="str">
        <x:v>规范入口：https://example.invalid/source/05cc32fecc</x:v>
      </x:c>
      <x:c r="B5" s="4"/>
      <x:c r="C5" s="4"/>
      <x:c r="D5" s="4"/>
      <x:c r="E5" s="4"/>
    </x:row>
    <x:row r="6" ht="21" customHeight="1">
      <x:c r="A6" s="3"/>
      <x:c r="B6" s="3"/>
      <x:c r="C6" s="3"/>
      <x:c r="D6" s="3"/>
      <x:c r="E6" s="3"/>
    </x:row>
    <x:row r="7" ht="21" customHeight="1">
      <x:c r="A7" s="3"/>
      <x:c r="B7" s="3"/>
      <x:c r="C7" s="3"/>
      <x:c r="D7" s="3"/>
      <x:c r="E7" s="3"/>
    </x:row>
    <x:row r="8" ht="31.5" customHeight="1">
      <x:c r="A8" s="10" t="str">
        <x:v>章节</x:v>
      </x:c>
      <x:c r="B8" s="10" t="str">
        <x:v>维度</x:v>
      </x:c>
      <x:c r="C8" s="10" t="str">
        <x:v>基线值或规则</x:v>
      </x:c>
      <x:c r="D8" s="10" t="str">
        <x:v>关联检查/用例</x:v>
      </x:c>
      <x:c r="E8" s="10" t="str">
        <x:v>修改ID</x:v>
      </x:c>
    </x:row>
    <x:row r="9" ht="41.25" customHeight="1">
      <x:c r="A9" s="11" t="str">
        <x:v>3.2/4.2</x:v>
      </x:c>
      <x:c r="B9" s="11" t="str">
        <x:v>H1与页头</x:v>
      </x:c>
      <x:c r="C9" s="11" t="str">
        <x:v>20px/500；标准94px/完整120px/简洁68px</x:v>
      </x:c>
      <x:c r="D9" s="11" t="str">
        <x:v>T01/T02</x:v>
      </x:c>
      <x:c r="E9" s="11" t="str">
        <x:v>F02</x:v>
      </x:c>
    </x:row>
    <x:row r="10" ht="41.25" customHeight="1">
      <x:c r="A10" s="12" t="str">
        <x:v>3.3/3.4</x:v>
      </x:c>
      <x:c r="B10" s="12" t="str">
        <x:v>间距与圆角</x:v>
      </x:c>
      <x:c r="C10" s="12" t="str">
        <x:v>4px基准；字段间距24px；控件8px/卡片12px/浮层16px</x:v>
      </x:c>
      <x:c r="D10" s="12" t="str">
        <x:v>T01/T22</x:v>
      </x:c>
      <x:c r="E10" s="12" t="str"/>
    </x:row>
    <x:row r="11" ht="41.25" customHeight="1">
      <x:c r="A11" s="11" t="str">
        <x:v>5.8</x:v>
      </x:c>
      <x:c r="B11" s="11" t="str">
        <x:v>表格行高与色</x:v>
      </x:c>
      <x:c r="C11" s="11" t="str">
        <x:v>48px；表头#F7F7F7/500；选中#D1E4FB</x:v>
      </x:c>
      <x:c r="D11" s="11" t="str">
        <x:v>T05/T09</x:v>
      </x:c>
      <x:c r="E11" s="11" t="str"/>
    </x:row>
    <x:row r="12" ht="41.25" customHeight="1">
      <x:c r="A12" s="12" t="str">
        <x:v>5.8</x:v>
      </x:c>
      <x:c r="B12" s="12" t="str">
        <x:v>列对齐与操作</x:v>
      </x:c>
      <x:c r="C12" s="12" t="str">
        <x:v>文本/时间/操作左对齐；数字右对齐；操作间距16px</x:v>
      </x:c>
      <x:c r="D12" s="12" t="str">
        <x:v>T03/T05</x:v>
      </x:c>
      <x:c r="E12" s="12" t="str">
        <x:v>F01</x:v>
      </x:c>
    </x:row>
    <x:row r="13" ht="41.25" customHeight="1">
      <x:c r="A13" s="11" t="str">
        <x:v>3.1/13</x:v>
      </x:c>
      <x:c r="B13" s="11" t="str">
        <x:v>正文色</x:v>
      </x:c>
      <x:c r="C13" s="11" t="str">
        <x:v>color-text-body #4B5564；语义色/链接另行处理</x:v>
      </x:c>
      <x:c r="D13" s="11" t="str">
        <x:v>T04</x:v>
      </x:c>
      <x:c r="E13" s="11" t="str">
        <x:v>F03</x:v>
      </x:c>
    </x:row>
    <x:row r="14" ht="41.25" customHeight="1">
      <x:c r="A14" s="12" t="str">
        <x:v>5.7</x:v>
      </x:c>
      <x:c r="B14" s="12" t="str">
        <x:v>表单</x:v>
      </x:c>
      <x:c r="C14" s="12" t="str">
        <x:v>字段名14px/#4B5564、距控件8px；控件32px；错误12px/#E24B4A</x:v>
      </x:c>
      <x:c r="D14" s="12" t="str">
        <x:v>T12/T22</x:v>
      </x:c>
      <x:c r="E14" s="12" t="str"/>
    </x:row>
    <x:row r="15" ht="41.25" customHeight="1">
      <x:c r="A15" s="11" t="str">
        <x:v>6.4</x:v>
      </x:c>
      <x:c r="B15" s="11" t="str">
        <x:v>表单页</x:v>
      </x:c>
      <x:c r="C15" s="11" t="str">
        <x:v>max720px居中；底部固定操作区</x:v>
      </x:c>
      <x:c r="D15" s="11" t="str">
        <x:v>T22</x:v>
      </x:c>
      <x:c r="E15" s="11" t="str"/>
    </x:row>
    <x:row r="16" ht="41.25" customHeight="1">
      <x:c r="A16" s="12" t="str">
        <x:v>5.11</x:v>
      </x:c>
      <x:c r="B16" s="12" t="str">
        <x:v>业务抽屉</x:v>
      </x:c>
      <x:c r="C16" s="12" t="str">
        <x:v>480/640px；右侧；内边距24px；标题16px/500；内容独立滚动</x:v>
      </x:c>
      <x:c r="D16" s="12" t="str">
        <x:v>T11</x:v>
      </x:c>
      <x:c r="E16" s="12" t="str"/>
    </x:row>
    <x:row r="17" ht="41.25" customHeight="1">
      <x:c r="A17" s="11" t="str">
        <x:v>5.10</x:v>
      </x:c>
      <x:c r="B17" s="11" t="str">
        <x:v>弹窗</x:v>
      </x:c>
      <x:c r="C17" s="11" t="str">
        <x:v>480/640px；16px圆角；最大80vh；标题/操作固定</x:v>
      </x:c>
      <x:c r="D17" s="11" t="str">
        <x:v>T10/T18</x:v>
      </x:c>
      <x:c r="E17" s="11" t="str"/>
    </x:row>
    <x:row r="18" ht="41.25" customHeight="1">
      <x:c r="A18" s="12" t="str">
        <x:v>7.1</x:v>
      </x:c>
      <x:c r="B18" s="12" t="str">
        <x:v>加载</x:v>
      </x:c>
      <x:c r="C18" s="12" t="str">
        <x:v>初始Skeleton；局部Spin；按钮loading禁用；长任务Progress</x:v>
      </x:c>
      <x:c r="D18" s="12" t="str">
        <x:v>T28</x:v>
      </x:c>
      <x:c r="E18" s="12" t="str"/>
    </x:row>
    <x:row r="19" ht="41.25" customHeight="1">
      <x:c r="A19" s="11" t="str">
        <x:v>7.2</x:v>
      </x:c>
      <x:c r="B19" s="11" t="str">
        <x:v>空态</x:v>
      </x:c>
      <x:c r="C19" s="11" t="str">
        <x:v>首次无数据/筛选无结果/无权限分开，按场景提供引导</x:v>
      </x:c>
      <x:c r="D19" s="11" t="str">
        <x:v>T06/T24</x:v>
      </x:c>
      <x:c r="E19" s="11" t="str"/>
    </x:row>
    <x:row r="20" ht="41.25" customHeight="1">
      <x:c r="A20" s="12" t="str">
        <x:v>7.3</x:v>
      </x:c>
      <x:c r="B20" s="12" t="str">
        <x:v>异常反馈</x:v>
      </x:c>
      <x:c r="C20" s="12" t="str">
        <x:v>字段下校验；接口错误提示；不可逆操作先确认</x:v>
      </x:c>
      <x:c r="D20" s="12" t="str">
        <x:v>T10/T12/T25/T28</x:v>
      </x:c>
      <x:c r="E20" s="12" t="str"/>
    </x:row>
    <x:row r="21" ht="41.25" customHeight="1">
      <x:c r="A21" s="11" t="str">
        <x:v>9.4</x:v>
      </x:c>
      <x:c r="B21" s="11" t="str">
        <x:v>长文本</x:v>
      </x:c>
      <x:c r="C21" s="11" t="str">
        <x:v>表格单行省略+全文Tooltip；详情最多3行展开；备注2行折叠</x:v>
      </x:c>
      <x:c r="D21" s="11" t="str">
        <x:v>T30</x:v>
      </x:c>
      <x:c r="E21" s="11" t="str"/>
    </x:row>
    <x:row r="22" ht="41.25" customHeight="1">
      <x:c r="A22" s="12" t="str">
        <x:v>4.5</x:v>
      </x:c>
      <x:c r="B22" s="12" t="str">
        <x:v>响应式</x:v>
      </x:c>
      <x:c r="C22" s="12" t="str">
        <x:v>Desktop≥1280；Tablet768-1279；Mobile&lt;768按项目选择</x:v>
      </x:c>
      <x:c r="D22" s="12" t="str">
        <x:v>T22/T23</x:v>
      </x:c>
      <x:c r="E22" s="12" t="str">
        <x:v>F08</x:v>
      </x:c>
    </x:row>
    <x:row r="23" ht="41.25" customHeight="1">
      <x:c r="A23" s="11" t="str">
        <x:v>5.17</x:v>
      </x:c>
      <x:c r="B23" s="11" t="str">
        <x:v>Tabs</x:v>
      </x:c>
      <x:c r="C23" s="11" t="str">
        <x:v>页头48px/列表40px；2px底条；ARIA；左右/Home/End；换行不横滚</x:v>
      </x:c>
      <x:c r="D23" s="11" t="str">
        <x:v>T26/W2-22-1/W2-56-2</x:v>
      </x:c>
      <x:c r="E23" s="11" t="str">
        <x:v>F10</x:v>
      </x:c>
    </x:row>
    <x:row r="24" ht="41.25" customHeight="1">
      <x:c r="A24" s="12" t="str">
        <x:v>4.5/RV02</x:v>
      </x:c>
      <x:c r="B24" s="12" t="str">
        <x:v>导航</x:v>
      </x:c>
      <x:c r="C24" s="12" t="str">
        <x:v>三级/混合层级；手动展开与跨分类选中分开处理</x:v>
      </x:c>
      <x:c r="D24" s="12" t="str">
        <x:v>T27</x:v>
      </x:c>
      <x:c r="E24" s="12" t="str">
        <x:v>F09</x:v>
      </x:c>
    </x:row>
  </x:sheetData>
  <x:pageMargins left="0.7" right="0.7" top="0.75" bottom="0.75" header="0.3" footer="0.3"/>
  <x:tableParts count="1">
    <x:tablePart xmlns:r="http://schemas.openxmlformats.org/officeDocument/2006/relationships" r:id="R0a03f1de9b5243d8"/>
  </x:tableParts>
</x:worksheet>
</file>

<file path=xl/worksheets/sheet6.xml><?xml version="1.0" encoding="utf-8"?>
<x:worksheet xmlns:x="http://schemas.openxmlformats.org/spreadsheetml/2006/main">
  <x:sheetPr>
    <x:tabColor rgb="FF175DB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2.5" hidden="0" customWidth="1"/>
    <x:col min="3" max="3" width="17.5" hidden="0" customWidth="1"/>
    <x:col min="4" max="4" width="10.630000114440918" hidden="0" customWidth="1"/>
    <x:col min="5" max="5" width="14.380000114440918" hidden="0" customWidth="1"/>
    <x:col min="6" max="6" width="22.5" hidden="0" customWidth="1"/>
    <x:col min="7" max="7" width="46.25" hidden="0" customWidth="1"/>
    <x:col min="8" max="8" width="75" hidden="0" customWidth="1"/>
    <x:col min="9" max="9" width="40" hidden="0" customWidth="1"/>
    <x:col min="10" max="10" width="16.25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5" t="str">
        <x:v>UI Review 原始记录与来源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1" customHeight="1">
      <x:c r="A3" s="6" t="str">
        <x:v>读取日期2026-10-13；按稳定record_id追踪。颜色为框架复用分类，确认状态是设计状态，不是实现/验收状态。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1" customHeight="1">
      <x:c r="A4" s="4" t="str">
        <x:v>排期rev988：https://example.invalid/source/7cdefbaffe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1" customHeight="1">
      <x:c r="A5" s="4" t="str">
        <x:v>Review rev680（24条含1空白占位）：https://example.invalid/source/e04459bb0b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 ht="21" customHeight="1">
      <x:c r="A6" s="4" t="str">
        <x:v>关联聊天：探索 pcs-front 前端界面；基线66a11b60，本地既有适配未提交；本次未修改源码或写回飞书。</x:v>
      </x:c>
      <x:c r="B6" s="4"/>
      <x:c r="C6" s="4"/>
      <x:c r="D6" s="4"/>
      <x:c r="E6" s="4"/>
      <x:c r="F6" s="4"/>
      <x:c r="G6" s="4"/>
      <x:c r="H6" s="4"/>
      <x:c r="I6" s="4"/>
      <x:c r="J6" s="4"/>
    </x:row>
    <x:row r="7" ht="21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31.5" customHeight="1">
      <x:c r="A8" s="10" t="str">
        <x:v>引用ID</x:v>
      </x:c>
      <x:c r="B8" s="10" t="str">
        <x:v>record_id</x:v>
      </x:c>
      <x:c r="C8" s="10" t="str">
        <x:v>页面/模块</x:v>
      </x:c>
      <x:c r="D8" s="10" t="str">
        <x:v>原始优先级</x:v>
      </x:c>
      <x:c r="E8" s="10" t="str">
        <x:v>原始确认状态</x:v>
      </x:c>
      <x:c r="F8" s="10" t="str">
        <x:v>框架适配判断</x:v>
      </x:c>
      <x:c r="G8" s="10" t="str">
        <x:v>当前原型问题</x:v>
      </x:c>
      <x:c r="H8" s="10" t="str">
        <x:v>Review建议</x:v>
      </x:c>
      <x:c r="I8" s="10" t="str">
        <x:v>后续处理建议</x:v>
      </x:c>
      <x:c r="J8" s="10" t="str">
        <x:v>处理角色</x:v>
      </x:c>
    </x:row>
    <x:row r="9" ht="51.75" customHeight="1">
      <x:c r="A9" s="11" t="str">
        <x:v>RV01</x:v>
      </x:c>
      <x:c r="B9" s="11" t="str">
        <x:v>review-67fb39add5</x:v>
      </x:c>
      <x:c r="C9" s="11" t="str">
        <x:v>基础配置</x:v>
      </x:c>
      <x:c r="D9" s="11" t="str">
        <x:v>P0</x:v>
      </x:c>
      <x:c r="E9" s="11" t="str">
        <x:v>设计完毕</x:v>
      </x:c>
      <x:c r="F9" s="11" t="str">
        <x:v>🔴 无法覆盖</x:v>
      </x:c>
      <x:c r="G9" s="11" t="str">
        <x:v>当前“基础配置”页面同时承载“主数据 / 计价底座”两类内容及其下属选项，信息层级较多，现有框架难以清晰承载该场景。</x:v>
      </x:c>
      <x:c r="H9" s="11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I9" s="11" t="str">
        <x:v>UI 产出专项设计稿与规范</x:v>
      </x:c>
      <x:c r="J9" s="11" t="str">
        <x:v>UI</x:v>
      </x:c>
    </x:row>
    <x:row r="10" ht="77.25" customHeight="1">
      <x:c r="A10" s="12" t="str">
        <x:v>RV02</x:v>
      </x:c>
      <x:c r="B10" s="12" t="str">
        <x:v>review-4122ab1853</x:v>
      </x:c>
      <x:c r="C10" s="12" t="str">
        <x:v>左侧菜单</x:v>
      </x:c>
      <x:c r="D10" s="12" t="str">
        <x:v>P1</x:v>
      </x:c>
      <x:c r="E10" s="12" t="str">
        <x:v>设计完毕</x:v>
      </x:c>
      <x:c r="F10" s="12" t="str">
        <x:v>🔴 无法覆盖</x:v>
      </x:c>
      <x:c r="G10" s="12" t="str">
        <x:v>原方案将二级分类调整为不可点击的分组标题，但实际呈现中分类层级区分不够明显，且不利于多层级菜单的导航管理。</x:v>
      </x:c>
      <x:c r="H10" s="12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I10" s="12" t="str">
        <x:v>UI 根据现有框架调整产出专项设计稿</x:v>
      </x:c>
      <x:c r="J10" s="12" t="str">
        <x:v>UI</x:v>
      </x:c>
    </x:row>
    <x:row r="11" ht="41.25" customHeight="1">
      <x:c r="A11" s="11" t="str">
        <x:v>RV03</x:v>
      </x:c>
      <x:c r="B11" s="11" t="str">
        <x:v>review-294de09d51</x:v>
      </x:c>
      <x:c r="C11" s="11" t="str">
        <x:v>全局</x:v>
      </x:c>
      <x:c r="D11" s="11" t="str">
        <x:v>P1</x:v>
      </x:c>
      <x:c r="E11" s="11" t="str">
        <x:v>修改中</x:v>
      </x:c>
      <x:c r="F11" s="11" t="str">
        <x:v>🔴 无法覆盖</x:v>
      </x:c>
      <x:c r="G11" s="11" t="str"/>
      <x:c r="H11" s="11" t="str"/>
      <x:c r="I11" s="11" t="str">
        <x:v>UI 产出行内编辑组件规范</x:v>
      </x:c>
      <x:c r="J11" s="11" t="str">
        <x:v>UI</x:v>
      </x:c>
    </x:row>
    <x:row r="12" ht="51.75" customHeight="1">
      <x:c r="A12" s="12" t="str">
        <x:v>RV04</x:v>
      </x:c>
      <x:c r="B12" s="12" t="str">
        <x:v>review-5cb0b5dcb6</x:v>
      </x:c>
      <x:c r="C12" s="12" t="str">
        <x:v>全局</x:v>
      </x:c>
      <x:c r="D12" s="12" t="str">
        <x:v>P0</x:v>
      </x:c>
      <x:c r="E12" s="12" t="str">
        <x:v>待确认</x:v>
      </x:c>
      <x:c r="F12" s="12" t="str">
        <x:v>⚪业务交互、信息待明确</x:v>
      </x:c>
      <x:c r="G12" s="12" t="str">
        <x:v>AI 原型中存在较多辅助说明、功能解释及过程性文案，部分内容更偏向原型说明，并非最终页面必须展示的信息，容易增加页面阅读负担，干扰核心操作。</x:v>
      </x:c>
      <x:c r="H12" s="12" t="str">
        <x:v>建议产品统一审查页面文案，仅保留与用户操作、业务规则及必要提示相关的内容，其余原型说明性或重复性文字删除。</x:v>
      </x:c>
      <x:c r="I12" s="12" t="str">
        <x:v>产品审核原型多余说明文字并删除</x:v>
      </x:c>
      <x:c r="J12" s="12" t="str">
        <x:v>产品</x:v>
      </x:c>
    </x:row>
    <x:row r="13" ht="64.5" customHeight="1">
      <x:c r="A13" s="11" t="str">
        <x:v>RV05</x:v>
      </x:c>
      <x:c r="B13" s="11" t="str">
        <x:v>review-24220c26b9</x:v>
      </x:c>
      <x:c r="C13" s="11" t="str">
        <x:v>服务单元</x:v>
      </x:c>
      <x:c r="D13" s="11" t="str">
        <x:v>P0</x:v>
      </x:c>
      <x:c r="E13" s="11" t="str">
        <x:v>待确认</x:v>
      </x:c>
      <x:c r="F13" s="11" t="str">
        <x:v>🔵 组合复用</x:v>
      </x:c>
      <x:c r="G13" s="11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H13" s="11" t="str">
        <x:v>建议仅保留列表 Checkbox 作为选中状态反馈，删除顶部已选 Tag 及底部数量汇总，降低信息干扰。</x:v>
      </x:c>
      <x:c r="I13" s="11" t="str">
        <x:v>UI 补充布局设计，开发组合实现，</x:v>
      </x:c>
      <x:c r="J13" s="11" t="str">
        <x:v>UI/开发</x:v>
      </x:c>
    </x:row>
    <x:row r="14" ht="64.5" customHeight="1">
      <x:c r="A14" s="12" t="str">
        <x:v>RV06</x:v>
      </x:c>
      <x:c r="B14" s="12" t="str">
        <x:v>review-de7057751b</x:v>
      </x:c>
      <x:c r="C14" s="12" t="str">
        <x:v>服务单元</x:v>
      </x:c>
      <x:c r="D14" s="12" t="str">
        <x:v>P1</x:v>
      </x:c>
      <x:c r="E14" s="12" t="str">
        <x:v>修改中</x:v>
      </x:c>
      <x:c r="F14" s="12" t="str">
        <x:v>🔵 组合复用</x:v>
      </x:c>
      <x:c r="G14" s="12" t="str">
        <x:v>当前新建服务单元：信息量较大，包含多组基础信息、关联关系及规则配置，使用弹窗承载后纵向内容较长，内部滚动明显，且弹窗空间限制较大，不利于后续字段扩展及连续查看。</x:v>
      </x:c>
      <x:c r="H14" s="12" t="str">
        <x:v>替换为新页面承载</x:v>
      </x:c>
      <x:c r="I14" s="12" t="str">
        <x:v>UI 补充布局设计，开发组合实现，整体框架使用新建表单页模板</x:v>
      </x:c>
      <x:c r="J14" s="12" t="str">
        <x:v>开发</x:v>
      </x:c>
    </x:row>
    <x:row r="15" ht="64.5" customHeight="1">
      <x:c r="A15" s="11" t="str">
        <x:v>RV07</x:v>
      </x:c>
      <x:c r="B15" s="11" t="str">
        <x:v>review-331da30eb4</x:v>
      </x:c>
      <x:c r="C15" s="11" t="str">
        <x:v>服务单元</x:v>
      </x:c>
      <x:c r="D15" s="11" t="str">
        <x:v>P1</x:v>
      </x:c>
      <x:c r="E15" s="11" t="str">
        <x:v>未填</x:v>
      </x:c>
      <x:c r="F15" s="11" t="str">
        <x:v>🔵 组合复用</x:v>
      </x:c>
      <x:c r="G15" s="11" t="str">
        <x:v>当前服务单元详情：信息量较大，包含多组基础信息、关联关系及规则配置，使用弹窗承载后纵向内容较长，内部滚动明显，且弹窗空间限制较大，不利于后续字段扩展及连续查看。</x:v>
      </x:c>
      <x:c r="H15" s="11" t="str">
        <x:v>替换为新页面承载</x:v>
      </x:c>
      <x:c r="I15" s="11" t="str"/>
      <x:c r="J15" s="11" t="str"/>
    </x:row>
    <x:row r="16" ht="51.75" customHeight="1">
      <x:c r="A16" s="12" t="str">
        <x:v>RV08</x:v>
      </x:c>
      <x:c r="B16" s="12" t="str">
        <x:v>review-2a5a56bb27</x:v>
      </x:c>
      <x:c r="C16" s="12" t="str">
        <x:v>服务单元</x:v>
      </x:c>
      <x:c r="D16" s="12" t="str">
        <x:v>P1</x:v>
      </x:c>
      <x:c r="E16" s="12" t="str">
        <x:v>设计完毕</x:v>
      </x:c>
      <x:c r="F16" s="12" t="str">
        <x:v>🔵 组合复用</x:v>
      </x:c>
      <x:c r="G16" s="12" t="str">
        <x:v>原历史版本列表及版本详情均采用弹窗展示，连续查看时需在不同弹窗间切换，交互连贯性不足；版本详情采用纵向表格展示，信息占用空间较大，阅读效率较低。</x:v>
      </x:c>
      <x:c r="H16" s="12" t="str">
        <x:v>将历史版本列表及版本详情统一调整为抽屉形式，通过抽屉内部视图切换实现版本查看；版本详情改为分组信息布局，并在顶部增加返回入口，优化信息层级及阅读效率。</x:v>
      </x:c>
      <x:c r="I16" s="12" t="str">
        <x:v>UI 补充布局设计，开发组合实现，页面框架使用业务抽屉模板</x:v>
      </x:c>
      <x:c r="J16" s="12" t="str">
        <x:v>UI/产品</x:v>
      </x:c>
    </x:row>
    <x:row r="17" ht="41.25" customHeight="1">
      <x:c r="A17" s="11" t="str">
        <x:v>RV09</x:v>
      </x:c>
      <x:c r="B17" s="11" t="str">
        <x:v>review-c79c73690c</x:v>
      </x:c>
      <x:c r="C17" s="11" t="str">
        <x:v>服务单元</x:v>
      </x:c>
      <x:c r="D17" s="11" t="str">
        <x:v>P1</x:v>
      </x:c>
      <x:c r="E17" s="11" t="str">
        <x:v>待确认</x:v>
      </x:c>
      <x:c r="F17" s="11" t="str">
        <x:v>🟡 调整后复用</x:v>
      </x:c>
      <x:c r="G17" s="11" t="str">
        <x:v>当前确认弹窗使用普通信息提示图标，与“禁用编排”的风险语义不一致</x:v>
      </x:c>
      <x:c r="H17" s="11" t="str">
        <x:v>建议改用 Warning 警告图标</x:v>
      </x:c>
      <x:c r="I17" s="11" t="str">
        <x:v>替换图标与语义色</x:v>
      </x:c>
      <x:c r="J17" s="11" t="str">
        <x:v>UI/产品</x:v>
      </x:c>
    </x:row>
    <x:row r="18" ht="51.75" customHeight="1">
      <x:c r="A18" s="12" t="str">
        <x:v>RV10</x:v>
      </x:c>
      <x:c r="B18" s="12" t="str">
        <x:v>review-e3abcc238c</x:v>
      </x:c>
      <x:c r="C18" s="12" t="str">
        <x:v>左侧菜单</x:v>
      </x:c>
      <x:c r="D18" s="12" t="str">
        <x:v>P2</x:v>
      </x:c>
      <x:c r="E18" s="12" t="str">
        <x:v>待确认</x:v>
      </x:c>
      <x:c r="F18" s="12" t="str">
        <x:v>🟢 直接复用</x:v>
      </x:c>
      <x:c r="G18" s="12" t="str">
        <x:v>缩进、字号字重、选中态尺寸、展开箭头及菜单间距等方面与现有前端通用框架存在较大差异。且一级菜单缺少左侧图标</x:v>
      </x:c>
      <x:c r="H18" s="12" t="str">
        <x:v>复用现有框架</x:v>
      </x:c>
      <x:c r="I18" s="12" t="str">
        <x:v>开发对齐现有框架、规范开发</x:v>
      </x:c>
      <x:c r="J18" s="12" t="str">
        <x:v>开发</x:v>
      </x:c>
    </x:row>
    <x:row r="19" ht="41.25" customHeight="1">
      <x:c r="A19" s="11" t="str">
        <x:v>RV11</x:v>
      </x:c>
      <x:c r="B19" s="11" t="str">
        <x:v>review-a2a817eb2a</x:v>
      </x:c>
      <x:c r="C19" s="11" t="str">
        <x:v>顶部导航</x:v>
      </x:c>
      <x:c r="D19" s="11" t="str">
        <x:v>P2</x:v>
      </x:c>
      <x:c r="E19" s="11" t="str">
        <x:v>待确认</x:v>
      </x:c>
      <x:c r="F19" s="11" t="str">
        <x:v>🟢 直接复用</x:v>
      </x:c>
      <x:c r="G19" s="11" t="str">
        <x:v>与规范、框架不一致，有多余的页面标题，无功能的板块可先暂时隐藏，如搜索、消息等</x:v>
      </x:c>
      <x:c r="H19" s="11" t="str">
        <x:v>复用现有框架</x:v>
      </x:c>
      <x:c r="I19" s="11" t="str">
        <x:v>开发对齐现有框架、规范开发</x:v>
      </x:c>
      <x:c r="J19" s="11" t="str">
        <x:v>开发</x:v>
      </x:c>
    </x:row>
    <x:row r="20" ht="51.75" customHeight="1">
      <x:c r="A20" s="12" t="str">
        <x:v>RV12</x:v>
      </x:c>
      <x:c r="B20" s="12" t="str">
        <x:v>review-716a17fbb6</x:v>
      </x:c>
      <x:c r="C20" s="12" t="str">
        <x:v>所有页头栏</x:v>
      </x:c>
      <x:c r="D20" s="12" t="str">
        <x:v>P1</x:v>
      </x:c>
      <x:c r="E20" s="12" t="str">
        <x:v>待确认</x:v>
      </x:c>
      <x:c r="F20" s="12" t="str">
        <x:v>🟢 直接复用</x:v>
      </x:c>
      <x:c r="G20" s="12" t="str">
        <x:v>当前将面包屑导航放置于顶部导航，与现有通用框架页面结构不一致，同时与页面标题存在重复表达。
操作按钮对齐方式与框架不一致</x:v>
      </x:c>
      <x:c r="H20" s="12" t="str">
        <x:v>1、复用现有框架，
2、着重考虑副标题的存在必要性，如无完全必要可考虑删除，带副标题的页头可见规范规定
3、说明文字最好不要出现「」</x:v>
      </x:c>
      <x:c r="I20" s="12" t="str">
        <x:v>开发对齐现有框架、规范开发</x:v>
      </x:c>
      <x:c r="J20" s="12" t="str">
        <x:v>产品/开发</x:v>
      </x:c>
    </x:row>
    <x:row r="21" ht="90" customHeight="1">
      <x:c r="A21" s="11" t="str">
        <x:v>RV13</x:v>
      </x:c>
      <x:c r="B21" s="11" t="str">
        <x:v>review-96579d37d7</x:v>
      </x:c>
      <x:c r="C21" s="11" t="str">
        <x:v>所有查询区</x:v>
      </x:c>
      <x:c r="D21" s="11" t="str">
        <x:v>P2</x:v>
      </x:c>
      <x:c r="E21" s="11" t="str">
        <x:v>待确认</x:v>
      </x:c>
      <x:c r="F21" s="11" t="str">
        <x:v>🟢 直接复用</x:v>
      </x:c>
      <x:c r="G21" s="11" t="str">
        <x:v>当前筛选区控件尺寸、排列、操作按钮样式、下拉样式与通用框架存在差异。</x:v>
      </x:c>
      <x:c r="H21" s="11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I21" s="11" t="str">
        <x:v>开发对齐现有框架、规范开发</x:v>
      </x:c>
      <x:c r="J21" s="11" t="str">
        <x:v>开发</x:v>
      </x:c>
    </x:row>
    <x:row r="22" ht="51.75" customHeight="1">
      <x:c r="A22" s="12" t="str">
        <x:v>RV14</x:v>
      </x:c>
      <x:c r="B22" s="12" t="str">
        <x:v>review-92624f2e97</x:v>
      </x:c>
      <x:c r="C22" s="12" t="str">
        <x:v>所有列表区</x:v>
      </x:c>
      <x:c r="D22" s="12" t="str">
        <x:v>P2</x:v>
      </x:c>
      <x:c r="E22" s="12" t="str">
        <x:v>待确认</x:v>
      </x:c>
      <x:c r="F22" s="12" t="str">
        <x:v>🟢 直接复用</x:v>
      </x:c>
      <x:c r="G22" s="12" t="str">
        <x:v>当前原型 Table 在容器间距、表头/行高、行背景、列宽、固定列及操作区等方面与前端通用框架存在较大差异。</x:v>
      </x:c>
      <x:c r="H22" s="12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I22" s="12" t="str">
        <x:v>开发对齐现有框架、规范开发</x:v>
      </x:c>
      <x:c r="J22" s="12" t="str">
        <x:v>开发</x:v>
      </x:c>
    </x:row>
    <x:row r="23" ht="41.25" customHeight="1">
      <x:c r="A23" s="11" t="str">
        <x:v>RV15</x:v>
      </x:c>
      <x:c r="B23" s="11" t="str">
        <x:v>review-08ef6a1468</x:v>
      </x:c>
      <x:c r="C23" s="11" t="str">
        <x:v>所有列表区</x:v>
      </x:c>
      <x:c r="D23" s="11" t="str">
        <x:v>P1</x:v>
      </x:c>
      <x:c r="E23" s="11" t="str">
        <x:v>待确认</x:v>
      </x:c>
      <x:c r="F23" s="11" t="str">
        <x:v>🟢 直接复用</x:v>
      </x:c>
      <x:c r="G23" s="11" t="str">
        <x:v>当前原型分页组件在布局、页码样式、每页条数选择及总数信息展示方式上与前端通用框架不一致。</x:v>
      </x:c>
      <x:c r="H23" s="11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I23" s="11" t="str">
        <x:v>开发对齐现有框架、规范开发</x:v>
      </x:c>
      <x:c r="J23" s="11" t="str">
        <x:v>开发</x:v>
      </x:c>
    </x:row>
    <x:row r="24" ht="64.5" customHeight="1">
      <x:c r="A24" s="12" t="str">
        <x:v>RV16</x:v>
      </x:c>
      <x:c r="B24" s="12" t="str">
        <x:v>review-79dfb7278b</x:v>
      </x:c>
      <x:c r="C24" s="12" t="str">
        <x:v>所有列表区</x:v>
      </x:c>
      <x:c r="D24" s="12" t="str">
        <x:v>P1</x:v>
      </x:c>
      <x:c r="E24" s="12" t="str">
        <x:v>待确认</x:v>
      </x:c>
      <x:c r="F24" s="12" t="str">
        <x:v>🟢 直接复用</x:v>
      </x:c>
      <x:c r="G24" s="12" t="str">
        <x:v>当前原型在表格横向滚动时，左侧关键操作列未明确冻结范围，勾选框等批量操作入口可能随内容滚动移出可视区域，影响连续选择和操作效率。</x:v>
      </x:c>
      <x:c r="H24" s="12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I24" s="12" t="str">
        <x:v>开发对齐现有框架、规范开发</x:v>
      </x:c>
      <x:c r="J24" s="12" t="str">
        <x:v>开发</x:v>
      </x:c>
    </x:row>
    <x:row r="25" ht="51.75" customHeight="1">
      <x:c r="A25" s="11" t="str">
        <x:v>RV17</x:v>
      </x:c>
      <x:c r="B25" s="11" t="str">
        <x:v>review-42f80e1fec</x:v>
      </x:c>
      <x:c r="C25" s="11" t="str">
        <x:v>所有列表区</x:v>
      </x:c>
      <x:c r="D25" s="11" t="str">
        <x:v>P1</x:v>
      </x:c>
      <x:c r="E25" s="11" t="str">
        <x:v>待确认</x:v>
      </x:c>
      <x:c r="F25" s="11" t="str">
        <x:v>🟢 直接复用</x:v>
      </x:c>
      <x:c r="G25" s="11" t="str">
        <x:v>当前原型勾选数据后，批量操作采用页面底部悬浮操作条，与现有通用框架的批量操作方式不一致；悬浮层同时会遮挡部分表格内容</x:v>
      </x:c>
      <x:c r="H25" s="11" t="str">
        <x:v>统一复用通用框架的批量操作栏：勾选数据后，在 Table 顶部展示操作按钮，取消选择后恢复默认状态；选中行同步使用框架统一选中态。不再新增底部悬浮操作条</x:v>
      </x:c>
      <x:c r="I25" s="11" t="str">
        <x:v>开发对齐现有框架、规范开发</x:v>
      </x:c>
      <x:c r="J25" s="11" t="str">
        <x:v>开发</x:v>
      </x:c>
    </x:row>
    <x:row r="26" ht="64.5" customHeight="1">
      <x:c r="A26" s="12" t="str">
        <x:v>RV18</x:v>
      </x:c>
      <x:c r="B26" s="12" t="str">
        <x:v>review-6436a27114</x:v>
      </x:c>
      <x:c r="C26" s="12" t="str">
        <x:v>所有列表区</x:v>
      </x:c>
      <x:c r="D26" s="12" t="str">
        <x:v>P2</x:v>
      </x:c>
      <x:c r="E26" s="12" t="str">
        <x:v>待确认</x:v>
      </x:c>
      <x:c r="F26" s="12" t="str">
        <x:v>🟢 直接复用</x:v>
      </x:c>
      <x:c r="G26" s="12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H26" s="12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I26" s="12" t="str">
        <x:v>开发对齐现有框架、规范开发</x:v>
      </x:c>
      <x:c r="J26" s="12" t="str">
        <x:v>开发</x:v>
      </x:c>
    </x:row>
    <x:row r="27" ht="51.75" customHeight="1">
      <x:c r="A27" s="11" t="str">
        <x:v>RV19</x:v>
      </x:c>
      <x:c r="B27" s="11" t="str">
        <x:v>review-a7e8b941e2</x:v>
      </x:c>
      <x:c r="C27" s="11" t="str">
        <x:v>所有列表区</x:v>
      </x:c>
      <x:c r="D27" s="11" t="str">
        <x:v>P0</x:v>
      </x:c>
      <x:c r="E27" s="11" t="str">
        <x:v>待确认</x:v>
      </x:c>
      <x:c r="F27" s="11" t="str">
        <x:v>🟢 直接复用</x:v>
      </x:c>
      <x:c r="G27" s="11" t="str">
        <x:v>编码使用蓝色链接态但无点击能力，存在错误交互暗示</x:v>
      </x:c>
      <x:c r="H27" s="11" t="str">
        <x:v>建议无跳转能力时改为普通文本；如需作为详情入口，则补充完整点击交互。</x:v>
      </x:c>
      <x:c r="I27" s="11" t="str">
        <x:v>先确认服务单元编码是否需要承担详情入口；不需要则取消蓝色链接态，需要则补充可点击交互。@人员04</x:v>
      </x:c>
      <x:c r="J27" s="11" t="str">
        <x:v>产品</x:v>
      </x:c>
    </x:row>
    <x:row r="28" ht="64.5" customHeight="1">
      <x:c r="A28" s="12" t="str">
        <x:v>RV20</x:v>
      </x:c>
      <x:c r="B28" s="12" t="str">
        <x:v>review-f228825adf</x:v>
      </x:c>
      <x:c r="C28" s="12" t="str">
        <x:v>Ai 建档解析</x:v>
      </x:c>
      <x:c r="D28" s="12" t="str">
        <x:v>P0</x:v>
      </x:c>
      <x:c r="E28" s="12" t="str">
        <x:v>待确认</x:v>
      </x:c>
      <x:c r="F28" s="12" t="str">
        <x:v>🟢 直接复用</x:v>
      </x:c>
      <x:c r="G28" s="12" t="str">
        <x:v>当前原型使用弹窗承载，信息量较大、操作链路较长。</x:v>
      </x:c>
      <x:c r="H28" s="12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I28" s="12" t="str">
        <x:v>产品按照独立表单页框架调整原型</x:v>
      </x:c>
      <x:c r="J28" s="12" t="str">
        <x:v>产品</x:v>
      </x:c>
    </x:row>
    <x:row r="29" ht="41.25" customHeight="1">
      <x:c r="A29" s="11" t="str">
        <x:v>RV21</x:v>
      </x:c>
      <x:c r="B29" s="11" t="str">
        <x:v>review-70bd2614ce</x:v>
      </x:c>
      <x:c r="C29" s="11" t="str">
        <x:v>全局</x:v>
      </x:c>
      <x:c r="D29" s="11" t="str">
        <x:v>P1</x:v>
      </x:c>
      <x:c r="E29" s="11" t="str">
        <x:v>待确认</x:v>
      </x:c>
      <x:c r="F29" s="11" t="str">
        <x:v>🟢 直接复用</x:v>
      </x:c>
      <x:c r="G29" s="11" t="str">
        <x:v>当前页面刷新后会跳转至其他页面，未保持当前路由，导致用户操作上下文中断。</x:v>
      </x:c>
      <x:c r="H29" s="11" t="str">
        <x:v>页面刷新后应保持当前页面及必要状态，不应发生非预期跳转。</x:v>
      </x:c>
      <x:c r="I29" s="11" t="str">
        <x:v>检查当前路由及刷新逻辑，调整为刷新后保持当前页面；如有特殊跳转逻辑需产品确认</x:v>
      </x:c>
      <x:c r="J29" s="11" t="str">
        <x:v>开发</x:v>
      </x:c>
    </x:row>
    <x:row r="30" ht="77.25" customHeight="1">
      <x:c r="A30" s="12" t="str">
        <x:v>RV22</x:v>
      </x:c>
      <x:c r="B30" s="12" t="str">
        <x:v>review-f828afea0f</x:v>
      </x:c>
      <x:c r="C30" s="12" t="str">
        <x:v>服务单元</x:v>
      </x:c>
      <x:c r="D30" s="12" t="str">
        <x:v>P0</x:v>
      </x:c>
      <x:c r="E30" s="12" t="str">
        <x:v>待确认</x:v>
      </x:c>
      <x:c r="F30" s="12" t="str">
        <x:v>🟢 直接复用</x:v>
      </x:c>
      <x:c r="G30" s="12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H30" s="12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I30" s="12" t="str">
        <x:v>按现有详情 Drawer 结构调整</x:v>
      </x:c>
      <x:c r="J30" s="12" t="str">
        <x:v>开发/产品</x:v>
      </x:c>
    </x:row>
    <x:row r="31" ht="41.25" customHeight="1">
      <x:c r="A31" s="11" t="str">
        <x:v>RV23</x:v>
      </x:c>
      <x:c r="B31" s="11" t="str">
        <x:v>review-b8b8e36a2b</x:v>
      </x:c>
      <x:c r="C31" s="11" t="str">
        <x:v>服务单元</x:v>
      </x:c>
      <x:c r="D31" s="11" t="str">
        <x:v>P0</x:v>
      </x:c>
      <x:c r="E31" s="11" t="str">
        <x:v>待确认</x:v>
      </x:c>
      <x:c r="F31" s="11" t="str">
        <x:v>🟢 直接复用</x:v>
      </x:c>
      <x:c r="G31" s="11" t="str">
        <x:v>1、AI文档建档、新建服务单元位置不合适，
2、当前列表卡片内额外设置 服务单元列表 标题</x:v>
      </x:c>
      <x:c r="H31" s="11" t="str">
        <x:v>1、参照通用框架，将两个创建入口统一调整至页头栏右侧。
2、参照通用框架，取消 服务单元列表 标题</x:v>
      </x:c>
      <x:c r="I31" s="11" t="str">
        <x:v>使用通用列表页框架开发</x:v>
      </x:c>
      <x:c r="J31" s="11" t="str">
        <x:v>开发</x:v>
      </x:c>
    </x:row>
    <x:row r="32" ht="41.25" customHeight="1">
      <x:c r="A32" s="12" t="str">
        <x:v>RV24</x:v>
      </x:c>
      <x:c r="B32" s="12" t="str">
        <x:v>review-dfa7090250</x:v>
      </x:c>
      <x:c r="C32" s="12" t="str"/>
      <x:c r="D32" s="12" t="str"/>
      <x:c r="E32" s="12" t="str">
        <x:v>未填</x:v>
      </x:c>
      <x:c r="F32" s="12" t="str">
        <x:v>🟢 直接复用</x:v>
      </x:c>
      <x:c r="G32" s="12" t="str"/>
      <x:c r="H32" s="12" t="str"/>
      <x:c r="I32" s="12" t="str"/>
      <x:c r="J32" s="12" t="str"/>
    </x:row>
  </x:sheetData>
  <x:pageMargins left="0.7" right="0.7" top="0.75" bottom="0.75" header="0.3" footer="0.3"/>
  <x:tableParts count="1">
    <x:tablePart xmlns:r="http://schemas.openxmlformats.org/officeDocument/2006/relationships" r:id="Rd970d05b7d2544c2"/>
  </x:tableParts>
</x:worksheet>
</file>