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/private-local-path"/>
    </mc:Choice>
  </mc:AlternateContent>
  <bookViews>
    <workbookView windowWidth="20745" windowHeight="9675" activeTab="1"/>
  </bookViews>
  <sheets>
    <sheet name="本周执行" sheetId="1" r:id="rId1"/>
    <sheet name="前端用例" sheetId="2" r:id="rId2"/>
    <sheet name="工作包对应" sheetId="3" r:id="rId3"/>
    <sheet name="复核记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<sst xmlns="http://schemas.openxmlformats.org/spreadsheetml/2006/main" count="3454" uniqueCount="1322">
  <si>
    <t>PCS W2 前端用例：飞书与实际页面复核修订</t>
  </si>
  <si>
    <t>前端用例</t>
  </si>
  <si>
    <t>W2工作包</t>
  </si>
  <si>
    <t>待评审/依据</t>
  </si>
  <si>
    <t>有效复核通过</t>
  </si>
  <si>
    <t>原97编号保留：41条实质修订，56条保留；补8条至105。38包映射重核；正式结果与证据输入保持原样。</t>
  </si>
  <si>
    <t>时间/任务</t>
  </si>
  <si>
    <t>本周要做的事</t>
  </si>
  <si>
    <t>10/12 范围/设计准备</t>
  </si>
  <si>
    <t>继续闭环RV01–14；10/12是任务计划，未提供已完成证据。新增RV13文案删留、RV14汇率三方规则裁决。</t>
  </si>
  <si>
    <t>10/13 基础配置与服务管理</t>
  </si>
  <si>
    <t>50/51/56已核对部分入口：优先闭环费用字段映射/审批、汇率规则、字典范围及空态/标签/表格差异；其余服务管理补入口再执行。</t>
  </si>
  <si>
    <t>10/14 价格维护</t>
  </si>
  <si>
    <t>12–29以字段切换、明细行、分区选择/页签及燃油区间为重点；原型缺PRD先评审。</t>
  </si>
  <si>
    <t>10/15 剩余配置/日志</t>
  </si>
  <si>
    <t>52–55/57–58/65逐项补入口和契约；日志测试负责人待认领。</t>
  </si>
  <si>
    <t>10/16 提测复核与周结</t>
  </si>
  <si>
    <t>只对已交付包运行FE/BP；公共用例按同Build/角色/承载复用；分别检查开发自测与提测复核证据，记录遗留与下周提测条件。</t>
  </si>
  <si>
    <t>PCS前端特点与测试重点</t>
  </si>
  <si>
    <t>特点</t>
  </si>
  <si>
    <t>当前证据/边界</t>
  </si>
  <si>
    <t>用例重点</t>
  </si>
  <si>
    <t>本轮PCS入口边界</t>
  </si>
  <si>
    <t>10/13已登录PCS M1全量授权；仅见系统配置/基础配置；费用项、币种/汇率、五字典部分入口已核对</t>
  </si>
  <si>
    <t>3包部分可见，35包当前角色未见入口；未据此推断功能缺失。</t>
  </si>
  <si>
    <t>费用项字段与币种来源</t>
  </si>
  <si>
    <t>P03/P05：分组编码与默认币种文本框；PRD要求费用类型与结算币种来源</t>
  </si>
  <si>
    <t>FE50补字段映射；FE51补类型/币种审批；BP50补引用阻断。</t>
  </si>
  <si>
    <t>汇率三方规则冲突</t>
  </si>
  <si>
    <t>正文4位/普通编辑；待确认段新增版本/乘除；当前8位展示、区间调整且仅结束日/状态可改</t>
  </si>
  <si>
    <t>RV14先裁决；FE52专用校验；BP51不把现状当最终预期。</t>
  </si>
  <si>
    <t>当前表格及可访问性</t>
  </si>
  <si>
    <t>P01/P06/P08/P11–P20：48px；操作居中gap4px；数字left；表单无程序化标签关联</t>
  </si>
  <si>
    <t>FE15/41保留差异观察；Tabs采纳另确认，普通按钮在FE11执行。</t>
  </si>
  <si>
    <t>取消与筛选空态</t>
  </si>
  <si>
    <t>P02筛选无结果仍引导新增；P04费用项取消重开恢复正式名称</t>
  </si>
  <si>
    <t>观察只覆盖当前对象和取消路径；没有正式保存/删除/审批测试通过记录。</t>
  </si>
  <si>
    <t>用例范围与去重</t>
  </si>
  <si>
    <t>FE26/29收窄；FE31–33覆盖最终写入；FE36仅组合历史；五字典不是完整字典包</t>
  </si>
  <si>
    <t>公共16条按Build/角色/物理承载复用；FE/BP为不同层级，不逐包重复公共检查。</t>
  </si>
  <si>
    <t>开发框架参考</t>
  </si>
  <si>
    <t>源码仍引用先前commit66a11b60，断点/骨架/Drawer/AI仅是框架参考证据</t>
  </si>
  <si>
    <t>业务路由、文件、关联数据、权限及持久化在实际交付页分别留证。</t>
  </si>
  <si>
    <t>执行数据与留证</t>
  </si>
  <si>
    <t>样本</t>
  </si>
  <si>
    <t>类型</t>
  </si>
  <si>
    <t>准备内容</t>
  </si>
  <si>
    <t>D01</t>
  </si>
  <si>
    <t>身份与对象</t>
  </si>
  <si>
    <t>角色A/B、已知对象A/B、合法/引用受限对象；记录ID及批准状态</t>
  </si>
  <si>
    <t>D02</t>
  </si>
  <si>
    <t>列表数量</t>
  </si>
  <si>
    <t>0/1/N/N+1/2N+1；N为批准页容量，模板20仅是示例</t>
  </si>
  <si>
    <t>D03</t>
  </si>
  <si>
    <t>字符与数字</t>
  </si>
  <si>
    <t>L-1/L/L+1；中文、粘贴、空格；空、0、合法边界、小数；L/精度取字段PRD</t>
  </si>
  <si>
    <t>D04</t>
  </si>
  <si>
    <t>异步与错误</t>
  </si>
  <si>
    <t>本地合成A800ms/B100ms、超时、403、500；不直接修改真实服务</t>
  </si>
  <si>
    <t>D05</t>
  </si>
  <si>
    <t>文件/版本</t>
  </si>
  <si>
    <t>合成有效文件、一行错误文件；真实可打开导出文件；有2历史版本对象</t>
  </si>
  <si>
    <t>资料来源与版本</t>
  </si>
  <si>
    <t>编号</t>
  </si>
  <si>
    <t>来源</t>
  </si>
  <si>
    <t>版本/读取边界</t>
  </si>
  <si>
    <t>链接或定位</t>
  </si>
  <si>
    <t>S01</t>
  </si>
  <si>
    <t>W2排期</t>
  </si>
  <si>
    <t>10/13 live rev988；0sbkIa A1:Z231；UI/开38项</t>
  </si>
  <si>
    <t>https://example.invalid/source/7cdefbaffe</t>
  </si>
  <si>
    <t>S02</t>
  </si>
  <si>
    <t>产品PRD</t>
  </si>
  <si>
    <t>10/13 live rev8345；正文、删除段及待确认段分别解释</t>
  </si>
  <si>
    <t>https://example.invalid/source/0e963cc756</t>
  </si>
  <si>
    <t>S03</t>
  </si>
  <si>
    <t>UI Review</t>
  </si>
  <si>
    <t>10/13 live rev680；稳定record_id；设计/修改中/待确认不代表采纳或实现</t>
  </si>
  <si>
    <t>https://example.invalid/source/e04459bb0b</t>
  </si>
  <si>
    <t>S04</t>
  </si>
  <si>
    <t>UI规范</t>
  </si>
  <si>
    <t>10/13 live rev5256；数值业务合同优先；视觉采纳另确认</t>
  </si>
  <si>
    <t>https://example.invalid/source/b12a1bc700</t>
  </si>
  <si>
    <t>S05</t>
  </si>
  <si>
    <t>PCS本轮页面</t>
  </si>
  <si>
    <t>10/13已登录；1280×800；P01–P20截图及DOM观察；未提交保存/删除</t>
  </si>
  <si>
    <t>https://localhost/pcs/system-config/master-data?group=fee&amp;resource=fee_item</t>
  </si>
  <si>
    <t>S06</t>
  </si>
  <si>
    <t>原97条工作簿</t>
  </si>
  <si>
    <t>原文件保留；sha256=12b5efa1955d49d60f3a17ecf0b768d4480b8e59f150e7a02a96c346b212a4bf</t>
  </si>
  <si>
    <t>PCS_W2前端测试用例_按任务节奏细化.xlsx；原编号及K:P执行/证据输入保持</t>
  </si>
  <si>
    <t>S07</t>
  </si>
  <si>
    <t>框架源码历史基线</t>
  </si>
  <si>
    <t>先前只读commit66a11b60e756454108a9bd396ed4db74b64f0c61；本轮未将其升格为PCS交付事实</t>
  </si>
  <si>
    <t>pcs-front路由、权限、布局、demo组件；引用聊天仅背景，验收以本轮来源和实际页为准</t>
  </si>
  <si>
    <t>复核后的执行安排与复用规则</t>
  </si>
  <si>
    <t>调整</t>
  </si>
  <si>
    <t>范围/结论</t>
  </si>
  <si>
    <t>落到用例</t>
  </si>
  <si>
    <t>错误映射</t>
  </si>
  <si>
    <t>只读编码、普通字段/数值、历史及日期按真实对象能力收窄</t>
  </si>
  <si>
    <t>FE26–30/34/36/40；BP03/50/51/54/56</t>
  </si>
  <si>
    <t>重复执行</t>
  </si>
  <si>
    <t>公共用例不再逐包重复；同组件实例复用，字段/对象/角色变体另留证</t>
  </si>
  <si>
    <t>RV01/11/12/13；FE01–09/41/46/47；FE与BP不是同一业务通过记录</t>
  </si>
  <si>
    <t>补漏8条</t>
  </si>
  <si>
    <t>原型说明、汇率裁决、下单规则反馈、链接动作、费用来源/审批、汇率唯一校验、直接生效状态</t>
  </si>
  <si>
    <t>RV13/RV14；FE48–53</t>
  </si>
  <si>
    <t>本轮页面边界</t>
  </si>
  <si>
    <t>只有50/51/56部分入口；35包当前角色未见入口；未提交保存/删除/审批</t>
  </si>
  <si>
    <t>页面证据P01–P20见复核记录；K:O不填通过</t>
  </si>
  <si>
    <t>优先处理</t>
  </si>
  <si>
    <t>先定费用字段/审批和汇率规则；修空态/标签/视觉差异；其余包先交付入口/数据</t>
  </si>
  <si>
    <t>10/13评审→10/14价卡→10/15配置→10/16仅已交付包复核</t>
  </si>
  <si>
    <t>公共用例（在相应物理页面/角色/Build各执行一次，变体与变更再执行）</t>
  </si>
  <si>
    <t>设计准出</t>
  </si>
  <si>
    <t>RV01、RV11、RV12、RV13</t>
  </si>
  <si>
    <t>范围/字段及视觉依据/提测证据/文案采用；有专项裁决另按包执行</t>
  </si>
  <si>
    <t>框架/页面公共</t>
  </si>
  <si>
    <t>FE01–FE09、FE41、FE46、FE47</t>
  </si>
  <si>
    <t>导航/权限刷新/响应式/加载/页头/可访问性/授权/组件状态；同承载的不同对象差异仍分实例留证</t>
  </si>
  <si>
    <t>条件能力</t>
  </si>
  <si>
    <t>FE22排序</t>
  </si>
  <si>
    <t>待本期某列表排序列/规则批准后补该包映射；不把列表序号当排序</t>
  </si>
  <si>
    <t>PCS 前端用例：评审、自测与提测复核分别记录</t>
  </si>
  <si>
    <t>14条设计准出＋53条组件交互＋38条工作包专项；页面观察与正式执行结果分别记录，公共用例按实例复用。</t>
  </si>
  <si>
    <t>建议安排</t>
  </si>
  <si>
    <t>模块/组件</t>
  </si>
  <si>
    <t>工作包范围</t>
  </si>
  <si>
    <t>具体场景</t>
  </si>
  <si>
    <t>建议顺序</t>
  </si>
  <si>
    <t>前置与测试数据</t>
  </si>
  <si>
    <t>入口与操作步骤</t>
  </si>
  <si>
    <t>预期可观察结果</t>
  </si>
  <si>
    <t>依据与适用边界</t>
  </si>
  <si>
    <t>评审结论</t>
  </si>
  <si>
    <t>开发自测</t>
  </si>
  <si>
    <t>提测复核</t>
  </si>
  <si>
    <t>开发角色/Build/证据</t>
  </si>
  <si>
    <t>复核角色/Build/证据</t>
  </si>
  <si>
    <t>关联旧用例</t>
  </si>
  <si>
    <t>当前记录提示</t>
  </si>
  <si>
    <t>本轮页面观察/执行条件</t>
  </si>
  <si>
    <t>执行粒度/去重边界</t>
  </si>
  <si>
    <t>RV01</t>
  </si>
  <si>
    <t>10/13，评审未闭环项</t>
  </si>
  <si>
    <t>全部W2</t>
  </si>
  <si>
    <t>本期范围与前端入口</t>
  </si>
  <si>
    <t>优先</t>
  </si>
  <si>
    <t>封板基线、W2排期和模块交付清单</t>
  </si>
  <si>
    <t>1.核对W2的38个UI/开工作包。
2.逐包定位PRD与采纳设计稿、角色和承载位置。
3.原型条目确认本期纳入或排除；不检查提测执行结果。</t>
  </si>
  <si>
    <t>38包范围均可追溯；UI/开表示本周阶段，不能据此认定功能已交付。执行证据由RV12检查。</t>
  </si>
  <si>
    <t>阶段共识2–4、9、12、16–17</t>
  </si>
  <si>
    <t>待评审</t>
  </si>
  <si>
    <t>不适用</t>
  </si>
  <si>
    <t/>
  </si>
  <si>
    <t>当前账号仅系统配置/基础配置；公共检查按物理页面/角色/Build复用，不逐38包重复执行。 原型/正文未定位部分先补范围与合同。</t>
  </si>
  <si>
    <t>本批评审；采纳版本变更再复核</t>
  </si>
  <si>
    <t>RV02</t>
  </si>
  <si>
    <t>3</t>
  </si>
  <si>
    <t>服务单元新建承载方案</t>
  </si>
  <si>
    <t>排期序号3、UI35组合方案</t>
  </si>
  <si>
    <t>1.对照排期弹窗与Review独立页。
2.明确采用稿版本、字段分组和返回路径。</t>
  </si>
  <si>
    <t>只按采纳的一种承载设计执行，旧弹窗描述同步校准。</t>
  </si>
  <si>
    <t>UI35；Review rev680（10/13重读）</t>
  </si>
  <si>
    <t>当前账号未见该业务入口；需本包角色/入口/Build及受控数据。</t>
  </si>
  <si>
    <t>RV03</t>
  </si>
  <si>
    <t>4</t>
  </si>
  <si>
    <t>服务单元详情整页或Drawer</t>
  </si>
  <si>
    <t>UI18及UI50的冲突记录</t>
  </si>
  <si>
    <t>1.拆分当前详情与历史视图。
2.裁决详情整页或Drawer并记录排除项。</t>
  </si>
  <si>
    <t>UI18/UI50互斥执行且附裁决；Zone抽屉不代替服务单元详情。</t>
  </si>
  <si>
    <t>UI18/UI50；Review rev680（10/13重读）</t>
  </si>
  <si>
    <t>RV04</t>
  </si>
  <si>
    <t>4、9</t>
  </si>
  <si>
    <t>历史版本视图适用边界</t>
  </si>
  <si>
    <t>来源服务单元UI51与组合版本PRD</t>
  </si>
  <si>
    <t>1.核对两个模块的版本入口。
2.确认各自采用的历史列表/详情形式。</t>
  </si>
  <si>
    <t>序号9组合历史用自己的批准稿；序号4只有只读详情，服务单元历史是否纳入W2需书面确认后再补执行映射。Review的服务单元历史抽屉不能直接套给组合。</t>
  </si>
  <si>
    <t>Review rev680 review-2a5a56bb27；PRD rev8345组合历史；W2序号4/9；待确认JJRvdZkDqoccEuxvKuec0E5XnUg</t>
  </si>
  <si>
    <t>RV05</t>
  </si>
  <si>
    <t>15</t>
  </si>
  <si>
    <t>行内编辑的提交和取消规则</t>
  </si>
  <si>
    <t>全局行内规范修改中；本地示例关闭下拉即提交</t>
  </si>
  <si>
    <t>1.确定编辑触发、Enter/Esc、失焦、切行与错误行为。
2.明确显式保存还是失焦提交。</t>
  </si>
  <si>
    <t>业务规则先书面定稿；不把示例失焦提交作为价卡验收规则。</t>
  </si>
  <si>
    <t>UI42；useStatusEdit/ListStatusCell（源码事实）</t>
  </si>
  <si>
    <t>RV06</t>
  </si>
  <si>
    <t>50、56、57</t>
  </si>
  <si>
    <t>三类空态的可达条件</t>
  </si>
  <si>
    <t>正常/从未有数据/筛选无结果/删空样本</t>
  </si>
  <si>
    <t>1.核对哪类空态能由合法业务动作到达。
2.闭环可接货型是否至少保留一项。</t>
  </si>
  <si>
    <t>UI定义完整；规则禁止删空时不通过非法造数据验收删空。</t>
  </si>
  <si>
    <t>阶段共识13；PRD rev8345 c18（未闭环）</t>
  </si>
  <si>
    <t>本轮只有50/51/56部分入口可见；本条其余包未作页面确认。</t>
  </si>
  <si>
    <t>RV07</t>
  </si>
  <si>
    <t>54</t>
  </si>
  <si>
    <t>计费方式适用要素控件契约</t>
  </si>
  <si>
    <t>适用要素文本/清单来源待明确</t>
  </si>
  <si>
    <t>1.确认控件形式、选项来源和输入限制。
2.回写字段校验与错误文案。</t>
  </si>
  <si>
    <t>有书面结论后才造合法/非法样本，评论不充当批准规则。</t>
  </si>
  <si>
    <t>PRD rev8345（10/13重读）c19；SM86</t>
  </si>
  <si>
    <t>RV08</t>
  </si>
  <si>
    <t>50、51、58</t>
  </si>
  <si>
    <t>费用项、汇率与财务同步本期范围</t>
  </si>
  <si>
    <t>PRD c20未闭环；人工维护/财务同步/异常回退资料</t>
  </si>
  <si>
    <t>1.确认本期是否人工维护。
2.同步若纳入，取得入口及可用接口证据。</t>
  </si>
  <si>
    <t>逐对象确认本期维护与同步范围；费用项及汇率的财务审批契约独立于产品管理直接生效规则。未纳入同步不要求现场成功，纳入的须有接口与结果证据。</t>
  </si>
  <si>
    <t>PRD rev8345 c20、IdwedhovqoUIIAxC5XUcNXjbn9b；FE51/RV14；W2序号50/51/58</t>
  </si>
  <si>
    <t>本轮只有50/51/56部分入口可见；本条其余包未作页面确认。 原型/正文未定位部分先补范围与合同。</t>
  </si>
  <si>
    <t>RV09</t>
  </si>
  <si>
    <t>17、18、19、20、21、24、25、28、29、58、65</t>
  </si>
  <si>
    <t>原型功能转为执行条件</t>
  </si>
  <si>
    <t>本周范围中缺PRD或承载的条目</t>
  </si>
  <si>
    <t>1.定位正文和批准数据契约。
2.补入口、错误状态与可控测试样本。</t>
  </si>
  <si>
    <t>资料/入口齐备才安排业务执行；否则仅完成设计评审并登记依赖。</t>
  </si>
  <si>
    <t>阶段共识2–3、9、12</t>
  </si>
  <si>
    <t>当前账号未见该业务入口；需本包角色/入口/Build及受控数据。 原型/正文未定位部分先补范围与合同。</t>
  </si>
  <si>
    <t>RV10</t>
  </si>
  <si>
    <t>22、23、28、57、54</t>
  </si>
  <si>
    <t>相似页面与对象不能互相代验</t>
  </si>
  <si>
    <t>参考Zone、价格维护Zone、货物类型、可接货型、运输方式</t>
  </si>
  <si>
    <t>1.标注各自对象和数据源。
2.核对路由、关联ID及主子作用域。</t>
  </si>
  <si>
    <t>参考Zone≠价格维护Zone；货物类型≠可接货型；运输方式≠计费方式。</t>
  </si>
  <si>
    <t>W2范围/SM43/72/86/87</t>
  </si>
  <si>
    <t>RV11</t>
  </si>
  <si>
    <t>文案、数字精度与状态依据</t>
  </si>
  <si>
    <t>PRD与采用设计稿；输入精度/展示精度</t>
  </si>
  <si>
    <t>1.规则、单位、枚举、文案取PRD。
2.视觉、对齐、色彩取设计稿。
3.登记混合条目的各自依据。</t>
  </si>
  <si>
    <t>业务精度不套示例amount的2位；输入/存储/显示精度分别核对。</t>
  </si>
  <si>
    <t>阶段共识1、5、14、20；UI22/29</t>
  </si>
  <si>
    <t>RV12</t>
  </si>
  <si>
    <t>按包提测与证据要求</t>
  </si>
  <si>
    <t>角色、入口、Build、合成数据、采用稿</t>
  </si>
  <si>
    <t>1.检查本包角色、Build、入口、数据和采纳稿。
2.检查开发已执行的主流程与证据。
3.确定复核实例及遗留项，不把资料评审当执行。</t>
  </si>
  <si>
    <t>每个交付包分别具备开发自测与测试复核证据；缺入口的保留交付条件，页面观察不填写业务通过。</t>
  </si>
  <si>
    <t>阶段共识16–17；BFF仅healthz及TODO</t>
  </si>
  <si>
    <t>FE01</t>
  </si>
  <si>
    <t>10/13–10/16，按交付执行</t>
  </si>
  <si>
    <t>导航</t>
  </si>
  <si>
    <t>深链接、刷新与登录返回</t>
  </si>
  <si>
    <t>常规</t>
  </si>
  <si>
    <t>本批真实路由清单；合法账号；基础配置费用项和币种/汇率路径已可见</t>
  </si>
  <si>
    <t>1.从目标URL进入。
2.刷新；前进/返回。
3.会话过期后登录返回同一路径。</t>
  </si>
  <si>
    <t>返回目标路由及该路由实际需要的参数；基础配置group/resource不串对象，其他模块按自己的参数契约；登录返回路径符合批准方案。</t>
  </si>
  <si>
    <t>批准UI规范/PRD；routes.ts、menu.ts</t>
  </si>
  <si>
    <t>未执行</t>
  </si>
  <si>
    <t>UI17、SM03/04</t>
  </si>
  <si>
    <t>同Build/角色/承载复用；变体再执行</t>
  </si>
  <si>
    <t>FE02</t>
  </si>
  <si>
    <t>跨分类选择与手动多组展开</t>
  </si>
  <si>
    <t>至少两组有可访问子菜单；UI02菜单专项已采用</t>
  </si>
  <si>
    <t>1.手动展开A、B组。
2.选择B组子项。
3.返回A组子项。</t>
  </si>
  <si>
    <t>手动允许多组，跨组选择按采纳稿收起其他组；选中路径一致；仅一组时记录条件不足。</t>
  </si>
  <si>
    <t>批准UI规范/PRD；AppSider.vue accordion=true为已知差异</t>
  </si>
  <si>
    <t>UI02</t>
  </si>
  <si>
    <t>FE03</t>
  </si>
  <si>
    <t>权限加载后菜单恢复</t>
  </si>
  <si>
    <t>低速权限响应；目标角色允许某菜单</t>
  </si>
  <si>
    <t>1.刷新进入权限加载态。
2.等待权限结果。
3.展开目标菜单。</t>
  </si>
  <si>
    <t>加载期间有骨架；成功后按权限显示菜单，无永久空菜单。</t>
  </si>
  <si>
    <t>批准UI规范/PRD；AppSider.vue permissionStore.loaded</t>
  </si>
  <si>
    <t>UI06、SM02</t>
  </si>
  <si>
    <t>FE04</t>
  </si>
  <si>
    <t>权限刷新后菜单、旧缓存与展开状态</t>
  </si>
  <si>
    <t>两种受控测试角色；同一业务对象</t>
  </si>
  <si>
    <t>1.高权限角色查看对象。
2.切受控低权限角色，刷新权限。
3.观察菜单、展开和旧视图缓存；深链/API改由FE46验证。</t>
  </si>
  <si>
    <t>失效菜单和展开状态清理；旧对象与缓存不在低权限视图残留；本条仅覆盖权限切换后的前端状态恢复。</t>
  </si>
  <si>
    <t>批准UI规范/PRD；menu.ts及AppSider.vue</t>
  </si>
  <si>
    <t>SM02、UI06</t>
  </si>
  <si>
    <t>FE05</t>
  </si>
  <si>
    <t>响应式</t>
  </si>
  <si>
    <t>1279/1280/1439/1440宽度边界</t>
  </si>
  <si>
    <t>桌面采纳稿和可调整视口</t>
  </si>
  <si>
    <t>1.依次测试4个边界宽度。
2.核对侧栏和内容。
3.打开菜单并选择子项。</t>
  </si>
  <si>
    <t>按采用断点检查常驻展开/折叠/抽屉，表格及底部动作不被遮挡；业务最小宽度按基线。</t>
  </si>
  <si>
    <t>批准UI规范/PRD；BasicLayout:220/56/280px；1280/1440为框架实现值</t>
  </si>
  <si>
    <t>UI24</t>
  </si>
  <si>
    <t>FE06</t>
  </si>
  <si>
    <t>同断点内手动折叠保持</t>
  </si>
  <si>
    <t>1440以上与1280–1439同档宽度各两组</t>
  </si>
  <si>
    <t>1.手动折叠/展开。
2.在同档内微调宽度。
3.跨档再返回。</t>
  </si>
  <si>
    <t>同档不反复覆盖用户选择；跨档按采用策略重置，菜单选中保持。</t>
  </si>
  <si>
    <t>批准UI规范/PRD；BasicLayout desktopMode watch</t>
  </si>
  <si>
    <t>UI24、UI06</t>
  </si>
  <si>
    <t>FE07</t>
  </si>
  <si>
    <t>加载</t>
  </si>
  <si>
    <t>快慢路由切换不串骨架</t>
  </si>
  <si>
    <t>A页慢、B页快的本地合成延迟</t>
  </si>
  <si>
    <t>1.打开A立即切B。
2.等待A返回。
3.连续切3次。</t>
  </si>
  <si>
    <t>最终展示B；旧完成事件不提前清掉B加载态；非首次切页仍保留导航。</t>
  </si>
  <si>
    <t>批准UI规范/PRD；useRouteNavigationLoading activeRouteKey</t>
  </si>
  <si>
    <t>UI23、UI47</t>
  </si>
  <si>
    <t>FE08</t>
  </si>
  <si>
    <t>懒加载或请求失败后恢复</t>
  </si>
  <si>
    <t>可控404/500/离线响应；不改真实服务</t>
  </si>
  <si>
    <t>1.打开一个失败页面。
2.关闭错误或重试。
3.切到可用菜单。</t>
  </si>
  <si>
    <t>加载态结束，有失败及恢复入口；页面仍可导航，不残留全局遮罩。</t>
  </si>
  <si>
    <t>批准UI规范/PRD；router.onError及异常页</t>
  </si>
  <si>
    <t>FE09</t>
  </si>
  <si>
    <t>页头</t>
  </si>
  <si>
    <t>唯一页头、面包屑与动作归属</t>
  </si>
  <si>
    <t>本模块实际交付的列表、详情或编辑承载；不要求每包都具备三类页面</t>
  </si>
  <si>
    <t>1.按交付清单逐个进入实际支持的承载。
2.核对H1、面包屑、返回和按钮归属。</t>
  </si>
  <si>
    <t>唯一主标题与当前对象一致；仅校验实际支持的动作，序号11策略只读详情不要求新增/编辑按钮。</t>
  </si>
  <si>
    <t>批准UI规范/PRD；PageHeader.vue；不以示例标题代验</t>
  </si>
  <si>
    <t>UI08、UI36</t>
  </si>
  <si>
    <t>FE10</t>
  </si>
  <si>
    <t>Tabs</t>
  </si>
  <si>
    <t>22、23、50、51、56</t>
  </si>
  <si>
    <t>页签选中、键盘与内容关联</t>
  </si>
  <si>
    <t>RV01已记录采纳的Tabs设计；实际tab/tabpanel组件；费用项/币种/字典当前是普通按钮</t>
  </si>
  <si>
    <t>1.鼠标切换。
2.用方向键/Home/End。
3.核对ARIA与tabpanel。</t>
  </si>
  <si>
    <t>采纳Tabs的页面验证选中、方向键/Home/End和ARIA关联；当前基础配置普通按钮只在FE11核查。若采纳设计要求Tabs但页面未实现，登记差异，不直接标不适用。</t>
  </si>
  <si>
    <t>UI规范 rev5256 §5.17；Review rev680 review-67fb39add5；设计采纳待确认</t>
  </si>
  <si>
    <t>UI01、UI34、UI49</t>
  </si>
  <si>
    <t>P01/P06/P08/P11：分组及对象均普通按钮，无tab/tabpanel；设计采纳仍待确认。</t>
  </si>
  <si>
    <t>实际组件实例；字段/对象变体分别留证</t>
  </si>
  <si>
    <t>FE11</t>
  </si>
  <si>
    <t>基础配置</t>
  </si>
  <si>
    <t>50、51、56</t>
  </si>
  <si>
    <t>切对象后新增/列表/表单同源</t>
  </si>
  <si>
    <t>费用项、币种、汇率及五类业务字典；当前可见对象切换按钮</t>
  </si>
  <si>
    <t>1.切A→B。
2.打开B新增再取消。
3.回A。</t>
  </si>
  <si>
    <t>标题、列、筛选、按钮和表单属于当前对象；A临时编辑不污染B。</t>
  </si>
  <si>
    <t>PCS本轮P01/P05/P06/P08/P10/P11–P20；Review基础配置方案另见FE10</t>
  </si>
  <si>
    <t>UI01、SM03</t>
  </si>
  <si>
    <t>P01/P05/P06/P08/P10/P11–P20：费用/币种/汇率/五字典标题与表单已逐对象核对；未保存。</t>
  </si>
  <si>
    <t>FE12</t>
  </si>
  <si>
    <t>查询</t>
  </si>
  <si>
    <t>1、7、11、12、22、23、26、28、29、50、51、52、53、54、55、56、57、58、65</t>
  </si>
  <si>
    <t>关键词和多条件查询</t>
  </si>
  <si>
    <t>已知记录A/B、合法状态及无匹配关键词</t>
  </si>
  <si>
    <t>1.输入已知名称查询。
2.叠加合法条件查询。
3.清空一项再查询。</t>
  </si>
  <si>
    <t>字段和值按PRD；结果交集、总数、列表刷新反馈正确，不拉伸字段凑列数。</t>
  </si>
  <si>
    <t>批准UI规范/PRD；useTableList；业务数据源另验</t>
  </si>
  <si>
    <t>UI09、SM06/07</t>
  </si>
  <si>
    <t>FE13</t>
  </si>
  <si>
    <t>重置全部筛选和页码</t>
  </si>
  <si>
    <t>该页实际支持的关键词/状态/日期条件；多页测试对象（若已交付分页）</t>
  </si>
  <si>
    <t>1.查询。
2.重置。
3.核对控件、请求和列表。</t>
  </si>
  <si>
    <t>所有已支持条件恢复批准默认值；实际有日期条件时也清空；页码、总数与当前对象一致。</t>
  </si>
  <si>
    <t>批准UI规范/PRD；useWaybillListPage reset清dateRange</t>
  </si>
  <si>
    <t>UI09、SM07</t>
  </si>
  <si>
    <t>FE14</t>
  </si>
  <si>
    <t>旧查询不能覆盖新结果</t>
  </si>
  <si>
    <t>查询A延迟800ms，B延迟100ms</t>
  </si>
  <si>
    <t>1.查询A后立即查B。
2.等待两个结果。</t>
  </si>
  <si>
    <t>页面与当前条件B匹配；旧A不覆盖列表、总数和加载状态。</t>
  </si>
  <si>
    <t>批准UI规范/PRD；响应乱序测试设计；需可控接口</t>
  </si>
  <si>
    <t>UI47</t>
  </si>
  <si>
    <t>FE15</t>
  </si>
  <si>
    <t>表格</t>
  </si>
  <si>
    <t>行高、数字对齐和操作间距</t>
  </si>
  <si>
    <t>短/长文本及带小数数字样本</t>
  </si>
  <si>
    <t>1.量测表头/行。
2.核对文字、数字、操作组。</t>
  </si>
  <si>
    <t>采用规格48px行高；数字右对齐、操作左对齐及16px间距；精度按PRD。</t>
  </si>
  <si>
    <t>UI规范 rev5256；UI20/21/22；本轮P01/P06/P08/P11–P20：行高48px、操作居中gap4px，数字左对齐。视觉规格是否采纳须记录。</t>
  </si>
  <si>
    <t>UI20/21/22</t>
  </si>
  <si>
    <t>P01/P06/P08/P11–P20：48px行高；操作居中、gap4px；币种小数位和汇率倍率左对齐。</t>
  </si>
  <si>
    <t>FE16</t>
  </si>
  <si>
    <t>长文本与固定列滚动</t>
  </si>
  <si>
    <t>超长标识、说明、足够多列</t>
  </si>
  <si>
    <t>1.滚到左/中/右。
2.悬停长文本。
3.点击右侧最后操作。</t>
  </si>
  <si>
    <t>批准的固定标识/操作列保持可见；按钮不被裁切、层不穿透；有省略内容时按批准方案显示全文。不支持固定列且无该要求的页面只检查滚动可达。</t>
  </si>
  <si>
    <t>批准UI规范/PRD；listConfig fixed列；price/Zone另核</t>
  </si>
  <si>
    <t>UI12、UI26</t>
  </si>
  <si>
    <t>FE17</t>
  </si>
  <si>
    <t>空态</t>
  </si>
  <si>
    <t>真实无数据的新增引导</t>
  </si>
  <si>
    <t>无筛选且确定真实无记录；当前页创建权限与创建功能范围已确认</t>
  </si>
  <si>
    <t>1.打开列表。
2.等待加载结束。
3.点击新增后取消。</t>
  </si>
  <si>
    <t>加载结束后真无数据文案正确；有创建能力/权限才要求新增引导，纯只读列表按采用空态显示。</t>
  </si>
  <si>
    <t>批准UI规范/PRD；阶段共识13</t>
  </si>
  <si>
    <t>UI23</t>
  </si>
  <si>
    <t>FE18</t>
  </si>
  <si>
    <t>筛选无结果和重置恢复</t>
  </si>
  <si>
    <t>先证明有已知记录，再使用W2_NO_MATCH</t>
  </si>
  <si>
    <t>1.查无匹配关键词。
2.观察空态。
3.重置读回记录。</t>
  </si>
  <si>
    <t>无结果引导调整/清空条件；重置恢复，不能误称从未有数据。</t>
  </si>
  <si>
    <t>UI规范rev5256 §7；本轮P02费用项查无结果显示“暂无费用项数据”及新增，P04恢复后取消读回；仅页面观察</t>
  </si>
  <si>
    <t>UI09/23/43</t>
  </si>
  <si>
    <t>P02：已证明有FRT，查无结果仍显示暂无费用项数据及新增；重置恢复。正式执行状态保持未执行。</t>
  </si>
  <si>
    <t>FE19</t>
  </si>
  <si>
    <t>失败态不冒充无数据</t>
  </si>
  <si>
    <t>可控500/超时/403及相应角色</t>
  </si>
  <si>
    <t>1.分别触发三类失败。
2.按提示重试/申请权限。</t>
  </si>
  <si>
    <t>异常和权限态分开；不清空旧数据后宣称暂无数据或自动引导新增。</t>
  </si>
  <si>
    <t>批准UI规范/PRD；规范§7.2–7.3</t>
  </si>
  <si>
    <t>UI23、SM02</t>
  </si>
  <si>
    <t>FE20</t>
  </si>
  <si>
    <t>分页</t>
  </si>
  <si>
    <t>0/1/20/21/41条分页边界</t>
  </si>
  <si>
    <t>20仅作框架页容量样本；业务容量按批准值</t>
  </si>
  <si>
    <t>1.核对边界总数。
2.翻页/跳页。
3.逐页比对ID。</t>
  </si>
  <si>
    <t>总数、末页、跳页范围正确；不重不漏；无数据时分页呈现按设计。</t>
  </si>
  <si>
    <t>批准UI规范/PRD；示例defaultPageSize20不是全模块契约</t>
  </si>
  <si>
    <t>UI11、SM08</t>
  </si>
  <si>
    <t>FE21</t>
  </si>
  <si>
    <t>页容量或筛选改变后页码</t>
  </si>
  <si>
    <t>已有多页且当前末页；实际支持容量切换</t>
  </si>
  <si>
    <t>1.改变容量。
2.查询仅1条记录。
3.重置。</t>
  </si>
  <si>
    <t>页码按规则归位，无越界空页；容量、总数、条件相互一致。</t>
  </si>
  <si>
    <t>批准UI规范/PRD；未交付容量切换时按范围排除</t>
  </si>
  <si>
    <t>UI11、UI43</t>
  </si>
  <si>
    <t>FE22</t>
  </si>
  <si>
    <t>排序</t>
  </si>
  <si>
    <t>条件能力：批准后登记具体包</t>
  </si>
  <si>
    <t>排序循环及查询组合</t>
  </si>
  <si>
    <t>RV01确认本批某列表支持排序，补排序列、空值、同值与分页契约；当前可见基础配置未有排序控件</t>
  </si>
  <si>
    <t>1.升序→降序→默认。
2.叠加筛选并翻页。</t>
  </si>
  <si>
    <t>只对批准排序的列执行升/降/默认及查询分页组合。尚无具体W2包的排序列依据，本条保留为条件能力，批准后更新包映射；不把列表展示序号当排序能力。</t>
  </si>
  <si>
    <t>批准UI规范/PRD；基础配置缺排序时不强加</t>
  </si>
  <si>
    <t>UI43</t>
  </si>
  <si>
    <t>批准排序的物理列表实例</t>
  </si>
  <si>
    <t>FE23</t>
  </si>
  <si>
    <t>选择批量</t>
  </si>
  <si>
    <t>2</t>
  </si>
  <si>
    <t>0/1/多选与顶部操作栏</t>
  </si>
  <si>
    <t>已交付勾选列；至少3条合法服务单元</t>
  </si>
  <si>
    <t>1.0→1→2条选择。
2.取消全部。</t>
  </si>
  <si>
    <t>操作栏位置在表格顶部，计数和可用操作正确；不遮住表格；基础配置无勾选列不代验。</t>
  </si>
  <si>
    <t>批准UI规范/PRD；模板勾选能力仅组件参考</t>
  </si>
  <si>
    <t>UI13、SM28</t>
  </si>
  <si>
    <t>FE24</t>
  </si>
  <si>
    <t>跨页选择与最终执行范围</t>
  </si>
  <si>
    <t>两页合成对象；已确认跨页保留/清空规则</t>
  </si>
  <si>
    <t>1.选择第一页2条。
2.翻页选择1条。
3.取消其中一条并预览范围。</t>
  </si>
  <si>
    <t>选择策略、数量和对象ID一致；最终动作只针对批准范围，不靠Toast计完成。</t>
  </si>
  <si>
    <t>批准UI规范/PRD；模板batch仅提示/刷新，业务需真实回读</t>
  </si>
  <si>
    <t>SM28、SM55</t>
  </si>
  <si>
    <t>FE25</t>
  </si>
  <si>
    <t>选中行的固定区一致性</t>
  </si>
  <si>
    <t>勾选及横向滚动的长表格</t>
  </si>
  <si>
    <t>1.勾选一条。
2.横滚。
3.取消并hover。</t>
  </si>
  <si>
    <t>行主体、左固定/右固定区域状态同步，默认/hover/选中不割裂。</t>
  </si>
  <si>
    <t>批准UI规范/PRD；规范Table行状态</t>
  </si>
  <si>
    <t>UI14</t>
  </si>
  <si>
    <t>FE26</t>
  </si>
  <si>
    <t>表单</t>
  </si>
  <si>
    <t>3、13、50、51、52、53、54、56</t>
  </si>
  <si>
    <t>编辑回显与只读编码</t>
  </si>
  <si>
    <t>有编辑回显且明确存在创建后不可变编码的对象；51仅币种编码，56仅批准带编码字典</t>
  </si>
  <si>
    <t>1.打开编辑等回填完成。
2.尝试操作只读编码。
3.取消重开。</t>
  </si>
  <si>
    <t>编辑对象回填正确；契约声明不可变的编码不可改，异步回填后再判空。51汇率无业务编码，转BP51/FE52；组合编码稳定身份在BP08核查，不假定与费用项同一输入机制。</t>
  </si>
  <si>
    <t>PRD rev8345 doxcnIfDa45s0FvaJkff1LVRGDf、W8zSdgSjYofBqNxltzicv1OJn9g、PSWLdxM9HojqJLxDnDBcT5uZnAe、XyJ3dkiZFoMFSIxF5y7cOJ9bnfc、PLXkdRIKGowzcVxcgYLcq5oPnVe、Ckz3du4qxo8ICrx0uTpcg7WSnSb；币种/字典不可变编码契约需补。P03/P07/P12/P14/P16/P18/P20为现状。</t>
  </si>
  <si>
    <t>UI25、UI41、UI44</t>
  </si>
  <si>
    <t>P03/P07/P12/P14/P16/P18/P20：费用/币种/五字典编辑编码disabled；P09汇率无编码且源/目标/倍率/生效日disabled。</t>
  </si>
  <si>
    <t>FE27</t>
  </si>
  <si>
    <t>3、8、13、14、15、18、25、27、28、50、51、52、53、54、55、56、57、58</t>
  </si>
  <si>
    <t>必填、字段错误和条件隐藏</t>
  </si>
  <si>
    <t>本包普通编辑表单或明细编辑字段；原型18/25/28/58先补合同；向导及文件校验由各BP/FE43–45检查</t>
  </si>
  <si>
    <t>1.缺一必填提交。
2.定位并修复。
3.切条件隐藏相关字段再提交。</t>
  </si>
  <si>
    <t>错误就近且能定位；隐藏字段的值/校验按契约清理；不能只看前端星号。</t>
  </si>
  <si>
    <t>批准UI规范/PRD；FormFields受控表单；业务字段不套运单</t>
  </si>
  <si>
    <t>UI44、UI45</t>
  </si>
  <si>
    <t>FE28</t>
  </si>
  <si>
    <t>长度L-1/L/L+1与空白输入</t>
  </si>
  <si>
    <t>该对象实际文本字段；L来自字段PRD或批准补充合同，未定义限长先待依据；中文/粘贴/全空格</t>
  </si>
  <si>
    <t>1.逐组输入或粘贴。
2.失焦/提交。
3.合法组保存读回。</t>
  </si>
  <si>
    <t>截断/报错/计数方式按字段契约；trim、中文字符计数不自造规则。</t>
  </si>
  <si>
    <t>批准UI规范/PRD；示例remark200不能代替所有字段限长</t>
  </si>
  <si>
    <t>UI44、SM83/86</t>
  </si>
  <si>
    <t>FE29</t>
  </si>
  <si>
    <t>3、8、14、15、27、51</t>
  </si>
  <si>
    <t>空值、零值、精度和单位</t>
  </si>
  <si>
    <t>仅实际数值字段：服务单元抛比/KG-CBM、组合容量/优先级、计费明细、燃油比例、币种小数位与汇率。合法零与空值规则逐字段确定。</t>
  </si>
  <si>
    <t>1.按字段合同测试允许零、禁止零、空值及边界。
2.区分整数与小数、负数与单位。
3.保存读回与展示分开核对；汇率特有规则见FE52/RV14。</t>
  </si>
  <si>
    <t>整数不收非法小数；空不当0、允许0不当缺失；单位、输入/存储/展示精度按本字段规则。51币种小数位与汇率不可共用同一边界。</t>
  </si>
  <si>
    <t>批准UI规范/PRD；示例amount精度2/weight3仅本地实现</t>
  </si>
  <si>
    <t>UI22、UI29</t>
  </si>
  <si>
    <t>P07币种小数位可编辑；P08倍率展示7.20000000；P09倍率编辑只读；最终精度待RV14。</t>
  </si>
  <si>
    <t>FE30</t>
  </si>
  <si>
    <t>取消、关闭、返回与脏数据</t>
  </si>
  <si>
    <t>普通表单改名称或一个非编码可编辑字段为W2_CANCEL，不提交；导入队列/覆盖摘要分别由FE43/BP20核查</t>
  </si>
  <si>
    <t>1.分别取消/关闭/返回。
2.重新打开A，再打开B。</t>
  </si>
  <si>
    <t>A恢复正式保存值，不污染B；未保存提醒按批准方案，不能假定全站强弹提醒。</t>
  </si>
  <si>
    <t>UI48；本轮P03/P04费用项取消重开恢复“运费”；其余对象与关闭/返回尚须实际执行</t>
  </si>
  <si>
    <t>UI48、SM13</t>
  </si>
  <si>
    <t>P03/P04：费用项临时名称W2_REAUDIT_CANCEL取消后重开仍为运费；仅此对象、取消路径的页面观察。</t>
  </si>
  <si>
    <t>FE31</t>
  </si>
  <si>
    <t>提交</t>
  </si>
  <si>
    <t>2、3、5、8、10、13、14、15、17、18、19、20、24、25、27、28、50、51、52、53、54、55、56、57、58</t>
  </si>
  <si>
    <t>最终写入动作加载与防重复</t>
  </si>
  <si>
    <t>可写合成对象；慢保存响应</t>
  </si>
  <si>
    <t>1.触发本包实际最终动作（保存/批量/导入确认/覆盖等）。
2.慢响应期间重复点击或Enter。
3.按批准结果范围读回ID及数量。</t>
  </si>
  <si>
    <t>本包实际最终动作有加载反馈与防重；一次操作只产生一份批准结果。向导中间步骤不作为保存，只读包不强制写入。</t>
  </si>
  <si>
    <t>批准UI规范/PRD；记录请求次数与对象ID</t>
  </si>
  <si>
    <t>FE32</t>
  </si>
  <si>
    <t>最终写入成功提示与结果持久化</t>
  </si>
  <si>
    <t>合法合成数据；真实保存接口已交付</t>
  </si>
  <si>
    <t>1.完成本包批准的最终写入并记ID/范围。
2.刷新或重入实际承载。
3.仅在声明有关联影响时读取关联处。</t>
  </si>
  <si>
    <t>最终值、对象数和声明的关联关系持续存在；中间预览、Toast、本地数组或healthz不能判业务通过。</t>
  </si>
  <si>
    <t>批准UI规范/PRD；示例状态仅target.status本地更新</t>
  </si>
  <si>
    <t>SM11/12、UI47</t>
  </si>
  <si>
    <t>FE33</t>
  </si>
  <si>
    <t>最终写入失败后的恢复与重试</t>
  </si>
  <si>
    <t>本包受控失败响应及合成写入对象；输入/摘要恢复规则已批准</t>
  </si>
  <si>
    <t>1.让本包最终写入失败。
2.核对草稿或确认摘要与错误定位。
3.合法重试并读回，已成功对象不重复产生。</t>
  </si>
  <si>
    <t>失败反馈清楚；输入/队列按批准恢复规则保留或重置，重试结果一致。组合双会话版本冲突由BP10执行；未声明并发契约的对象不强制套该预期。</t>
  </si>
  <si>
    <t>批准UI规范/PRD；只验证实际声明的并发契约</t>
  </si>
  <si>
    <t>SM54、UI47</t>
  </si>
  <si>
    <t>FE34</t>
  </si>
  <si>
    <t>抽屉</t>
  </si>
  <si>
    <t>4、9、23</t>
  </si>
  <si>
    <t>加载中关闭后不自动重开</t>
  </si>
  <si>
    <t>慢详情响应；本包批准采用Drawer（4先RV03、9按组合稿、23按自身稿）</t>
  </si>
  <si>
    <t>1.打开A后立即关闭。
2.等待响应。
3.再打开B。</t>
  </si>
  <si>
    <t>实际Drawer加载中可关闭；A响应不重开、不串B；列表可操作。批准整页的序号4使用FE35乱序断言，本条不强制Drawer。</t>
  </si>
  <si>
    <t>批准UI规范/PRD；useListDetailDrawer visible独立于detail</t>
  </si>
  <si>
    <t>UI18/50/51、UI26</t>
  </si>
  <si>
    <t>FE35</t>
  </si>
  <si>
    <t>快速换记录避免详情串位</t>
  </si>
  <si>
    <t>A/B两条记录，A慢B快</t>
  </si>
  <si>
    <t>1.连续打开A、B。
2.等待响应并查看标题和字段。</t>
  </si>
  <si>
    <t>标题、字段、对象ID都属于最终B，不混用A；独立页方案复用该乱序断言。</t>
  </si>
  <si>
    <t>批准UI规范/PRD；useDetail懒加载，业务需实测</t>
  </si>
  <si>
    <t>UI41、UI47</t>
  </si>
  <si>
    <t>FE36</t>
  </si>
  <si>
    <t>详情版本</t>
  </si>
  <si>
    <t>9</t>
  </si>
  <si>
    <t>历史列表/详情返回与只读</t>
  </si>
  <si>
    <t>序号9组合至少两个批准历史版本；服务单元历史是否纳入W2由RV04确认后再补映射</t>
  </si>
  <si>
    <t>1.列表→V1详情→返回。
2.打开V2再关闭。</t>
  </si>
  <si>
    <t>版本身份清楚、只读快照不覆盖；返回原列表位置/条件符合采纳稿。</t>
  </si>
  <si>
    <t>PRD rev8345服务组合版本规则；W2序号9；服务单元Review UI51只作为RV04范围判断</t>
  </si>
  <si>
    <t>UI51、SM31/82</t>
  </si>
  <si>
    <t>FE37</t>
  </si>
  <si>
    <t>行内编辑</t>
  </si>
  <si>
    <t>Enter/Esc/失焦和切行</t>
  </si>
  <si>
    <t>RV05已闭环；合成明细行A/B</t>
  </si>
  <si>
    <t>1.修改后Enter。
2.修改后Esc。
3.修改后失焦/切行。</t>
  </si>
  <si>
    <t>按定稿明确提交或取消；失败保留编辑值；未改变值不重复提交；弹窗不替代行内。</t>
  </si>
  <si>
    <t>批准UI规范/PRD；ListStatusCell关闭下拉即stop-edit为示例事实</t>
  </si>
  <si>
    <t>UI42、UI44/48</t>
  </si>
  <si>
    <t>FE38</t>
  </si>
  <si>
    <t>危险操作</t>
  </si>
  <si>
    <t>5、10、15、50、52、53、55、56、57</t>
  </si>
  <si>
    <t>确认取消、引用阻断和结果读回</t>
  </si>
  <si>
    <t>允许删/不允许删引用对象各一；写入动作另授权</t>
  </si>
  <si>
    <t>1.打开确认先取消。
2.确认合法操作。
3.对引用对象触发阻断。</t>
  </si>
  <si>
    <t>取消不变更；按批准影响范围提示并读回。5是禁用编排，10是组合引用删除，15是明细行删除；50费用项引用价卡禁止删并显示引用数；52/53/55按各自合同阻断；56字典删除后新表单不再选择、历史单据保留；57先闭环最后一项规则。51汇率不套普通删除。</t>
  </si>
  <si>
    <t>PRD rev8345 BZHedArBlo9AFwx4hnSczZnynoe、GN99dpKtLopV12xJ4Xuc6RHInxb、RuWSdnetVoFzomxkb6UcHKlenEb；UI04/46；RV06</t>
  </si>
  <si>
    <t>UI04/46、SM22/33</t>
  </si>
  <si>
    <t>FE39</t>
  </si>
  <si>
    <t>选择器</t>
  </si>
  <si>
    <t>3、8、16、22、23、25、50、51、55、57</t>
  </si>
  <si>
    <t>关联对象异步回填与搜索</t>
  </si>
  <si>
    <t>实际声明关联选择器；A/B近似名称不同ID；50费用类型/默认币种，51汇率源/目标币种</t>
  </si>
  <si>
    <t>1.等默认值完成。
2.搜索选择B并保存/重开。
3.取消一次选择。</t>
  </si>
  <si>
    <t>ID/名称/编码同源；晚到A不覆盖B；搜索与已选反馈按採纳稿。</t>
  </si>
  <si>
    <t>PRD rev8345 P3MudzZbOo8mNVxz8VLcMesWnTh、YRHBd0vGYoT0ysxI8LZcs8LVnvb、TPJ7deqHmojpicxplf3c898EnCe；50专用字段见FE50；3规则冗余反馈见FE48</t>
  </si>
  <si>
    <t>UI03/41/45</t>
  </si>
  <si>
    <t>FE40</t>
  </si>
  <si>
    <t>日期</t>
  </si>
  <si>
    <t>13、26、27、51</t>
  </si>
  <si>
    <t>自然日与分钟/秒口径</t>
  </si>
  <si>
    <t>各字段已批准日期/时区/区间口径；51先闭环RV14；空结束日若有合同才测试</t>
  </si>
  <si>
    <t>1.输入合法区间。
2.选择边界日期。
3.保存读回并看列表。</t>
  </si>
  <si>
    <t>分别按字段合同核对自然日或分钟/秒、端点包含及结束可空规则。51当前是自然日区间，但正文/待确认/页面有冲突，未裁决前只记录现状，不自行批准。</t>
  </si>
  <si>
    <t>PRD rev8345 RYktdcppmomJlUxyPbecof1enfb；UI30；PCS P08–P10；RV14</t>
  </si>
  <si>
    <t>UI30、SM69/85</t>
  </si>
  <si>
    <t>P08–P10当前自然日区间/结束可空/源目标倍率生效日编辑只读；待RV14裁决。</t>
  </si>
  <si>
    <t>FE41</t>
  </si>
  <si>
    <t>可访问性</t>
  </si>
  <si>
    <t>标签、键盘、焦点与错误关联</t>
  </si>
  <si>
    <t>仅用Tab/Enter/Esc完成一个合法路径</t>
  </si>
  <si>
    <t>1.逐项聚焦。
2.触发字段错误。
3.打开/关闭弹层。</t>
  </si>
  <si>
    <t>可见标签与控件关联；错误可定位；焦点次序及关闭后返回点正确，无键盘陷阱。</t>
  </si>
  <si>
    <t>UI规范 rev5256 §5.17；本轮P03/P05/P07/P10/P12/P14/P16/P18/P20输入无id/labels/aria-label关联；完整键盘路径仍待执行</t>
  </si>
  <si>
    <t>UI49</t>
  </si>
  <si>
    <t>P03/P05/P07/P10/P12/P14/P16/P18/P20：输入无id/labels/ARIA标签关联；键盘错误路径未执行。</t>
  </si>
  <si>
    <t>FE42</t>
  </si>
  <si>
    <t>导出</t>
  </si>
  <si>
    <t>导出有真实文件且范围一致</t>
  </si>
  <si>
    <t>选2条的合法导出场景</t>
  </si>
  <si>
    <t>1.导出选中项。
2.取得文件并打开。
3.核对条数/对象ID。</t>
  </si>
  <si>
    <t>文件非空、可打开、仅含批准范围；“已导出N项”不代替文件证据。</t>
  </si>
  <si>
    <t>批准UI规范/PRD；handleExportSelected/All目前仅successMsg</t>
  </si>
  <si>
    <t>SM55</t>
  </si>
  <si>
    <t>FE43</t>
  </si>
  <si>
    <t>导入</t>
  </si>
  <si>
    <t>19、24</t>
  </si>
  <si>
    <t>未选文件、格式/大小和取消</t>
  </si>
  <si>
    <t>已批准的文件类型/大小/数量和合成文件；本条检查文件队列/进度，不重复普通字段取消</t>
  </si>
  <si>
    <t>1.未选文件确认。
2.选错误类型/超限文件。
3.选合法文件再取消重开。</t>
  </si>
  <si>
    <t>错误明确；取消后文件队列与进度按契约清理；业务阈值来自本包合同。字段草稿见FE30，正式行写入见FE44。</t>
  </si>
  <si>
    <t>批准UI规范/PRD；useImport仅刷新；导入PRD先确认</t>
  </si>
  <si>
    <t>UI38</t>
  </si>
  <si>
    <t>FE44</t>
  </si>
  <si>
    <t>解析预览、行级错误与真实写入</t>
  </si>
  <si>
    <t>合法及含一行错误的合成文件；已获上传授权</t>
  </si>
  <si>
    <t>1.上传并解析。
2.核对预览/错误定位。
3.确认合法行后刷新读回。</t>
  </si>
  <si>
    <t>预览和正式数据一致；成功/失败数量按契约；仅刷新列表不能证明导入完成。</t>
  </si>
  <si>
    <t>批准UI规范/PRD；useImport(confirm)调用onDone=fetchList</t>
  </si>
  <si>
    <t>UI38/44/47</t>
  </si>
  <si>
    <t>FE45</t>
  </si>
  <si>
    <t>AI条件流程</t>
  </si>
  <si>
    <t>19</t>
  </si>
  <si>
    <t>开关、解析与人工确认分层</t>
  </si>
  <si>
    <t>仅本期批准的价卡AI导入；合成材料和本次运行授权</t>
  </si>
  <si>
    <t>1.检查关闭开关时入口。
2.启用后上传解析。
3.先取消，再确认批准结果。</t>
  </si>
  <si>
    <t>关闭时不触发AI；解析结果标识清楚；未确认不写入；AI新建服务单元W2需不纳入此包。</t>
  </si>
  <si>
    <t>批准UI规范/PRD；env开关为框架能力，不证明价卡AI接口交付</t>
  </si>
  <si>
    <t>UI37/38</t>
  </si>
  <si>
    <t>FE46</t>
  </si>
  <si>
    <t>权限</t>
  </si>
  <si>
    <t>隐藏/禁用、直接URL与接口结果</t>
  </si>
  <si>
    <t>本包真实角色权限矩阵及越权合成对象</t>
  </si>
  <si>
    <t>1.逐项核对入口。
2.尝试深链与受控越权请求。</t>
  </si>
  <si>
    <t>界面和实际响应一致；越权对象不可见；403不退化为普通空列表。</t>
  </si>
  <si>
    <t>批准UI规范/PRD；routes/meta.resourceId及menu权限过滤</t>
  </si>
  <si>
    <t>SM02、UI25</t>
  </si>
  <si>
    <t>FE47</t>
  </si>
  <si>
    <t>组件状态</t>
  </si>
  <si>
    <t>默认/悬停/焦点/禁用/加载</t>
  </si>
  <si>
    <t>各包实际使用按钮、输入、选择器</t>
  </si>
  <si>
    <t>1.逐状态留图。
2.用鼠标和键盘触发。</t>
  </si>
  <si>
    <t>实际使用状态齐全且样式符合采纳稿；禁用/加载不受重复交互，空态与异常另测。</t>
  </si>
  <si>
    <t>批准UI规范/PRD；通用规范状态完整要求</t>
  </si>
  <si>
    <t>UI25、UI28</t>
  </si>
  <si>
    <t>BP01</t>
  </si>
  <si>
    <t>10/13–10/14 服务管理</t>
  </si>
  <si>
    <t>服务单元</t>
  </si>
  <si>
    <t>1</t>
  </si>
  <si>
    <t>服务单元列表字段与查询组合</t>
  </si>
  <si>
    <t>已知编码、名称和状态；至少两条真实测试记录；目标角色、Build、受控数据与采纳稿齐备</t>
  </si>
  <si>
    <t>从关键词分别按已知编码/名称搜索，再叠加实际批准的覆盖范围/服务商/状态条件，打开命中对象。</t>
  </si>
  <si>
    <t>关键词口径、交集、标识与详情身份按PRD；不强制独立编码和名称输入框。实际有详情动作才使用链接态。</t>
  </si>
  <si>
    <t>W2序号1；SM82；PRD rev8345 / Review rev680（10/13重读）</t>
  </si>
  <si>
    <t>SM82、UI09、UI10、UI11、UI15、UI17</t>
  </si>
  <si>
    <t>本工作包业务对象及主流程</t>
  </si>
  <si>
    <t>BP02</t>
  </si>
  <si>
    <t>服务单元批量可用动作与数量</t>
  </si>
  <si>
    <t>同状态/异状态样本；批量契约；目标角色、Build、受控数据与采纳稿齐备</t>
  </si>
  <si>
    <t>同/异状态对象逐个及全页勾选，核对批量启用、禁用编排与导出选中可用性；先取消风险动作，再执行批准样本；文件验证复用FE42。</t>
  </si>
  <si>
    <t>选择数量、动作允许性及逐对象结果一致；导出真实文件范围可核对。服务组合的选择规则不能直接套给服务单元。</t>
  </si>
  <si>
    <t>W2序号2；SM28、SM55；PRD rev8345 / Review rev680（10/13重读）</t>
  </si>
  <si>
    <t>SM28、SM55、UI12、UI13、UI14</t>
  </si>
  <si>
    <t>BP03</t>
  </si>
  <si>
    <t>服务单元新建分组与成本卡关联</t>
  </si>
  <si>
    <t>RV02已采用；服务商/覆盖范围/抛比/KG-CBM等合法字段；历史名称未改与新名称非法两组对象</t>
  </si>
  <si>
    <t>按批准承载创建合法服务单元，核对“文本-文本-文本”名称及允许字符；编辑历史名称未改与主动改名分别验证；保存读回编码/自动成本卡关联。</t>
  </si>
  <si>
    <t>名称校验保留PRD历史未改例外；编码系统生成不可改；必填、字段分组、保存区和自动关联正确。采用独立页或弹窗以RV02裁决为准。</t>
  </si>
  <si>
    <t>W2序号3；PRD rev8345 doxcnb09DgLCmSJt7GClZLq6HI6、doxcnTeBsM7ikABPc4fuWDnLN7d、E4GAdtFlIoZuCox6PNWc9lE4n07；Review review-de7057751b</t>
  </si>
  <si>
    <t>SM21、SM29、SM63、UI35、UI31、UI44、UI48</t>
  </si>
  <si>
    <t>BP04</t>
  </si>
  <si>
    <t>服务单元详情长内容与上下文</t>
  </si>
  <si>
    <t>RV03已裁决；同列表两条长内容对象；目标角色、Build、受控数据与采纳稿齐备</t>
  </si>
  <si>
    <t>进入详情、滚动末段、返回，再查看另一条。</t>
  </si>
  <si>
    <t>只读分组与批准承载匹配；不是同时要求整页和Drawer；列表条件/位置不丢。</t>
  </si>
  <si>
    <t>W2序号4；SM82；PRD rev8345 / Review rev680（10/13重读）</t>
  </si>
  <si>
    <t>SM82、UI18、UI50、UI26、UI49</t>
  </si>
  <si>
    <t>BP05</t>
  </si>
  <si>
    <t>5</t>
  </si>
  <si>
    <t>禁用编排风险提示与引用信息</t>
  </si>
  <si>
    <t>被产品引用及未引用对象；SM22/30；目标角色、Build、受控数据与采纳稿齐备</t>
  </si>
  <si>
    <t>打开禁用编排确认，核对引用/风险后取消，再在授权样本确认。</t>
  </si>
  <si>
    <t>Warning和文案表达批准影响；取消不改变，允许性与历史链路按PRD。</t>
  </si>
  <si>
    <t>W2序号5；SM22、SM30；PRD rev8345 / Review rev680（10/13重读）</t>
  </si>
  <si>
    <t>SM22、SM30、UI04、UI28、UI46</t>
  </si>
  <si>
    <t>BP07</t>
  </si>
  <si>
    <t>服务组合</t>
  </si>
  <si>
    <t>7</t>
  </si>
  <si>
    <t>组合列表筛选、空态和详情</t>
  </si>
  <si>
    <t>SM64已知组合/无匹配条件；目标角色、Build、受控数据与采纳稿齐备</t>
  </si>
  <si>
    <t>查询已知组合，叠加条件到无结果，重置，再开详情。</t>
  </si>
  <si>
    <t>交集和计数正确；筛选空态引导清空，详情身份与列表一致。</t>
  </si>
  <si>
    <t>W2序号7；SM64、SM82；PRD rev8345 / Review rev680（10/13重读）</t>
  </si>
  <si>
    <t>SM64、SM82、UI09、UI10、UI11</t>
  </si>
  <si>
    <t>BP08</t>
  </si>
  <si>
    <t>8</t>
  </si>
  <si>
    <t>组合成员选择、排序与汇总</t>
  </si>
  <si>
    <t>SM31/32/65合法成员/角色/容量；目标角色、Build、受控数据与采纳稿齐备</t>
  </si>
  <si>
    <t>增加一名成员、改变顺序，观察覆盖汇总，保存重开。</t>
  </si>
  <si>
    <t>成员去重、顺序、角色、优先级、容量与汇总一致；新增编码可填/空由系统分配，后续配置变更保持稳定身份；无有效变更不误增版本。</t>
  </si>
  <si>
    <t>W2序号8；PRD rev8345 ZykzdPYWao0UJxxnHDecG5oLnSb、D4LodrSUFoLLcrx7Xk7cO357nyc；SM31/32/65</t>
  </si>
  <si>
    <t>SM31、SM32、SM65、SM66、UI31、UI44、UI45、UI48</t>
  </si>
  <si>
    <t>BP09</t>
  </si>
  <si>
    <t>组合历史版本只读和返回</t>
  </si>
  <si>
    <t>真实两版本组合；组合自己的采用稿；目标角色、Build、受控数据与采纳稿齐备</t>
  </si>
  <si>
    <t>打开V1、返回历史列表、打开V2，对照快照。</t>
  </si>
  <si>
    <t>版本不串位、快照只读；不把服务单元UI51样式自动套给组合。</t>
  </si>
  <si>
    <t>W2序号9；SM31、SM82；PRD rev8345 / Review rev680（10/13重读）</t>
  </si>
  <si>
    <t>SM31、SM82、UI26、UI33、UI48</t>
  </si>
  <si>
    <t>BP10</t>
  </si>
  <si>
    <t>10</t>
  </si>
  <si>
    <t>组合删除引用阻断与并发提示</t>
  </si>
  <si>
    <t>有引用组合；双会话同一版本；目标角色、Build、受控数据与采纳稿齐备</t>
  </si>
  <si>
    <t>打开删除并取消，验证引用阻断，再进行受控同版本保存冲突。</t>
  </si>
  <si>
    <t>引用对象保留；冲突提示有恢复路径，失败不覆盖已保存记录。</t>
  </si>
  <si>
    <t>W2序号10；SM33、SM54；PRD rev8345 / Review rev680（10/13重读）</t>
  </si>
  <si>
    <t>SM33、SM54、UI46、UI47</t>
  </si>
  <si>
    <t>BP11</t>
  </si>
  <si>
    <t>策略配置</t>
  </si>
  <si>
    <t>11</t>
  </si>
  <si>
    <t>预置策略详情与返回组合</t>
  </si>
  <si>
    <t>SM62预置策略及已知引用数；目标角色、Build、受控数据与采纳稿齐备</t>
  </si>
  <si>
    <t>从服务组合进入策略配置，打开策略详情再返回。</t>
  </si>
  <si>
    <t>预置内容与引用数可核对；不强制增加已划删的新建策略按钮。</t>
  </si>
  <si>
    <t>W2序号11；SM62、SM82；PRD rev8345 / Review rev680（10/13重读）</t>
  </si>
  <si>
    <t>SM62、SM82、UI10、UI26、UI33</t>
  </si>
  <si>
    <t>BP12</t>
  </si>
  <si>
    <t>成本价卡</t>
  </si>
  <si>
    <t>12</t>
  </si>
  <si>
    <t>价卡列表金额、币种和生效时间</t>
  </si>
  <si>
    <t>已知静态卡；含小数/结束可空；目标角色、Build、受控数据与采纳稿齐备</t>
  </si>
  <si>
    <t>查询价卡，核对金额/币种/区间并进入卡头。</t>
  </si>
  <si>
    <t>金额右对齐、单位可见，卡头与列表值一致；显示/存储精度按PRD。</t>
  </si>
  <si>
    <t>W2序号12；SM82；PRD rev8345 / Review rev680（10/13重读）</t>
  </si>
  <si>
    <t>SM82、UI09、UI10、UI22、UI43</t>
  </si>
  <si>
    <t>BP13</t>
  </si>
  <si>
    <t>13</t>
  </si>
  <si>
    <t>价卡头绑定与生效时间输入</t>
  </si>
  <si>
    <t>SM39/69未生效静态卡；目标角色、Build、受控数据与采纳稿齐备</t>
  </si>
  <si>
    <t>填写合法绑定和未来开始时间，空结束保存后读回。</t>
  </si>
  <si>
    <t>只读自动编码、名称必填且服务单元内唯一、绑定及合法时间按PRD；显示精度不错误退化自然日。保存/启用直接生效与待生效含义复用FE53。</t>
  </si>
  <si>
    <t>W2序号13；PRD rev8345 W8zSdgSjYofBqNxltzicv1OJn9g、GDBgdsZ7Ho5TfFxzo3pcw6GrnIe、doxcnDkMdybt1CZaC1uBloBtlxe</t>
  </si>
  <si>
    <t>SM23、SM39、SM69、UI31、UI44、UI48</t>
  </si>
  <si>
    <t>BP14</t>
  </si>
  <si>
    <t>14</t>
  </si>
  <si>
    <t>计费方式切换的条件字段</t>
  </si>
  <si>
    <t>SM41/42/70批准方式、计费/均摊要素；目标角色、Build、受控数据与采纳稿齐备</t>
  </si>
  <si>
    <t>切静态/动态及均摊方式，核对条件字段和单位，再保存读回。</t>
  </si>
  <si>
    <t>必填/隐藏列和值一致，不残留旧分支错误；方式和要素取批准数据源。</t>
  </si>
  <si>
    <t>W2序号14；SM41、SM42、SM70；PRD rev8345 / Review rev680（10/13重读）</t>
  </si>
  <si>
    <t>SM41、SM42、SM70、UI22、UI29、UI44、UI45</t>
  </si>
  <si>
    <t>BP15</t>
  </si>
  <si>
    <t>明细行编辑、取消及错误定位</t>
  </si>
  <si>
    <t>RV05定稿；两行合成明细；目标角色、Build、受控数据与采纳稿齐备</t>
  </si>
  <si>
    <t>新增行，编辑A取消，再在B填一项非法值触发错误并修复保存。</t>
  </si>
  <si>
    <t>状态/失焦按定稿；错误定位到行字段，取消恢复，合法保存读回。</t>
  </si>
  <si>
    <t>W2序号15；SM41、SM70；PRD rev8345 / Review rev680（10/13重读）</t>
  </si>
  <si>
    <t>SM41、SM70、UI42、UI44、UI47、UI48</t>
  </si>
  <si>
    <t>BP16</t>
  </si>
  <si>
    <t>16</t>
  </si>
  <si>
    <t>起点与终点分区选择器</t>
  </si>
  <si>
    <t>SM43/72价格维护分区来源；目标角色、Build、受控数据与采纳稿齐备</t>
  </si>
  <si>
    <t>分别搜索起点A/终点B，确认重开，再取消一组临时选择。</t>
  </si>
  <si>
    <t>起终点作用域独立；对象ID/显示名称正确；不是参考Zone选择。</t>
  </si>
  <si>
    <t>W2序号16；SM43、SM72；PRD rev8345 / Review rev680（10/13重读）</t>
  </si>
  <si>
    <t>SM43、SM72、UI41、UI45</t>
  </si>
  <si>
    <t>BP17</t>
  </si>
  <si>
    <t>17</t>
  </si>
  <si>
    <t>模板批量生成五步导航</t>
  </si>
  <si>
    <t>先补封板PRD与入口；合成合法模板；目标角色、Build、受控数据与采纳稿齐备</t>
  </si>
  <si>
    <t>评审每步输入/产物；交付后走五步，上一步修改再核对摘要。</t>
  </si>
  <si>
    <t>步骤、生成数量、回退保留规则来自新补PRD；未定义时不执行生成。</t>
  </si>
  <si>
    <t>W2序号17；待补封板PRD，不套用SM27；PRD rev8345 / Review rev680（10/13重读）</t>
  </si>
  <si>
    <t>待补封板PRD，不套用SM27、UI34、UI44、UI47</t>
  </si>
  <si>
    <t>BP18</t>
  </si>
  <si>
    <t>18</t>
  </si>
  <si>
    <t>模板维护字段与使用位置</t>
  </si>
  <si>
    <t>封板纳入与模板契约；目标角色、Build、受控数据与采纳稿齐备</t>
  </si>
  <si>
    <t>评审模板分组、编辑/预览/取消/保存，在批准引用处选择模板。</t>
  </si>
  <si>
    <t>模板身份与引用一致；版本、校验和保存规则依PRD，不套普通字典。</t>
  </si>
  <si>
    <t>W2序号18；待补封板PRD；PRD rev8345 / Review rev680（10/13重读）</t>
  </si>
  <si>
    <t>待补封板PRD、UI31、UI44、UI48</t>
  </si>
  <si>
    <t>BP19</t>
  </si>
  <si>
    <t>价卡Excel/AI四步与确认</t>
  </si>
  <si>
    <t>导入PRD、合成文件、上传/AI运行授权；目标角色、Build、受控数据与采纳稿齐备</t>
  </si>
  <si>
    <t>上传→解析→预览→人工确认；中途返回/取消再重入。</t>
  </si>
  <si>
    <t>每步产物和错误明确；未确认不写入；只验证价卡导入，不套服务单元建档。</t>
  </si>
  <si>
    <t>W2序号19；待补价卡导入PRD；不等同SM27服务单元AI建档；PRD rev8345 / Review rev680（10/13重读）</t>
  </si>
  <si>
    <t>待补价卡导入PRD；不等同SM27服务单元AI建档、UI34、UI37、UI38、UI47</t>
  </si>
  <si>
    <t>BP20</t>
  </si>
  <si>
    <t>20</t>
  </si>
  <si>
    <t>高级复制范围和覆盖摘要</t>
  </si>
  <si>
    <t>先补PRD和高级复制入口；目标角色、Build、受控数据与采纳稿齐备</t>
  </si>
  <si>
    <t>选择来源/范围/目标，查看覆盖摘要先取消，再用授权样本执行。</t>
  </si>
  <si>
    <t>覆盖影响及风险可读；取消不变更；正式结果范围与批准规则一致。</t>
  </si>
  <si>
    <t>W2序号20；待补封板PRD；PRD rev8345 / Review rev680（10/13重读）</t>
  </si>
  <si>
    <t>待补封板PRD、UI46、UI48</t>
  </si>
  <si>
    <t>BP21</t>
  </si>
  <si>
    <t>21</t>
  </si>
  <si>
    <t>价卡校验错误行与修复入口</t>
  </si>
  <si>
    <t>先补校验PRD；单行已知错误数据；目标角色、Build、受控数据与采纳稿齐备</t>
  </si>
  <si>
    <t>触发校验，定位到错误行/字段，修复重试。</t>
  </si>
  <si>
    <t>错误定位真实，修复后更新；不得用自造规则判业务失败。</t>
  </si>
  <si>
    <t>W2序号21；待补封板PRD；PRD rev8345 / Review rev680（10/13重读）</t>
  </si>
  <si>
    <t>待补封板PRD、UI44、UI47</t>
  </si>
  <si>
    <t>BP22</t>
  </si>
  <si>
    <t>地点与Zone（分区维护）</t>
  </si>
  <si>
    <t>22</t>
  </si>
  <si>
    <t>价格维护地点/邮编页签作用域</t>
  </si>
  <si>
    <t>SM19/20/58/72价格维护入口；目标角色、Build、受控数据与采纳稿齐备</t>
  </si>
  <si>
    <t>切地点→邮编，分别查询已知对象，返回原页签。</t>
  </si>
  <si>
    <t>页签状态、数据源、关联地点及邮编匹配符合契约；不是基础配置国家/邮编页面。</t>
  </si>
  <si>
    <t>W2序号22；SM19、SM20、SM58、SM72；PRD rev8345 / Review rev680（10/13重读）</t>
  </si>
  <si>
    <t>SM19、SM20、SM58、SM72、UI34、UI41、UI43</t>
  </si>
  <si>
    <t>BP23</t>
  </si>
  <si>
    <t>23</t>
  </si>
  <si>
    <t>价格维护Zone清单与成员</t>
  </si>
  <si>
    <t>SM43/72价格维护上下文；目标角色、Build、受控数据与采纳稿齐备</t>
  </si>
  <si>
    <t>查询Zone，打开成员，水平滚动到操作列，再返回。</t>
  </si>
  <si>
    <t>主子作用域、成员与版本一致；操作不被裁切；参考Zone不代验。</t>
  </si>
  <si>
    <t>W2序号23；SM43、SM72；PRD rev8345 / Review rev680（10/13重读）</t>
  </si>
  <si>
    <t>SM43、SM72、UI10、UI12、UI26</t>
  </si>
  <si>
    <t>BP24</t>
  </si>
  <si>
    <t>24</t>
  </si>
  <si>
    <t>地点/邮编批量导入行级结果</t>
  </si>
  <si>
    <t>导入正文、合成合法/一行错误文件；目标角色、Build、受控数据与采纳稿齐备</t>
  </si>
  <si>
    <t>上传、预览定位错误、批准确认，再在地点/邮编列表读回。</t>
  </si>
  <si>
    <t>错误、成功数量及失败处理依契约；无真实导入产物不能凭Toast通过。</t>
  </si>
  <si>
    <t>W2序号24；待补地点/邮编导入PRD；PRD rev8345 / Review rev680（10/13重读）</t>
  </si>
  <si>
    <t>待补地点/邮编导入PRD、UI38、UI44、UI47</t>
  </si>
  <si>
    <t>BP25</t>
  </si>
  <si>
    <t>25</t>
  </si>
  <si>
    <t>邮编组的成员预览与复用</t>
  </si>
  <si>
    <t>先补邮编组PRD/入口；目标角色、Build、受控数据与采纳稿齐备</t>
  </si>
  <si>
    <t>建立合成成员组，在批准选择器搜索选择，保存重开。</t>
  </si>
  <si>
    <t>组身份/成员/显示名称一致；匹配与版本规则依PRD。</t>
  </si>
  <si>
    <t>W2序号25；待补邮编组PRD；PRD rev8345 / Review rev680（10/13重读）</t>
  </si>
  <si>
    <t>待补邮编组PRD、UI41、UI45</t>
  </si>
  <si>
    <t>BP26</t>
  </si>
  <si>
    <t>燃油费规则</t>
  </si>
  <si>
    <t>26</t>
  </si>
  <si>
    <t>燃油列表生效区间和比例展示</t>
  </si>
  <si>
    <t>SM44已知静态规则；目标角色、Build、受控数据与采纳稿齐备</t>
  </si>
  <si>
    <t>组合适用对象/状态条件查询，核对比例和区间后重置。</t>
  </si>
  <si>
    <t>查询字段按PRD，百分比单位与精度明示，数字对齐和状态统一。</t>
  </si>
  <si>
    <t>W2序号26；SM44、SM82；PRD rev8345 / Review rev680（10/13重读）</t>
  </si>
  <si>
    <t>SM44、SM82、UI09、UI10、UI22、UI30</t>
  </si>
  <si>
    <t>BP27</t>
  </si>
  <si>
    <t>27</t>
  </si>
  <si>
    <t>燃油静态/动态字段分组</t>
  </si>
  <si>
    <t>SM44/45/71批准分支；目标角色、Build、受控数据与采纳稿齐备</t>
  </si>
  <si>
    <t>切规则类型和适用对象，查看字段/错误，再用合法静态数据保存。</t>
  </si>
  <si>
    <t>字段显示/必填随批准分支变化；动态失败不出现旧成功值。</t>
  </si>
  <si>
    <t>W2序号27；SM44、SM45、SM71；PRD rev8345 / Review rev680（10/13重读）</t>
  </si>
  <si>
    <t>SM44、SM45、SM71、UI31、UI44、UI45、UI48</t>
  </si>
  <si>
    <t>BP28</t>
  </si>
  <si>
    <t>分区管理</t>
  </si>
  <si>
    <t>28</t>
  </si>
  <si>
    <t>分区管理独立入口与层级</t>
  </si>
  <si>
    <t>先补分区管理PRD/导航；目标角色、Build、受控数据与采纳稿齐备</t>
  </si>
  <si>
    <t>从独立菜单进入，切Zone/分区类型，打开合成记录编辑取消。</t>
  </si>
  <si>
    <t>层级与对象身份明确；无入口记录交付依赖，参考Zone不计覆盖。</t>
  </si>
  <si>
    <t>W2序号28；待补分区管理独立页面PRD，不以SM43替代整项；PRD rev8345 / Review rev680（10/13重读）</t>
  </si>
  <si>
    <t>待补分区管理独立页面PRD，不以SM43替代整项、UI10、UI34、UI41</t>
  </si>
  <si>
    <t>BP29</t>
  </si>
  <si>
    <t>29</t>
  </si>
  <si>
    <t>分区价格表与价卡引用跳转</t>
  </si>
  <si>
    <t>分区价格/引用PRD及已知记录；目标角色、Build、受控数据与采纳稿齐备</t>
  </si>
  <si>
    <t>点击价卡引用打开真实卡，核对币种/价格，返回分区表。</t>
  </si>
  <si>
    <t>引用有真实跳转；价格数据源和上下文一致；无动作的蓝链接应修正。</t>
  </si>
  <si>
    <t>W2序号29；待补分区价格/引用PRD；PRD rev8345 / Review rev680（10/13重读）</t>
  </si>
  <si>
    <t>待补分区价格/引用PRD、UI15、UI22、UI41</t>
  </si>
  <si>
    <t>BP50</t>
  </si>
  <si>
    <t>10/13 基础配置</t>
  </si>
  <si>
    <t>产品管理参数配置</t>
  </si>
  <si>
    <t>50</t>
  </si>
  <si>
    <t>费用项类型/币种、取消与引用关系</t>
  </si>
  <si>
    <t>费用项PRD字段清单；已知FRT及合成合法/被价卡引用对象；真实写入条件齐备后执行</t>
  </si>
  <si>
    <t>查无结果→重置→编辑名称取消重开；对照费用项类型及默认币种数据源（FE50）；合法维护读回、类型/币种审批生效（FE51）；检查价卡引用删除保护。</t>
  </si>
  <si>
    <t>空态、取消、编码/名称64字边界正确；费用项类型及币种不由当前文本框自行替代；类型/币种变更与普通名称编辑按各自规则生效；引用禁止删除并显示数量。</t>
  </si>
  <si>
    <t>W2序号50；PRD rev8345 AkILdFJiNoD2xCxehV8c2OgInme、ZkN5doR3fogXQnxQJUDcM0LGnzg、P3MudzZbOo8mNVxz8VLcMesWnTh、BWU0dO5WHoRNWYxWTPHcy4cDnfc、BZHedArBlo9AFwx4hnSczZnynoe；P01–P05</t>
  </si>
  <si>
    <t>SM84、UI01、UI09、UI20、UI21、UI23、UI44、UI48、UI49</t>
  </si>
  <si>
    <t>P01–P05：费用项1条FRT；分组编码/默认币种都是文本框；缺费用项类型与币种来源的批准映射，保存/审批/删除未执行。</t>
  </si>
  <si>
    <t>BP51</t>
  </si>
  <si>
    <t>51</t>
  </si>
  <si>
    <t>币种与汇率分开维护</t>
  </si>
  <si>
    <t>币种与汇率对象分别建数据；RV14裁决普通编辑/新增版本、日期、精度、乘除及审批；裁决前仅页面核对</t>
  </si>
  <si>
    <t>币种编辑回显/取消；切汇率核对现有只读和结束日字段；裁决后分别执行新增/调整流程及FE52专用校验，刷新读回。</t>
  </si>
  <si>
    <t>币种与汇率不共用普通CRUD；不要求汇率普通删除。当前7.20000000和自然日只是现状；最终输入/展示精度、区间、版本与审批按RV14结论。</t>
  </si>
  <si>
    <t>W2序号51；PRD rev8345 Vn2MdKcaBoZ8bHxRF9gcL1QnnTe、TNkwdVW6Oo4YsJxZJcIch8jOnVb、待确认BQoxdnmSNozllGxaiQgc3x31ngb；P06–P10</t>
  </si>
  <si>
    <t>SM85、SM89、UI20、UI21、UI22、UI29、UI30、UI44</t>
  </si>
  <si>
    <t>P06–P10：币种USD/CNY，汇率CNY→USD 7.20000000；编辑仅结束日/状态可变；无普通删除；正式写入及财务审批未执行。</t>
  </si>
  <si>
    <t>BP52</t>
  </si>
  <si>
    <t>10/15 配置与日志</t>
  </si>
  <si>
    <t>52</t>
  </si>
  <si>
    <t>服务段编码只读与名称边界</t>
  </si>
  <si>
    <t>SM83合法/名称长度L±1；目标角色、Build、受控数据与采纳稿齐备</t>
  </si>
  <si>
    <t>合法新增保存重开，检查编码不可改，再执行名称边界。</t>
  </si>
  <si>
    <t>编码必填唯一、创建后不可改；名称必填最多64字。修改名称/说明不覆盖历史产品编排版本；删除保护按合同。航空/运输字典不是服务段。</t>
  </si>
  <si>
    <t>W2序号52；PRD rev8345 XyJ3dkiZFoMFSIxF5y7cOJ9bnfc、MGG8dU14OoZVurxYi3Wc0BNQnze、DkMDd8aVVoJFSjxJKF5c1ngTnfc</t>
  </si>
  <si>
    <t>SM83、UI31、UI44、UI48</t>
  </si>
  <si>
    <t>BP53</t>
  </si>
  <si>
    <t>53</t>
  </si>
  <si>
    <t>计费要素字段与价卡选择来源</t>
  </si>
  <si>
    <t>SM83合法要素与单位；目标角色、Build、受控数据与采纳稿齐备</t>
  </si>
  <si>
    <t>合法维护后在价卡计费要素选择器查询；编辑取消再重开。</t>
  </si>
  <si>
    <t>编码必填唯一且不可改；名称最多64字，单位保存/引用同源；名称/单位修改不覆盖历史价卡和历史计费快照。费用项不是计费要素。</t>
  </si>
  <si>
    <t>W2序号53；PRD rev8345 PLXkdRIKGowzcVxcgYLcq5oPnVe、VsDWdCD6RoS3KMxnrWQc0MPRnzg、XpJ6drCn0o2GhXxZE8hcC2hLnof</t>
  </si>
  <si>
    <t>BP54</t>
  </si>
  <si>
    <t>计费方式字段与适用要素</t>
  </si>
  <si>
    <t>RV07已闭环；SM86合法方式；目标角色、Build、受控数据与采纳稿齐备</t>
  </si>
  <si>
    <t>按最终控件选择/输入适用要素，保存重开并在价卡选择。</t>
  </si>
  <si>
    <t>名称/编码/类型必填，编码唯一不可改；新增可选固定/条件/单价/首续重，列表可包含区间总价/均摊，不因列表更多就要求新增可选全部；适用要素按RV07结论。</t>
  </si>
  <si>
    <t>W2序号54；PRD rev8345 ISDldtgVLotbzQx5OYrc6hu9nAe、M3cedlHecoNO78xaq3nccdodnhh、Jpqvdw8vTozsRLxpa94c9lFknzd；c19</t>
  </si>
  <si>
    <t>SM86、UI31、UI44、UI45</t>
  </si>
  <si>
    <t>BP55</t>
  </si>
  <si>
    <t>55</t>
  </si>
  <si>
    <t>下单限制规则编辑与关联选择</t>
  </si>
  <si>
    <t>SM57/88合法规则及作用域；目标角色、Build、受控数据与采纳稿齐备</t>
  </si>
  <si>
    <t>编辑一项条件，保存；在批准关联表单选择后重开。</t>
  </si>
  <si>
    <t>规则编辑器校验与作用域明确；关联选择不代替规则维护验收。</t>
  </si>
  <si>
    <t>W2序号55；SM57、SM88；PRD rev8345 / Review rev680（10/13重读）</t>
  </si>
  <si>
    <t>SM57、SM88、UI03仅选择分支、UI44、UI45</t>
  </si>
  <si>
    <t>BP56</t>
  </si>
  <si>
    <t>56</t>
  </si>
  <si>
    <t>字典范围、对象字段与下游选项</t>
  </si>
  <si>
    <t>批准字典分类清单；当前航空/运输/货物/包装/监管五类只是已见子集；费用类型/结算币种/限制类型等来源需逐项定位</t>
  </si>
  <si>
    <t>对照批准分类清单登记已有/缺入口项；逐已见对象开编辑核对字段并取消；普通选项与带编码选项分别维护读回；在实际下游选择器核对。</t>
  </si>
  <si>
    <t>五类专用字段不串用；普通字典选项值必填，带编码字典编码/显示名必填。删除后新表单不再选择、历史单据不受影响；仅五类页面可见不能认定全包完成；货物类型不代验BP57。</t>
  </si>
  <si>
    <t>W2序号56；PRD rev8345 Z71Fdh4BNoc2DaxX0YQczqDVnKO、KhcFdV9jwos2ypxTyO1coVmVnE9、UUQLdCg7hoMZr4xig7zc3Y5fnKe、VME3dIq0toi6IdxkoZ1cv9Ysnme、RuWSdnetVoFzomxkb6UcHKlenEb；P11–P20；分类c15采纳另确认</t>
  </si>
  <si>
    <t>SM09、SM10、SM16、SM17、SM18、UI01、UI09、UI20、UI21、UI44、UI49</t>
  </si>
  <si>
    <t>P11–P20：五字典各1条，编辑字段已逐类核对；未验证完整分类范围、下游同源、保存或删除；货物类型不覆盖BP57。</t>
  </si>
  <si>
    <t>BP57</t>
  </si>
  <si>
    <t>57</t>
  </si>
  <si>
    <t>可接货型回显与删空规则</t>
  </si>
  <si>
    <t>RV06、SM87映射/最少项结论；目标角色、Build、受控数据与采纳稿齐备</t>
  </si>
  <si>
    <t>合法维护后在下单/服务单元回显，再核对允许的删除条件。</t>
  </si>
  <si>
    <t>货型名称和来源一致；历史影响按PRD；若不得删最后一项，不测非法删空。</t>
  </si>
  <si>
    <t>W2序号57；SM87；PRD rev8345 / Review rev680（10/13重读）</t>
  </si>
  <si>
    <t>SM87、UI44、UI45、UI46</t>
  </si>
  <si>
    <t>BP58</t>
  </si>
  <si>
    <t>58</t>
  </si>
  <si>
    <t>财务配置参数分组与只读范围</t>
  </si>
  <si>
    <t>先补财务配置PRD与独立入口；目标角色、Build、受控数据与采纳稿齐备</t>
  </si>
  <si>
    <t>核对参数单位/权限，编辑一个合法参数取消，再做授权保存读回。</t>
  </si>
  <si>
    <t>参数与权限来源明确；币种汇率局部观察不等于整项财务配置通过。</t>
  </si>
  <si>
    <t>W2序号58；待补财务配置PRD；币种/汇率仅局部关联；PRD rev8345 / Review rev680（10/13重读）</t>
  </si>
  <si>
    <t>待补财务配置PRD；币种/汇率仅局部关联、UI22、UI31、UI44</t>
  </si>
  <si>
    <t>BP65</t>
  </si>
  <si>
    <t>操作日志</t>
  </si>
  <si>
    <t>65</t>
  </si>
  <si>
    <t>操作日志查询和对象追溯</t>
  </si>
  <si>
    <t>先补日志字段/时间/权限契约；测试负责人待认领；目标角色、Build、受控数据与采纳稿齐备</t>
  </si>
  <si>
    <t>执行一项已授权合成操作后，按对象/操作人/时间查日志并开详情。</t>
  </si>
  <si>
    <t>日志对象/动作/时间可追溯，越权不可见；计费历史不是操作日志。</t>
  </si>
  <si>
    <t>W2序号65；待补日志PRD，不等同计费历史SM59；PRD rev8345 / Review rev680（10/13重读）</t>
  </si>
  <si>
    <t>待补日志PRD，不等同计费历史SM59、UI09、UI10、UI26、UI30</t>
  </si>
  <si>
    <t>RV13</t>
  </si>
  <si>
    <t>原型说明与必要帮助文案采用清单</t>
  </si>
  <si>
    <t>Review白色说明文案待确认；真实用户所需单位/提示/错误说明</t>
  </si>
  <si>
    <t>逐页标注原型演示说明、用户帮助、业务规则与错误提示；产品确认删留及替换稿。</t>
  </si>
  <si>
    <t>只删除已确认的原型说明，保留必要帮助和规则；不因“说明类”自动删全部文案。</t>
  </si>
  <si>
    <t>Review rev680 review-5cb0b5dcb6；W2全包；规范rev5256</t>
  </si>
  <si>
    <t>RV14</t>
  </si>
  <si>
    <t>汇率编辑/版本、精度、乘除与审批裁决</t>
  </si>
  <si>
    <t>PRD正文4位/普通编辑/财务审批；待确认段不编辑/新增版本/乘除；PCS8位展示/自然日区间</t>
  </si>
  <si>
    <t>1.逐项列正文、待确认和页面三列。
2.产品/财务确定本期采纳：输入与展示精度、编辑/版本、区间/时区、乘除及审批。
3.回写FE29/40/52与BP51，未裁决前不选一种现状作为验收。</t>
  </si>
  <si>
    <t>冲突有书面采纳版本和明确排除项；页内结束旧区间说明不证明已具备完整版本流；财务同步范围同步RV08。</t>
  </si>
  <si>
    <t>PRD rev8345 Vn2MdKcaBoZ8bHxRF9gcL1QnnTe、TNkwdVW6Oo4YsJxZJcIch8jOnVb、IdwedhovqoUIIAxC5XUcNXjbn9b、待确认BQoxdnmSNozllGxaiQgc3x31ngb；P08–P10</t>
  </si>
  <si>
    <t>P08页面说明结束旧区间新增调整；P09实际只编辑结束日/状态；P10新增汇率存在。完整版本/乘除/审批承载未确认。</t>
  </si>
  <si>
    <t>FE48</t>
  </si>
  <si>
    <t>10/13–10/16，条件齐备后执行</t>
  </si>
  <si>
    <t>专项组件</t>
  </si>
  <si>
    <t>服务单元下单规则选择与重复反馈</t>
  </si>
  <si>
    <t>批准下单规则选择器及选中反馈；Review蓝色待确认；批准跨页规则</t>
  </si>
  <si>
    <t>在服务单元表单打开规则选择，跨页/搜索选两条再取消一条；核对勾选、标签与计数；重开读取已保存选择。</t>
  </si>
  <si>
    <t>选中ID与实际保存一致、不重复；仅勾选/标签/数量的组合按采纳稿。PRD要求的数量不得因Review建议直接删；规则维护本体仍由BP55执行。</t>
  </si>
  <si>
    <t>Review rev680 review-24220c26b9；UI03；PRD服务单元下单规则选择；W2序号3</t>
  </si>
  <si>
    <t>FE49</t>
  </si>
  <si>
    <t>1、7、11、12、22、23、26、28、29、50、51、52、53、54、55、56、57、58、65、4、9</t>
  </si>
  <si>
    <t>链接外观、实际动作与键盘可达</t>
  </si>
  <si>
    <t>列表/详情中实际表现为可点击的编码或引用；明确目标路由或Drawer</t>
  </si>
  <si>
    <t>逐项点击和键盘激活链接态标识，核对目标ID及返回路径；无批准动作的标识核对采用的纯文本外观。</t>
  </si>
  <si>
    <t>链接态有真实同对象动作且键盘可达；无动作不得伪装链接。当前FRT等纯文本不因编码字段而强制有链接；版本/引用身份分别核对。</t>
  </si>
  <si>
    <t>Review rev680 review-a7e8b941e2绿色待确认；PRD组合XipbdJTDwoQVNSxrfI9cOD26nNh；UI49</t>
  </si>
  <si>
    <t>P01/P11等当前编码是普通文本；不会因没有编码链接判失败。仅批准的链接态才执行。</t>
  </si>
  <si>
    <t>FE50</t>
  </si>
  <si>
    <t>费用项类型与默认币种数据源</t>
  </si>
  <si>
    <t>PRD类型9类与结算币种来源清单；当前分组编码/币种文本框对应方案待明确</t>
  </si>
  <si>
    <t>对照费用项类型控件、实际值/ID、默认币种下拉及可选来源；选择合法类型/币种，保存重开，并在新价卡明细读带出值。</t>
  </si>
  <si>
    <t>类型必填且取业务字典费用类型，币种必填且取结算币种；新明细带出默认币种。若采用字段改名/控件变更，需批准映射；当前分组编码和自由文本不能直接视为符合。</t>
  </si>
  <si>
    <t>PRD rev8345 VFgBdRLqiofNwqxu4RIcQyRSnSh、ZkN5doR3fogXQnxQJUDcM0LGnzg、P3MudzZbOo8mNVxz8VLcMesWnTh、SxYVdsnN4ozb86xu4v2cl22jn5b；P03/P05</t>
  </si>
  <si>
    <t>P03/P05当前没有费用项类型控件，分组编码required但FRT编辑为空；币种为自由文本。需产品字段映射。</t>
  </si>
  <si>
    <t>FE51</t>
  </si>
  <si>
    <t>费用项类型/币种变更审批与生效</t>
  </si>
  <si>
    <t>本期财务审批及状态合同；受控名称改动/类型改动/币种改动三组对象</t>
  </si>
  <si>
    <t>分别仅改名称、改类型、改默认币种；对照保存后、审批前、批准后与拒绝后显示及下游取值。</t>
  </si>
  <si>
    <t>类型/币种变更财务审批后才生效；普通名称修改不套同一审批预期。审批前后有效值与下游一致；未交付审批承载/状态合同记录依赖，不凭按钮认定通过。</t>
  </si>
  <si>
    <t>PRD rev8345 BWU0dO5WHoRNWYxWTPHcy4cDnfc；RV08；产品管理无审批规则不得覆盖此费用项专用约定</t>
  </si>
  <si>
    <t>P03仅现有编辑表单；未提交保存，审批页面/状态/流转均未核验。</t>
  </si>
  <si>
    <t>FE52</t>
  </si>
  <si>
    <t>汇率币种对与生效日期唯一校验</t>
  </si>
  <si>
    <t>RV14已裁决；新建普通汇率及预置CNY→CNY=1.0000；重复三元组和合法不同日期样本</t>
  </si>
  <si>
    <t>测试源=目标的普通新增、系统预置默认记录；已有源/目标/生效日期重复新增；不同日期、缺日期、0/负倍率分别提交再修复。</t>
  </si>
  <si>
    <t>普通新增源目标不同，预置同币种默认记录保留例外；三元组不能重复，倍率&gt;0且日期必填；精度/乘除/版本端点按RV14裁决。错误可定位且不写入非法结果。</t>
  </si>
  <si>
    <t>PRD rev8345 RNyFdDCX5o4s39xPItacz3EtnMh、Y0C1dasmLoewZcxSB8WcQ0yunHg、FJ2pdm9AUolgmZxQVK3cme2Fnnb；P10</t>
  </si>
  <si>
    <t>P10新增源币种/目标币种/倍率/生效日可填；普通同币种、重复三元组和非法倍率均未提交。</t>
  </si>
  <si>
    <t>FE53</t>
  </si>
  <si>
    <t>3、5、8、13、14、15</t>
  </si>
  <si>
    <t>产品管理保存/启用与待生效反馈</t>
  </si>
  <si>
    <t>已批准产品管理状态与生效时间；未来/当前/尚未启用对象</t>
  </si>
  <si>
    <t>分别保存、提交、启用，并刷新读取状态及生效时间；未来生效与未启用对象核对文案。</t>
  </si>
  <si>
    <t>服务单元/成本价卡/组合本系统内直接生效，不创建审批工单；待生效表达未启用或未到生效时间。费用项/汇率财务审批另按FE51/RV14，不用同一状态解释。</t>
  </si>
  <si>
    <t>PRD rev8345 doxcnDkMdybt1CZaC1uBloBtlxe、doxcnEcXtzDMJPegiw7D9MWUsjr、Yq7qdf58fotZfRxgkFJcm0eyndc；W2服务/价卡相关包</t>
  </si>
  <si>
    <t>W2 38个工作包的前端用例索引</t>
  </si>
  <si>
    <t>公共16条见本周执行，按物理页面/角色/Build复用；每包BP单独检查业务结果。FE22排序未有具体批准列，不固定映射。</t>
  </si>
  <si>
    <t>排期序号</t>
  </si>
  <si>
    <t>源表行号</t>
  </si>
  <si>
    <t>二级目录</t>
  </si>
  <si>
    <t>工作包</t>
  </si>
  <si>
    <t>本周节奏</t>
  </si>
  <si>
    <t>原来源</t>
  </si>
  <si>
    <t>产品</t>
  </si>
  <si>
    <t>开发</t>
  </si>
  <si>
    <t>测试</t>
  </si>
  <si>
    <t>设计准出用例</t>
  </si>
  <si>
    <t>适用组件用例</t>
  </si>
  <si>
    <t>本包专项</t>
  </si>
  <si>
    <t>上一版周用例</t>
  </si>
  <si>
    <t>未补齐条件/原备注</t>
  </si>
  <si>
    <t>本轮入口观察</t>
  </si>
  <si>
    <t>本包主要未补齐条件</t>
  </si>
  <si>
    <t>服务单元列表与筛选</t>
  </si>
  <si>
    <t>PRD</t>
  </si>
  <si>
    <t>人员04</t>
  </si>
  <si>
    <t>人员03</t>
  </si>
  <si>
    <t>人员01</t>
  </si>
  <si>
    <t>FE12、FE13、FE14、FE15、FE16、FE17、FE18、FE19、FE20、FE21、FE49</t>
  </si>
  <si>
    <t>W2-01-U / W2-01-D</t>
  </si>
  <si>
    <t>按角色、入口、Build及本批采纳稿补齐执行条件；公共用例见本周执行；按实例复用，不逐包重复跑。</t>
  </si>
  <si>
    <t>当前角色未见入口；不认定功能缺失或通过</t>
  </si>
  <si>
    <t>实际交付路由/角色/Build/采纳稿及测试数据</t>
  </si>
  <si>
    <t>服务单元批量操作</t>
  </si>
  <si>
    <t>FE23、FE24、FE25、FE31、FE32、FE33、FE42</t>
  </si>
  <si>
    <t>W2-02-U / W2-02-D</t>
  </si>
  <si>
    <t>新增/编辑服务单元（弹窗）</t>
  </si>
  <si>
    <t>FE26、FE27、FE28、FE29、FE30、FE31、FE32、FE33、FE39、FE48、FE53</t>
  </si>
  <si>
    <t>W2-03-U / W2-03-D</t>
  </si>
  <si>
    <t>服务单元详情（只读）</t>
  </si>
  <si>
    <t>RV03、RV04</t>
  </si>
  <si>
    <t>FE34、FE35、FE49</t>
  </si>
  <si>
    <t>W2-04-U / W2-04-D</t>
  </si>
  <si>
    <t>禁用编排/启用 与产品引用关系</t>
  </si>
  <si>
    <t>FE31、FE32、FE33、FE38、FE53</t>
  </si>
  <si>
    <t>W2-05-U / W2-05-D</t>
  </si>
  <si>
    <t>服务组合列表页</t>
  </si>
  <si>
    <t>人员05</t>
  </si>
  <si>
    <t>W2-07-U / W2-07-D</t>
  </si>
  <si>
    <t>新增/编辑服务组合</t>
  </si>
  <si>
    <t>FE27、FE28、FE29、FE30、FE31、FE32、FE33、FE39、FE53</t>
  </si>
  <si>
    <t>W2-08-U / W2-08-D</t>
  </si>
  <si>
    <t>详情与历史版本（只读）</t>
  </si>
  <si>
    <t>FE34、FE35、FE36、FE49</t>
  </si>
  <si>
    <t>W2-09-U / W2-09-D</t>
  </si>
  <si>
    <t>删除引用校验与并发控制</t>
  </si>
  <si>
    <t>FE31、FE32、FE33、FE38</t>
  </si>
  <si>
    <t>W2-10-U / W2-10-D</t>
  </si>
  <si>
    <t>策略列表/详情</t>
  </si>
  <si>
    <t>W2-11-U / W2-11-D</t>
  </si>
  <si>
    <t>成本价卡列表页</t>
  </si>
  <si>
    <t>人员02</t>
  </si>
  <si>
    <t>W2-12-U / W2-12-D</t>
  </si>
  <si>
    <t>新增/编辑成本价卡-价卡头</t>
  </si>
  <si>
    <t>FE26、FE27、FE28、FE30、FE31、FE32、FE33、FE40、FE53</t>
  </si>
  <si>
    <t>W2-13-U / W2-13-D</t>
  </si>
  <si>
    <t>价卡计费明细字段配置</t>
  </si>
  <si>
    <t>FE27、FE28、FE29、FE30、FE31、FE32、FE33、FE53</t>
  </si>
  <si>
    <t>W2-14-U / W2-14-D</t>
  </si>
  <si>
    <t>计费明细行操作与校验</t>
  </si>
  <si>
    <t>FE27、FE28、FE29、FE30、FE31、FE32、FE33、FE37、FE38、FE53</t>
  </si>
  <si>
    <t>W2-15-U / W2-15-D</t>
  </si>
  <si>
    <t>计价范围选择器（起终点分区）</t>
  </si>
  <si>
    <t>W2-16-U / W2-16-D</t>
  </si>
  <si>
    <t>成本价卡批量生成（计费要素模板五步）</t>
  </si>
  <si>
    <t>原型（待确认）</t>
  </si>
  <si>
    <t>FE31、FE32、FE33</t>
  </si>
  <si>
    <t>W2-17-U / W2-17-D</t>
  </si>
  <si>
    <t>⚠ 入口或归属待确认，需产品定；公共用例见本周执行；按实例复用，不逐包重复跑。</t>
  </si>
  <si>
    <t>封板范围/批准PRD/入口/测试数据</t>
  </si>
  <si>
    <t>计费要素模板维护</t>
  </si>
  <si>
    <t>FE27、FE28、FE30、FE31、FE32、FE33</t>
  </si>
  <si>
    <t>W2-18-U / W2-18-D</t>
  </si>
  <si>
    <t>成本价卡导入（Excel / AI 文件导入四步）</t>
  </si>
  <si>
    <t>原型</t>
  </si>
  <si>
    <t>FE31、FE32、FE33、FE43、FE44、FE45</t>
  </si>
  <si>
    <t>W2-19-U / W2-19-D</t>
  </si>
  <si>
    <t>成本价卡高级复制与覆盖</t>
  </si>
  <si>
    <t>原型（无入口）</t>
  </si>
  <si>
    <t>W2-20-U / W2-20-D</t>
  </si>
  <si>
    <t>⚠ 需补入口：「复制范围」在无入口的分区管理页；高级复制无页面入口；公共用例见本周执行；按实例复用，不逐包重复跑。</t>
  </si>
  <si>
    <t>成本价卡校验</t>
  </si>
  <si>
    <t>W2-21-U / W2-21-D</t>
  </si>
  <si>
    <t>⚠ 需补入口：「校验」在无入口的分区管理页；公共用例见本周执行；按实例复用，不逐包重复跑。</t>
  </si>
  <si>
    <t>地点与邮编页签</t>
  </si>
  <si>
    <t>FE10、FE12、FE13、FE14、FE15、FE16、FE17、FE18、FE19、FE20、FE21、FE39、FE49</t>
  </si>
  <si>
    <t>W2-22-U / W2-22-D</t>
  </si>
  <si>
    <t>Zone 清单页签</t>
  </si>
  <si>
    <t>FE10、FE12、FE13、FE14、FE15、FE16、FE17、FE18、FE19、FE20、FE21、FE34、FE35、FE39、FE49</t>
  </si>
  <si>
    <t>W2-23-U / W2-23-D</t>
  </si>
  <si>
    <t>导入地点与邮编（批量）</t>
  </si>
  <si>
    <t>FE31、FE32、FE33、FE43、FE44</t>
  </si>
  <si>
    <t>W2-24-U / W2-24-D</t>
  </si>
  <si>
    <t>可复用邮编组</t>
  </si>
  <si>
    <t>FE27、FE28、FE30、FE31、FE32、FE33、FE39</t>
  </si>
  <si>
    <t>W2-25-U / W2-25-D</t>
  </si>
  <si>
    <t>⚠ 需补入口：「邮编组」在无入口的分区管理页；公共用例见本周执行；按实例复用，不逐包重复跑。</t>
  </si>
  <si>
    <t>燃油费规则列表</t>
  </si>
  <si>
    <t>FE12、FE13、FE14、FE15、FE16、FE17、FE18、FE19、FE20、FE21、FE40、FE49</t>
  </si>
  <si>
    <t>W2-26-U / W2-26-D</t>
  </si>
  <si>
    <t>新增/编辑燃油费规则</t>
  </si>
  <si>
    <t>FE27、FE28、FE29、FE30、FE31、FE32、FE33、FE40</t>
  </si>
  <si>
    <t>W2-27-U / W2-27-D</t>
  </si>
  <si>
    <t>分区维护（Zone / 分区类型）</t>
  </si>
  <si>
    <t>RV09、RV10</t>
  </si>
  <si>
    <t>FE12、FE13、FE14、FE15、FE16、FE17、FE18、FE19、FE20、FE21、FE27、FE28、FE30、FE31、FE32、FE33、FE49</t>
  </si>
  <si>
    <t>W2-28-U / W2-28-D</t>
  </si>
  <si>
    <t>⚠ 需补入口：独立页面无导航入口；公共用例见本周执行；按实例复用，不逐包重复跑。</t>
  </si>
  <si>
    <t>分区价格表与价卡引用</t>
  </si>
  <si>
    <t>W2-29-U / W2-29-D</t>
  </si>
  <si>
    <t>⚠ 需补入口：在无入口的分区管理页内；公共用例见本周执行；按实例复用，不逐包重复跑。</t>
  </si>
  <si>
    <t>费用项</t>
  </si>
  <si>
    <t>RV06、RV08</t>
  </si>
  <si>
    <t>FE10、FE11、FE12、FE13、FE14、FE15、FE16、FE17、FE18、FE19、FE20、FE21、FE26、FE27、FE28、FE30、FE31、FE32、FE33、FE38、FE39、FE49、FE50、FE51</t>
  </si>
  <si>
    <t>W2-50-U / W2-50-D</t>
  </si>
  <si>
    <t>部分入口已核对；正式业务写入与关联结果未执行</t>
  </si>
  <si>
    <t>费用项类型/币种字段映射；财务审批合同；价卡引用样本</t>
  </si>
  <si>
    <t>币种与汇率</t>
  </si>
  <si>
    <t>RV08、RV14</t>
  </si>
  <si>
    <t>FE10、FE11、FE12、FE13、FE14、FE15、FE16、FE17、FE18、FE19、FE20、FE21、FE26、FE27、FE28、FE29、FE30、FE31、FE32、FE33、FE39、FE40、FE49、FE52</t>
  </si>
  <si>
    <t>W2-51-U / W2-51-D</t>
  </si>
  <si>
    <t>RV14汇率规则裁决；币种不可变编码合同</t>
  </si>
  <si>
    <t>服务段</t>
  </si>
  <si>
    <t>FE12、FE13、FE14、FE15、FE16、FE17、FE18、FE19、FE20、FE21、FE26、FE27、FE28、FE30、FE31、FE32、FE33、FE38、FE49</t>
  </si>
  <si>
    <t>W2-52-U / W2-52-D</t>
  </si>
  <si>
    <t>计费要素</t>
  </si>
  <si>
    <t>W2-53-U / W2-53-D</t>
  </si>
  <si>
    <t>计费方式</t>
  </si>
  <si>
    <t>RV07、RV10</t>
  </si>
  <si>
    <t>FE12、FE13、FE14、FE15、FE16、FE17、FE18、FE19、FE20、FE21、FE26、FE27、FE28、FE30、FE31、FE32、FE33、FE49</t>
  </si>
  <si>
    <t>W2-54-U / W2-54-D</t>
  </si>
  <si>
    <t>下单限制</t>
  </si>
  <si>
    <t>FE12、FE13、FE14、FE15、FE16、FE17、FE18、FE19、FE20、FE21、FE27、FE28、FE30、FE31、FE32、FE33、FE38、FE39、FE49</t>
  </si>
  <si>
    <t>W2-55-U / W2-55-D</t>
  </si>
  <si>
    <t>业务字典</t>
  </si>
  <si>
    <t>FE10、FE11、FE12、FE13、FE14、FE15、FE16、FE17、FE18、FE19、FE20、FE21、FE26、FE27、FE28、FE30、FE31、FE32、FE33、FE38、FE49</t>
  </si>
  <si>
    <t>W2-56-U / W2-56-D</t>
  </si>
  <si>
    <t>批准字典范围/字段；下游引用样本</t>
  </si>
  <si>
    <t>可接货型</t>
  </si>
  <si>
    <t>RV06、RV10</t>
  </si>
  <si>
    <t>W2-57-U / W2-57-D</t>
  </si>
  <si>
    <t>财务配置</t>
  </si>
  <si>
    <t>RV08、RV09</t>
  </si>
  <si>
    <t>W2-58-U / W2-58-D</t>
  </si>
  <si>
    <t>待认领</t>
  </si>
  <si>
    <t>W2-65-U / W2-65-D</t>
  </si>
  <si>
    <t>97条逐项复核记录＋8条补漏（2026-10-13）</t>
  </si>
  <si>
    <t>此页保存修订理由与本轮页面证据，供审阅追溯；不作为开发自测或提测复核结果。原工作簿原样保留。</t>
  </si>
  <si>
    <t>用例</t>
  </si>
  <si>
    <t>处理</t>
  </si>
  <si>
    <t>原包范围</t>
  </si>
  <si>
    <t>修订后包范围</t>
  </si>
  <si>
    <t>复核理由</t>
  </si>
  <si>
    <t>来源/规则定位</t>
  </si>
  <si>
    <t>当前页面观察及未执行边界</t>
  </si>
  <si>
    <t>修订</t>
  </si>
  <si>
    <t>与RV12区分：范围采纳在先，提测证据在后</t>
  </si>
  <si>
    <t>保留</t>
  </si>
  <si>
    <t>未发现独立场景重复；组件与BP专项的层级不同，按实例复用避免重复执行。</t>
  </si>
  <si>
    <t>服务单元历史仍是本期范围待确认；组合历史在W2序号9内</t>
  </si>
  <si>
    <t>50、58</t>
  </si>
  <si>
    <t>同步范围必须同时覆盖汇率，c20未闭环</t>
  </si>
  <si>
    <t>明确作为提测入口，不重复RV01封板范围</t>
  </si>
  <si>
    <t>group/resource仅基础配置使用，不能强加38包</t>
  </si>
  <si>
    <t>消除与FE46深链接/API越权验证重叠</t>
  </si>
  <si>
    <t>只读包不能强制拥有编辑/新建页</t>
  </si>
  <si>
    <t>普通对象切换按钮不能当Tabs执行通过，也不能因现状未实现删除设计要求</t>
  </si>
  <si>
    <t>与FE10分离：本条覆盖当前普通按钮及对象数据作用域</t>
  </si>
  <si>
    <t>列表类（见索引）</t>
  </si>
  <si>
    <t>不存在的日期条件不应强制造数据</t>
  </si>
  <si>
    <t>以10/13实测替代历史视觉差异，规格采纳与实际执行分开</t>
  </si>
  <si>
    <t>固定列与全文展现按实际批准需求，避免要求窄字典所有列固定</t>
  </si>
  <si>
    <t>只读列表和禁止创建页面不强制空态新增按钮</t>
  </si>
  <si>
    <t>本次重现筛选无结果，更新证据来源</t>
  </si>
  <si>
    <t>无PRD明确排序列时不把所有列表列为固定执行包</t>
  </si>
  <si>
    <t>表单类（见索引）</t>
  </si>
  <si>
    <t>移除导入/生成/复制和不具备不可变编码契约的表单</t>
  </si>
  <si>
    <t>普通字段校验与向导/文件校验拆开</t>
  </si>
  <si>
    <t>限长校验仅文本表单字段，导入/复制不套用</t>
  </si>
  <si>
    <t>剔除费用项及服务段/要素/方式等纯文本对象的数值映射</t>
  </si>
  <si>
    <t>限定普通表单脏字段，文件队列取消由FE43覆盖</t>
  </si>
  <si>
    <t>补批量及向导最终动作防重，避免套普通保存字段</t>
  </si>
  <si>
    <t>补最终写入结果验证，向导不套关联普通表单保存</t>
  </si>
  <si>
    <t>通用失败重试与组合明确并发契约分开，防止要求全站版本冲突</t>
  </si>
  <si>
    <t>未批准Drawer的承载按RV03先确认</t>
  </si>
  <si>
    <t>移除W2只读详情包4的未确认历史功能执行映射</t>
  </si>
  <si>
    <t>危险动作须分场景；字典删除不必一律引用阻断</t>
  </si>
  <si>
    <t>3、8、16、22、23、25、55、57</t>
  </si>
  <si>
    <t>补费用项/汇率的币种字典下拉；下单规则重复反馈单列FE48</t>
  </si>
  <si>
    <t>现状自然日不能被当作最终PRD裁决</t>
  </si>
  <si>
    <t>以本轮字典/费用项表单标签证据更新可访问性</t>
  </si>
  <si>
    <t>文件取消与FE30普通草稿分开</t>
  </si>
  <si>
    <t>服务单元列表关键词不是独立编码与名称筛选条件</t>
  </si>
  <si>
    <t>补批量启用/禁用编排/导出各自范围，导出不以Toast代验</t>
  </si>
  <si>
    <t>补服务单元名称格式及历史未改名称例外，普通必填不覆盖该规则</t>
  </si>
  <si>
    <t>补稳定编码身份、无变化不增版本；不套只读编码输入字段</t>
  </si>
  <si>
    <t>补名称作用域唯一性与保存/启用状态，避免自造审批</t>
  </si>
  <si>
    <t>分组编码不直接代替费用项类型；补数据源、审批与引用删除检查</t>
  </si>
  <si>
    <t>汇率现状不当批准规则；编辑/版本、精度、乘除、审批先裁决</t>
  </si>
  <si>
    <t>名称64与编码唯一可直接定位；历史编排保护纳入专包</t>
  </si>
  <si>
    <t>补单位修改不覆盖历史价卡及计费快照</t>
  </si>
  <si>
    <t>新增方式枚举与列表历史枚举不能一律相同</t>
  </si>
  <si>
    <t>五个现有字典不等于本期完整字典范围；普通选项不强制带编码</t>
  </si>
  <si>
    <t>新增</t>
  </si>
  <si>
    <t>—</t>
  </si>
  <si>
    <t>补漏：原型说明与必要帮助文案采用清单</t>
  </si>
  <si>
    <t>补漏：汇率编辑/版本、精度、乘除与审批裁决</t>
  </si>
  <si>
    <t>补漏：服务单元下单规则选择与重复反馈</t>
  </si>
  <si>
    <t>补漏：链接外观、实际动作与键盘可达</t>
  </si>
  <si>
    <t>补漏：费用项类型与默认币种数据源</t>
  </si>
  <si>
    <t>补漏：费用项类型/币种变更审批与生效</t>
  </si>
  <si>
    <t>补漏：汇率币种对与生效日期唯一校验</t>
  </si>
  <si>
    <t>补漏：产品管理保存/启用与待生效反馈</t>
  </si>
  <si>
    <t>证据ID</t>
  </si>
  <si>
    <t>采证UTC时间</t>
  </si>
  <si>
    <t>观察（非业务通过）</t>
  </si>
  <si>
    <t>当时页面URL</t>
  </si>
  <si>
    <t>截图文件名</t>
  </si>
  <si>
    <t>P01</t>
  </si>
  <si>
    <t>2026-10-13 02:12:05.553 UTC</t>
  </si>
  <si>
    <t>当前账号菜单仅系统配置/基础配置；费用项1条</t>
  </si>
  <si>
    <t>fee-list.jpg</t>
  </si>
  <si>
    <t>P02</t>
  </si>
  <si>
    <t>2026-10-13 02:14:14.358 UTC</t>
  </si>
  <si>
    <t>无匹配搜索仍显示暂无费用项数据；有新增费用项入口</t>
  </si>
  <si>
    <t>fee-no-result.jpg</t>
  </si>
  <si>
    <t>P03</t>
  </si>
  <si>
    <t>2026-10-13 02:14:15.110 UTC</t>
  </si>
  <si>
    <t>费用项编辑字段使用分组编码与默认币种文本输入；编码禁用</t>
  </si>
  <si>
    <t>fee-edit.jpg</t>
  </si>
  <si>
    <t>P04</t>
  </si>
  <si>
    <t>2026-10-13 02:15:15.664 UTC</t>
  </si>
  <si>
    <t>临时名称修改取消后重开仍为运费，未保存业务数据</t>
  </si>
  <si>
    <t>fee-cancel-readback.jpg</t>
  </si>
  <si>
    <t>P05</t>
  </si>
  <si>
    <t>2026-10-13 02:15:32.530 UTC</t>
  </si>
  <si>
    <t>新增费用项为弹窗，URL含create=1；取消无需业务写入</t>
  </si>
  <si>
    <t>https://localhost/pcs/system-config/master-data?group=fee&amp;resource=fee_item&amp;create=1</t>
  </si>
  <si>
    <t>fee-create.jpg</t>
  </si>
  <si>
    <t>P06</t>
  </si>
  <si>
    <t>2026-10-13 02:15:33.302 UTC</t>
  </si>
  <si>
    <t>币种2条；小数位数字左对齐；币种与汇率分别为对象按钮</t>
  </si>
  <si>
    <t>https://localhost/pcs/system-config/master-data?group=finance&amp;resource=currency</t>
  </si>
  <si>
    <t>currency-list.jpg</t>
  </si>
  <si>
    <t>P07</t>
  </si>
  <si>
    <t>2026-10-13 02:15:33.787 UTC</t>
  </si>
  <si>
    <t>币种编辑有ISO4217、名称、符号、小数位等；与汇率区间表单不同</t>
  </si>
  <si>
    <t>currency-edit.jpg</t>
  </si>
  <si>
    <t>P08</t>
  </si>
  <si>
    <t>2026-10-13 02:16:19.265 UTC</t>
  </si>
  <si>
    <t>倍率显示7.20000000；自然日区间；页面提示已生效记录结束旧区间并新增，不提供普通删除</t>
  </si>
  <si>
    <t>https://localhost/pcs/system-config/master-data?group=finance&amp;resource=exchange_rate</t>
  </si>
  <si>
    <t>rate-list.jpg</t>
  </si>
  <si>
    <t>P09</t>
  </si>
  <si>
    <t>2026-10-13 02:16:19.734 UTC</t>
  </si>
  <si>
    <t>已生效汇率编辑：源币种/目标币种/倍率/生效日期disabled，实际可编辑结束日期与状态；版本新增完整流未确认。</t>
  </si>
  <si>
    <t>rate-edit.jpg</t>
  </si>
  <si>
    <t>P10</t>
  </si>
  <si>
    <t>2026-10-13 02:16:20.546 UTC</t>
  </si>
  <si>
    <t>新增汇率与编辑汇率字段可用状态不同；本轮未提交保存</t>
  </si>
  <si>
    <t>https://localhost/pcs/system-config/master-data?group=finance&amp;resource=exchange_rate&amp;create=1</t>
  </si>
  <si>
    <t>rate-create.jpg</t>
  </si>
  <si>
    <t>P11</t>
  </si>
  <si>
    <t>2026-10-13 02:20:34.152 UTC</t>
  </si>
  <si>
    <t>业务字典当前可见五个对象切换按钮；航空公司列表。</t>
  </si>
  <si>
    <t>https://localhost/pcs/system-config/master-data?group=dictionary&amp;resource=airline</t>
  </si>
  <si>
    <t>dictionary-airline.jpg</t>
  </si>
  <si>
    <t>P12</t>
  </si>
  <si>
    <t>2026-10-13 02:20:50.412 UTC</t>
  </si>
  <si>
    <t>航空公司编辑：IATA编码只读，ICAO/名称/英文名/国家可编辑；对象专用字段。</t>
  </si>
  <si>
    <t>airline-edit.jpg</t>
  </si>
  <si>
    <t>P13</t>
  </si>
  <si>
    <t>2026-10-13 02:21:31.100 UTC</t>
  </si>
  <si>
    <t>运输方式列表编码/名称/状态；与航空公司不同列。</t>
  </si>
  <si>
    <t>https://localhost/pcs/system-config/master-data?group=dictionary&amp;resource=transport_mode</t>
  </si>
  <si>
    <t>dictionary-transport.jpg</t>
  </si>
  <si>
    <t>P14</t>
  </si>
  <si>
    <t>2026-10-13 02:21:52.962 UTC</t>
  </si>
  <si>
    <t>运输方式编辑：编码只读、名称与状态；无航空ICAO/国家字段。</t>
  </si>
  <si>
    <t>transport-edit.jpg</t>
  </si>
  <si>
    <t>P15</t>
  </si>
  <si>
    <t>2026-10-13 02:22:37.709 UTC</t>
  </si>
  <si>
    <t>货物类型列表，不等同于W2可接货型配置。</t>
  </si>
  <si>
    <t>https://localhost/pcs/system-config/master-data?group=dictionary&amp;resource=cargo_type</t>
  </si>
  <si>
    <t>dictionary-cargo.jpg</t>
  </si>
  <si>
    <t>P16</t>
  </si>
  <si>
    <t>2026-10-13 02:23:03.313 UTC</t>
  </si>
  <si>
    <t>货物类型编辑：编码只读、名称、说明（界面500计数）、状态；500是现状，不能当所有字段合同。</t>
  </si>
  <si>
    <t>cargo-edit.jpg</t>
  </si>
  <si>
    <t>P17</t>
  </si>
  <si>
    <t>2026-10-13 02:23:13.527 UTC</t>
  </si>
  <si>
    <t>包装类型列表已加载，与前一货物类型页面数据分离。</t>
  </si>
  <si>
    <t>https://localhost/pcs/system-config/master-data?group=dictionary&amp;resource=packaging_type</t>
  </si>
  <si>
    <t>dictionary-package.jpg</t>
  </si>
  <si>
    <t>P18</t>
  </si>
  <si>
    <t>2026-10-13 02:28:53.138 UTC</t>
  </si>
  <si>
    <t>包装类型编辑：编码只读、名称、说明500计数、状态。</t>
  </si>
  <si>
    <t>package-edit.jpg</t>
  </si>
  <si>
    <t>P19</t>
  </si>
  <si>
    <t>2026-10-13 02:29:35.717 UTC</t>
  </si>
  <si>
    <t>监管方式列表编码/名称/说明/状态。</t>
  </si>
  <si>
    <t>https://localhost/pcs/system-config/master-data?group=dictionary&amp;resource=supervision_mode</t>
  </si>
  <si>
    <t>dictionary-supervision.jpg</t>
  </si>
  <si>
    <t>P20</t>
  </si>
  <si>
    <t>2026-10-13 02:29:48.377 UTC</t>
  </si>
  <si>
    <t>监管方式编辑：编码只读、名称、说明500计数、状态；五类编辑均仅打开后取消。</t>
  </si>
  <si>
    <t>supervision-edit.jpg</t>
  </si>
  <si>
    <t>P01  当前账号菜单仅系统配置/基础配置；费用项1条</t>
  </si>
  <si>
    <t>P02  无匹配搜索仍显示暂无费用项数据；有新增费用项入口</t>
  </si>
  <si>
    <t>P03  费用项编辑字段使用分组编码与默认币种文本输入；编码禁用</t>
  </si>
  <si>
    <t>P04  临时名称修改取消后重开仍为运费，未保存业务数据</t>
  </si>
  <si>
    <t>P05  新增费用项为弹窗，URL含create=1；取消无需业务写入</t>
  </si>
  <si>
    <t>P06  币种2条；小数位数字左对齐；币种与汇率分别为对象按钮</t>
  </si>
  <si>
    <t>P07  币种编辑有ISO4217、名称、符号、小数位等；与汇率区间表单不同</t>
  </si>
  <si>
    <t>P08  倍率显示7.20000000；自然日区间；页面提示已生效记录结束旧区间并新增，不提供普通删除</t>
  </si>
  <si>
    <t>P09  已生效汇率编辑：源币种/目标币种/倍率/生效日期disabled，实际可编辑结束日期与状态；版本新增完整流未确认。</t>
  </si>
  <si>
    <t>P10  新增汇率与编辑汇率字段可用状态不同；本轮未提交保存</t>
  </si>
  <si>
    <t>P11  业务字典当前可见五个对象切换按钮；航空公司列表。</t>
  </si>
  <si>
    <t>P12  航空公司编辑：IATA编码只读，ICAO/名称/英文名/国家可编辑；对象专用字段。</t>
  </si>
  <si>
    <t>P13  运输方式列表编码/名称/状态；与航空公司不同列。</t>
  </si>
  <si>
    <t>P14  运输方式编辑：编码只读、名称与状态；无航空ICAO/国家字段。</t>
  </si>
  <si>
    <t>P15  货物类型列表，不等同于W2可接货型配置。</t>
  </si>
  <si>
    <t>P16  货物类型编辑：编码只读、名称、说明（界面500计数）、状态；500是现状，不能当所有字段合同。</t>
  </si>
  <si>
    <t>P17  包装类型列表已加载，与前一货物类型页面数据分离。</t>
  </si>
  <si>
    <t>P18  包装类型编辑：编码只读、名称、说明500计数、状态。</t>
  </si>
  <si>
    <t>P19  监管方式列表编码/名称/说明/状态。</t>
  </si>
  <si>
    <t>P20  监管方式编辑：编码只读、名称、说明500计数、状态；五类编辑均仅打开后取消。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</si>
</sst>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5"/>
      <color rgb="FF243247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43247"/>
      <name val="Microsoft YaHei"/>
      <charset val="134"/>
    </font>
    <font>
      <b/>
      <sz val="11"/>
      <color rgb="FF243247"/>
      <name val="Microsoft YaHei"/>
      <charset val="134"/>
    </font>
    <font>
      <sz val="10"/>
      <color rgb="FF53687D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4D79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5" fillId="0" borderId="0" xfId="49" applyNumberFormat="1" applyFont="1" applyFill="1" applyBorder="1"/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2" fillId="2" borderId="3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right" vertical="top" wrapText="1"/>
    </xf>
    <xf numFmtId="0" fontId="3" fillId="3" borderId="0" xfId="49" applyNumberFormat="1" applyFont="1" applyFill="1" applyBorder="1" applyAlignment="1">
      <alignment vertical="top" wrapText="1"/>
    </xf>
    <xf numFmtId="0" fontId="6" fillId="0" borderId="0" xfId="49" applyNumberFormat="1" applyFont="1" applyFill="1" applyBorder="1"/>
    <xf numFmtId="0" fontId="3" fillId="0" borderId="0" xfId="49" applyNumberFormat="1" applyFont="1" applyFill="1" applyBorder="1" applyAlignment="1">
      <alignment vertical="center"/>
    </xf>
    <xf numFmtId="0" fontId="7" fillId="0" borderId="0" xfId="49" applyNumberFormat="1" applyFont="1" applyFill="1" applyBorder="1"/>
    <xf numFmtId="0" fontId="3" fillId="0" borderId="0" xfId="49" applyNumberFormat="1" applyFont="1" applyFill="1" applyBorder="1" applyAlignment="1">
      <alignment wrapText="1"/>
    </xf>
    <xf numFmtId="0" fontId="8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color rgb="FF285846"/>
      </font>
      <fill>
        <patternFill patternType="solid">
          <bgColor rgb="FFE5F4ED"/>
        </patternFill>
      </fill>
    </dxf>
    <dxf>
      <font>
        <color rgb="FF9A382E"/>
      </font>
      <fill>
        <patternFill patternType="solid">
          <bgColor rgb="FFFBE5E2"/>
        </patternFill>
      </fill>
    </dxf>
    <dxf>
      <font>
        <color rgb="FF285846"/>
      </font>
      <fill>
        <patternFill patternType="solid">
          <bgColor rgb="FFE5F4ED"/>
        </patternFill>
      </fill>
    </dxf>
    <dxf>
      <font>
        <color rgb="FF9A382E"/>
      </font>
      <fill>
        <patternFill patternType="solid">
          <bgColor rgb="FFFBE5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WeekCadence" displayName="WeekCadence" ref="A8:B13" totalsRowShown="0">
  <tableColumns count="2">
    <tableColumn id="1" name="时间/任务"/>
    <tableColumn id="2" name="本周要做的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FrontendFacts" displayName="FrontendFacts" ref="A16:C23" totalsRowShown="0">
  <tableColumns count="3">
    <tableColumn id="1" name="特点"/>
    <tableColumn id="2" name="当前证据/边界"/>
    <tableColumn id="3" name="用例重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FixtureGuide" displayName="FixtureGuide" ref="A26:C31" totalsRowShown="0">
  <tableColumns count="3">
    <tableColumn id="1" name="样本"/>
    <tableColumn id="2" name="类型"/>
    <tableColumn id="3" name="准备内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9" name="CaseSources" displayName="CaseSources" ref="A34:D41" totalsRowShown="0">
  <tableColumns count="4">
    <tableColumn id="1" name="编号"/>
    <tableColumn id="2" name="来源"/>
    <tableColumn id="3" name="版本/读取边界"/>
    <tableColumn id="4" name="链接或定位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0" name="ReauditActions" displayName="ReauditActions" ref="A45:C50" totalsRowShown="0">
  <tableColumns count="3">
    <tableColumn id="1" name="调整"/>
    <tableColumn id="2" name="范围/结论"/>
    <tableColumn id="3" name="落到用例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FrontendCases" displayName="FrontendCases" ref="A5:S110" totalsRowShown="0">
  <tableColumns count="19">
    <tableColumn id="1" name="编号"/>
    <tableColumn id="2" name="建议安排"/>
    <tableColumn id="3" name="模块/组件"/>
    <tableColumn id="4" name="工作包范围"/>
    <tableColumn id="5" name="具体场景"/>
    <tableColumn id="6" name="建议顺序"/>
    <tableColumn id="7" name="前置与测试数据"/>
    <tableColumn id="8" name="入口与操作步骤"/>
    <tableColumn id="9" name="预期可观察结果"/>
    <tableColumn id="10" name="依据与适用边界"/>
    <tableColumn id="11" name="评审结论"/>
    <tableColumn id="12" name="开发自测"/>
    <tableColumn id="13" name="提测复核"/>
    <tableColumn id="14" name="开发角色/Build/证据"/>
    <tableColumn id="15" name="复核角色/Build/证据"/>
    <tableColumn id="16" name="关联旧用例"/>
    <tableColumn id="17" name="当前记录提示"/>
    <tableColumn id="18" name="本轮页面观察/执行条件"/>
    <tableColumn id="19" name="执行粒度/去重边界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PackageMapping" displayName="PackageMapping" ref="A5:P43" totalsRowShown="0">
  <tableColumns count="16">
    <tableColumn id="1" name="排期序号"/>
    <tableColumn id="2" name="源表行号"/>
    <tableColumn id="3" name="二级目录"/>
    <tableColumn id="4" name="工作包"/>
    <tableColumn id="5" name="本周节奏"/>
    <tableColumn id="6" name="原来源"/>
    <tableColumn id="7" name="产品"/>
    <tableColumn id="8" name="开发"/>
    <tableColumn id="9" name="测试"/>
    <tableColumn id="10" name="设计准出用例"/>
    <tableColumn id="11" name="适用组件用例"/>
    <tableColumn id="12" name="本包专项"/>
    <tableColumn id="13" name="上一版周用例"/>
    <tableColumn id="14" name="未补齐条件/原备注"/>
    <tableColumn id="15" name="本轮入口观察"/>
    <tableColumn id="16" name="本包主要未补齐条件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1" name="CaseReaudit" displayName="CaseReaudit" ref="A5:G110" totalsRowShown="0">
  <tableColumns count="7">
    <tableColumn id="1" name="用例"/>
    <tableColumn id="2" name="处理"/>
    <tableColumn id="3" name="原包范围"/>
    <tableColumn id="4" name="修订后包范围"/>
    <tableColumn id="5" name="复核理由"/>
    <tableColumn id="6" name="来源/规则定位"/>
    <tableColumn id="7" name="当前页面观察及未执行边界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PageEvidenceIndex" displayName="PageEvidenceIndex" ref="A114:E134" totalsRowShown="0">
  <tableColumns count="5">
    <tableColumn id="1" name="证据ID"/>
    <tableColumn id="2" name="采证UTC时间"/>
    <tableColumn id="3" name="观察（非业务通过）"/>
    <tableColumn id="4" name="当时页面URL"/>
    <tableColumn id="5" name="截图文件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D79"/>
  </sheetPr>
  <dimension ref="A2:H55"/>
  <sheetViews>
    <sheetView showGridLines="0" topLeftCell="A47" workbookViewId="0">
      <selection activeCell="A1" sqref="A1"/>
    </sheetView>
  </sheetViews>
  <sheetFormatPr defaultColWidth="9" defaultRowHeight="15" outlineLevelCol="7"/>
  <cols>
    <col min="1" max="1" width="34" customWidth="1"/>
    <col min="2" max="2" width="114" customWidth="1"/>
    <col min="3" max="3" width="85" customWidth="1"/>
    <col min="4" max="4" width="94" customWidth="1"/>
    <col min="5" max="8" width="22" customWidth="1"/>
  </cols>
  <sheetData>
    <row r="2" ht="29" customHeight="1" spans="1:8">
      <c r="A2" s="1" t="s">
        <v>0</v>
      </c>
      <c r="B2" s="11"/>
      <c r="C2" s="11"/>
      <c r="D2" s="11"/>
      <c r="E2" s="11"/>
      <c r="F2" s="11"/>
      <c r="G2" s="11"/>
      <c r="H2" s="11"/>
    </row>
    <row r="3" ht="16.5" spans="1:8">
      <c r="A3" s="11"/>
      <c r="B3" s="11"/>
      <c r="C3" s="11"/>
      <c r="D3" s="11"/>
      <c r="E3" s="11"/>
      <c r="F3" s="11"/>
      <c r="G3" s="11"/>
      <c r="H3" s="11"/>
    </row>
    <row r="4" ht="27" customHeight="1" spans="1:8">
      <c r="A4" s="12" t="s">
        <v>1</v>
      </c>
      <c r="B4" s="12">
        <f>COUNTA(前端用例!A6:A110)</f>
        <v>105</v>
      </c>
      <c r="C4" s="12" t="s">
        <v>2</v>
      </c>
      <c r="D4" s="12">
        <f>COUNTA(工作包对应!A6:A43)</f>
        <v>38</v>
      </c>
      <c r="E4" s="12" t="s">
        <v>3</v>
      </c>
      <c r="F4" s="12">
        <f>COUNTIFS(前端用例!Q6:Q110,"待评审/依据")</f>
        <v>105</v>
      </c>
      <c r="G4" s="12" t="s">
        <v>4</v>
      </c>
      <c r="H4" s="12">
        <f>COUNTIFS(前端用例!Q6:Q110,"本轮复核通过")</f>
        <v>0</v>
      </c>
    </row>
    <row r="5" ht="16.5" spans="1:8">
      <c r="A5" s="11"/>
      <c r="B5" s="11"/>
      <c r="C5" s="11"/>
      <c r="D5" s="11"/>
      <c r="E5" s="11"/>
      <c r="F5" s="11"/>
      <c r="G5" s="11"/>
      <c r="H5" s="11"/>
    </row>
    <row r="6" ht="16.5" spans="1:8">
      <c r="A6" s="5" t="s">
        <v>5</v>
      </c>
      <c r="B6" s="11"/>
      <c r="C6" s="11"/>
      <c r="D6" s="11"/>
      <c r="E6" s="11"/>
      <c r="F6" s="11"/>
      <c r="G6" s="11"/>
      <c r="H6" s="11"/>
    </row>
    <row r="7" ht="16.5" spans="1:8">
      <c r="A7" s="11"/>
      <c r="B7" s="11"/>
      <c r="C7" s="11"/>
      <c r="D7" s="11"/>
      <c r="E7" s="11"/>
      <c r="F7" s="11"/>
      <c r="G7" s="11"/>
      <c r="H7" s="11"/>
    </row>
    <row r="8" ht="36" customHeight="1" spans="1:8">
      <c r="A8" s="6" t="s">
        <v>6</v>
      </c>
      <c r="B8" s="8" t="s">
        <v>7</v>
      </c>
      <c r="C8" s="11"/>
      <c r="D8" s="11"/>
      <c r="E8" s="11"/>
      <c r="F8" s="11"/>
      <c r="G8" s="11"/>
      <c r="H8" s="11"/>
    </row>
    <row r="9" ht="46" customHeight="1" spans="1:8">
      <c r="A9" s="3" t="s">
        <v>8</v>
      </c>
      <c r="B9" s="3" t="s">
        <v>9</v>
      </c>
      <c r="C9" s="11"/>
      <c r="D9" s="11"/>
      <c r="E9" s="11"/>
      <c r="F9" s="11"/>
      <c r="G9" s="11"/>
      <c r="H9" s="11"/>
    </row>
    <row r="10" ht="46" customHeight="1" spans="1:8">
      <c r="A10" s="3" t="s">
        <v>10</v>
      </c>
      <c r="B10" s="3" t="s">
        <v>11</v>
      </c>
      <c r="C10" s="11"/>
      <c r="D10" s="11"/>
      <c r="E10" s="11"/>
      <c r="F10" s="11"/>
      <c r="G10" s="11"/>
      <c r="H10" s="11"/>
    </row>
    <row r="11" ht="46" customHeight="1" spans="1:8">
      <c r="A11" s="3" t="s">
        <v>12</v>
      </c>
      <c r="B11" s="3" t="s">
        <v>13</v>
      </c>
      <c r="C11" s="11"/>
      <c r="D11" s="11"/>
      <c r="E11" s="11"/>
      <c r="F11" s="11"/>
      <c r="G11" s="11"/>
      <c r="H11" s="11"/>
    </row>
    <row r="12" ht="46" customHeight="1" spans="1:8">
      <c r="A12" s="3" t="s">
        <v>14</v>
      </c>
      <c r="B12" s="3" t="s">
        <v>15</v>
      </c>
      <c r="C12" s="11"/>
      <c r="D12" s="11"/>
      <c r="E12" s="11"/>
      <c r="F12" s="11"/>
      <c r="G12" s="11"/>
      <c r="H12" s="11"/>
    </row>
    <row r="13" ht="46" customHeight="1" spans="1:8">
      <c r="A13" s="3" t="s">
        <v>16</v>
      </c>
      <c r="B13" s="3" t="s">
        <v>17</v>
      </c>
      <c r="C13" s="11"/>
      <c r="D13" s="11"/>
      <c r="E13" s="11"/>
      <c r="F13" s="11"/>
      <c r="G13" s="11"/>
      <c r="H13" s="11"/>
    </row>
    <row r="14" ht="16.5" spans="1:8">
      <c r="A14" s="11"/>
      <c r="B14" s="11"/>
      <c r="C14" s="11"/>
      <c r="D14" s="11"/>
      <c r="E14" s="11"/>
      <c r="F14" s="11"/>
      <c r="G14" s="11"/>
      <c r="H14" s="11"/>
    </row>
    <row r="15" ht="16.5" spans="1:8">
      <c r="A15" s="13" t="s">
        <v>18</v>
      </c>
      <c r="B15" s="11"/>
      <c r="C15" s="11"/>
      <c r="D15" s="11"/>
      <c r="E15" s="11"/>
      <c r="F15" s="11"/>
      <c r="G15" s="11"/>
      <c r="H15" s="11"/>
    </row>
    <row r="16" ht="36" customHeight="1" spans="1:8">
      <c r="A16" s="6" t="s">
        <v>19</v>
      </c>
      <c r="B16" s="7" t="s">
        <v>20</v>
      </c>
      <c r="C16" s="8" t="s">
        <v>21</v>
      </c>
      <c r="D16" s="11"/>
      <c r="E16" s="11"/>
      <c r="F16" s="11"/>
      <c r="G16" s="11"/>
      <c r="H16" s="11"/>
    </row>
    <row r="17" ht="46" customHeight="1" spans="1:8">
      <c r="A17" s="3" t="s">
        <v>22</v>
      </c>
      <c r="B17" s="3" t="s">
        <v>23</v>
      </c>
      <c r="C17" s="3" t="s">
        <v>24</v>
      </c>
      <c r="D17" s="11"/>
      <c r="E17" s="11"/>
      <c r="F17" s="11"/>
      <c r="G17" s="11"/>
      <c r="H17" s="11"/>
    </row>
    <row r="18" ht="46" customHeight="1" spans="1:8">
      <c r="A18" s="3" t="s">
        <v>25</v>
      </c>
      <c r="B18" s="3" t="s">
        <v>26</v>
      </c>
      <c r="C18" s="3" t="s">
        <v>27</v>
      </c>
      <c r="D18" s="11"/>
      <c r="E18" s="11"/>
      <c r="F18" s="11"/>
      <c r="G18" s="11"/>
      <c r="H18" s="11"/>
    </row>
    <row r="19" ht="46" customHeight="1" spans="1:8">
      <c r="A19" s="3" t="s">
        <v>28</v>
      </c>
      <c r="B19" s="3" t="s">
        <v>29</v>
      </c>
      <c r="C19" s="3" t="s">
        <v>30</v>
      </c>
      <c r="D19" s="11"/>
      <c r="E19" s="11"/>
      <c r="F19" s="11"/>
      <c r="G19" s="11"/>
      <c r="H19" s="11"/>
    </row>
    <row r="20" ht="46" customHeight="1" spans="1:8">
      <c r="A20" s="3" t="s">
        <v>31</v>
      </c>
      <c r="B20" s="3" t="s">
        <v>32</v>
      </c>
      <c r="C20" s="3" t="s">
        <v>33</v>
      </c>
      <c r="D20" s="11"/>
      <c r="E20" s="11"/>
      <c r="F20" s="11"/>
      <c r="G20" s="11"/>
      <c r="H20" s="11"/>
    </row>
    <row r="21" ht="46" customHeight="1" spans="1:8">
      <c r="A21" s="3" t="s">
        <v>34</v>
      </c>
      <c r="B21" s="3" t="s">
        <v>35</v>
      </c>
      <c r="C21" s="3" t="s">
        <v>36</v>
      </c>
      <c r="D21" s="11"/>
      <c r="E21" s="11"/>
      <c r="F21" s="11"/>
      <c r="G21" s="11"/>
      <c r="H21" s="11"/>
    </row>
    <row r="22" ht="46" customHeight="1" spans="1:8">
      <c r="A22" s="3" t="s">
        <v>37</v>
      </c>
      <c r="B22" s="3" t="s">
        <v>38</v>
      </c>
      <c r="C22" s="3" t="s">
        <v>39</v>
      </c>
      <c r="D22" s="11"/>
      <c r="E22" s="11"/>
      <c r="F22" s="11"/>
      <c r="G22" s="11"/>
      <c r="H22" s="11"/>
    </row>
    <row r="23" ht="46" customHeight="1" spans="1:8">
      <c r="A23" s="3" t="s">
        <v>40</v>
      </c>
      <c r="B23" s="3" t="s">
        <v>41</v>
      </c>
      <c r="C23" s="3" t="s">
        <v>42</v>
      </c>
      <c r="D23" s="11"/>
      <c r="E23" s="11"/>
      <c r="F23" s="11"/>
      <c r="G23" s="11"/>
      <c r="H23" s="11"/>
    </row>
    <row r="24" ht="16.5" spans="1:8">
      <c r="A24" s="11"/>
      <c r="B24" s="11"/>
      <c r="C24" s="11"/>
      <c r="D24" s="11"/>
      <c r="E24" s="11"/>
      <c r="F24" s="11"/>
      <c r="G24" s="11"/>
      <c r="H24" s="11"/>
    </row>
    <row r="25" ht="16.5" spans="1:8">
      <c r="A25" s="13" t="s">
        <v>43</v>
      </c>
      <c r="B25" s="11"/>
      <c r="C25" s="11"/>
      <c r="D25" s="11"/>
      <c r="E25" s="11"/>
      <c r="F25" s="11"/>
      <c r="G25" s="11"/>
      <c r="H25" s="11"/>
    </row>
    <row r="26" ht="36" customHeight="1" spans="1:8">
      <c r="A26" s="6" t="s">
        <v>44</v>
      </c>
      <c r="B26" s="7" t="s">
        <v>45</v>
      </c>
      <c r="C26" s="8" t="s">
        <v>46</v>
      </c>
      <c r="D26" s="11"/>
      <c r="E26" s="11"/>
      <c r="F26" s="11"/>
      <c r="G26" s="11"/>
      <c r="H26" s="11"/>
    </row>
    <row r="27" ht="46" customHeight="1" spans="1:8">
      <c r="A27" s="3" t="s">
        <v>47</v>
      </c>
      <c r="B27" s="3" t="s">
        <v>48</v>
      </c>
      <c r="C27" s="3" t="s">
        <v>49</v>
      </c>
      <c r="D27" s="11"/>
      <c r="E27" s="11"/>
      <c r="F27" s="11"/>
      <c r="G27" s="11"/>
      <c r="H27" s="11"/>
    </row>
    <row r="28" ht="46" customHeight="1" spans="1:8">
      <c r="A28" s="3" t="s">
        <v>50</v>
      </c>
      <c r="B28" s="3" t="s">
        <v>51</v>
      </c>
      <c r="C28" s="3" t="s">
        <v>52</v>
      </c>
      <c r="D28" s="11"/>
      <c r="E28" s="11"/>
      <c r="F28" s="11"/>
      <c r="G28" s="11"/>
      <c r="H28" s="11"/>
    </row>
    <row r="29" ht="46" customHeight="1" spans="1:8">
      <c r="A29" s="3" t="s">
        <v>53</v>
      </c>
      <c r="B29" s="3" t="s">
        <v>54</v>
      </c>
      <c r="C29" s="3" t="s">
        <v>55</v>
      </c>
      <c r="D29" s="11"/>
      <c r="E29" s="11"/>
      <c r="F29" s="11"/>
      <c r="G29" s="11"/>
      <c r="H29" s="11"/>
    </row>
    <row r="30" ht="46" customHeight="1" spans="1:8">
      <c r="A30" s="3" t="s">
        <v>56</v>
      </c>
      <c r="B30" s="3" t="s">
        <v>57</v>
      </c>
      <c r="C30" s="3" t="s">
        <v>58</v>
      </c>
      <c r="D30" s="11"/>
      <c r="E30" s="11"/>
      <c r="F30" s="11"/>
      <c r="G30" s="11"/>
      <c r="H30" s="11"/>
    </row>
    <row r="31" ht="46" customHeight="1" spans="1:8">
      <c r="A31" s="3" t="s">
        <v>59</v>
      </c>
      <c r="B31" s="3" t="s">
        <v>60</v>
      </c>
      <c r="C31" s="3" t="s">
        <v>61</v>
      </c>
      <c r="D31" s="11"/>
      <c r="E31" s="11"/>
      <c r="F31" s="11"/>
      <c r="G31" s="11"/>
      <c r="H31" s="11"/>
    </row>
    <row r="32" ht="16.5" spans="1:8">
      <c r="A32" s="11"/>
      <c r="B32" s="11"/>
      <c r="C32" s="11"/>
      <c r="D32" s="11"/>
      <c r="E32" s="11"/>
      <c r="F32" s="11"/>
      <c r="G32" s="11"/>
      <c r="H32" s="11"/>
    </row>
    <row r="33" ht="16.5" spans="1:8">
      <c r="A33" s="13" t="s">
        <v>62</v>
      </c>
      <c r="B33" s="11"/>
      <c r="C33" s="11"/>
      <c r="D33" s="11"/>
      <c r="E33" s="11"/>
      <c r="F33" s="11"/>
      <c r="G33" s="11"/>
      <c r="H33" s="11"/>
    </row>
    <row r="34" ht="36" customHeight="1" spans="1:8">
      <c r="A34" s="6" t="s">
        <v>63</v>
      </c>
      <c r="B34" s="7" t="s">
        <v>64</v>
      </c>
      <c r="C34" s="7" t="s">
        <v>65</v>
      </c>
      <c r="D34" s="8" t="s">
        <v>66</v>
      </c>
      <c r="E34" s="11"/>
      <c r="F34" s="11"/>
      <c r="G34" s="11"/>
      <c r="H34" s="11"/>
    </row>
    <row r="35" ht="46" customHeight="1" spans="1:8">
      <c r="A35" s="3" t="s">
        <v>67</v>
      </c>
      <c r="B35" s="3" t="s">
        <v>68</v>
      </c>
      <c r="C35" s="3" t="s">
        <v>69</v>
      </c>
      <c r="D35" s="3" t="s">
        <v>70</v>
      </c>
      <c r="E35" s="11"/>
      <c r="F35" s="11"/>
      <c r="G35" s="11"/>
      <c r="H35" s="11"/>
    </row>
    <row r="36" ht="46" customHeight="1" spans="1:8">
      <c r="A36" s="3" t="s">
        <v>71</v>
      </c>
      <c r="B36" s="3" t="s">
        <v>72</v>
      </c>
      <c r="C36" s="3" t="s">
        <v>73</v>
      </c>
      <c r="D36" s="3" t="s">
        <v>74</v>
      </c>
      <c r="E36" s="11"/>
      <c r="F36" s="11"/>
      <c r="G36" s="11"/>
      <c r="H36" s="11"/>
    </row>
    <row r="37" ht="46" customHeight="1" spans="1:8">
      <c r="A37" s="3" t="s">
        <v>75</v>
      </c>
      <c r="B37" s="3" t="s">
        <v>76</v>
      </c>
      <c r="C37" s="3" t="s">
        <v>77</v>
      </c>
      <c r="D37" s="3" t="s">
        <v>78</v>
      </c>
      <c r="E37" s="11"/>
      <c r="F37" s="11"/>
      <c r="G37" s="11"/>
      <c r="H37" s="11"/>
    </row>
    <row r="38" ht="46" customHeight="1" spans="1:8">
      <c r="A38" s="3" t="s">
        <v>79</v>
      </c>
      <c r="B38" s="3" t="s">
        <v>80</v>
      </c>
      <c r="C38" s="3" t="s">
        <v>81</v>
      </c>
      <c r="D38" s="3" t="s">
        <v>82</v>
      </c>
      <c r="E38" s="11"/>
      <c r="F38" s="11"/>
      <c r="G38" s="11"/>
      <c r="H38" s="11"/>
    </row>
    <row r="39" ht="46" customHeight="1" spans="1:8">
      <c r="A39" s="3" t="s">
        <v>83</v>
      </c>
      <c r="B39" s="3" t="s">
        <v>84</v>
      </c>
      <c r="C39" s="3" t="s">
        <v>85</v>
      </c>
      <c r="D39" s="3" t="s">
        <v>86</v>
      </c>
      <c r="E39" s="11"/>
      <c r="F39" s="11"/>
      <c r="G39" s="11"/>
      <c r="H39" s="11"/>
    </row>
    <row r="40" ht="46" customHeight="1" spans="1:8">
      <c r="A40" s="14" t="s">
        <v>87</v>
      </c>
      <c r="B40" s="14" t="s">
        <v>88</v>
      </c>
      <c r="C40" s="14" t="s">
        <v>89</v>
      </c>
      <c r="D40" s="14" t="s">
        <v>90</v>
      </c>
    </row>
    <row r="41" ht="46" customHeight="1" spans="1:8">
      <c r="A41" s="14" t="s">
        <v>91</v>
      </c>
      <c r="B41" s="14" t="s">
        <v>92</v>
      </c>
      <c r="C41" s="14" t="s">
        <v>93</v>
      </c>
      <c r="D41" s="14" t="s">
        <v>94</v>
      </c>
    </row>
    <row r="44" spans="1:8">
      <c r="A44" s="15" t="s">
        <v>95</v>
      </c>
    </row>
    <row r="45" ht="36" customHeight="1" spans="1:8">
      <c r="A45" s="2" t="s">
        <v>96</v>
      </c>
      <c r="B45" s="2" t="s">
        <v>97</v>
      </c>
      <c r="C45" s="2" t="s">
        <v>98</v>
      </c>
    </row>
    <row r="46" ht="46" customHeight="1" spans="1:8">
      <c r="A46" s="3" t="s">
        <v>99</v>
      </c>
      <c r="B46" s="3" t="s">
        <v>100</v>
      </c>
      <c r="C46" s="3" t="s">
        <v>101</v>
      </c>
    </row>
    <row r="47" ht="46" customHeight="1" spans="1:8">
      <c r="A47" s="3" t="s">
        <v>102</v>
      </c>
      <c r="B47" s="3" t="s">
        <v>103</v>
      </c>
      <c r="C47" s="3" t="s">
        <v>104</v>
      </c>
    </row>
    <row r="48" ht="46" customHeight="1" spans="1:8">
      <c r="A48" s="3" t="s">
        <v>105</v>
      </c>
      <c r="B48" s="3" t="s">
        <v>106</v>
      </c>
      <c r="C48" s="3" t="s">
        <v>107</v>
      </c>
    </row>
    <row r="49" ht="46" customHeight="1" spans="1:3">
      <c r="A49" s="3" t="s">
        <v>108</v>
      </c>
      <c r="B49" s="3" t="s">
        <v>109</v>
      </c>
      <c r="C49" s="3" t="s">
        <v>110</v>
      </c>
    </row>
    <row r="50" ht="46" customHeight="1" spans="1:3">
      <c r="A50" s="3" t="s">
        <v>111</v>
      </c>
      <c r="B50" s="3" t="s">
        <v>112</v>
      </c>
      <c r="C50" s="3" t="s">
        <v>113</v>
      </c>
    </row>
    <row r="52" spans="1:3">
      <c r="A52" s="15" t="s">
        <v>114</v>
      </c>
    </row>
    <row r="53" ht="45" customHeight="1" spans="1:3">
      <c r="A53" s="3" t="s">
        <v>115</v>
      </c>
      <c r="B53" s="3" t="s">
        <v>116</v>
      </c>
      <c r="C53" s="3" t="s">
        <v>117</v>
      </c>
    </row>
    <row r="54" ht="45" customHeight="1" spans="1:3">
      <c r="A54" s="3" t="s">
        <v>118</v>
      </c>
      <c r="B54" s="3" t="s">
        <v>119</v>
      </c>
      <c r="C54" s="3" t="s">
        <v>120</v>
      </c>
    </row>
    <row r="55" ht="45" customHeight="1" spans="1:3">
      <c r="A55" s="3" t="s">
        <v>121</v>
      </c>
      <c r="B55" s="3" t="s">
        <v>122</v>
      </c>
      <c r="C55" s="3" t="s">
        <v>123</v>
      </c>
    </row>
  </sheetData>
  <pageMargins left="0.7" right="0.7" top="0.75" bottom="0.75" header="0.3" footer="0.3"/>
  <headerFooter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10"/>
  <sheetViews>
    <sheetView showGridLines="0" tabSelected="1" workbookViewId="0">
      <pane xSplit="2" ySplit="5" topLeftCell="C9" activePane="bottomRight" state="frozen"/>
      <selection/>
      <selection pane="topRight"/>
      <selection pane="bottomLeft"/>
      <selection pane="bottomRight" activeCell="C16" sqref="C16"/>
    </sheetView>
  </sheetViews>
  <sheetFormatPr defaultColWidth="9" defaultRowHeight="15"/>
  <cols>
    <col min="1" max="1" width="12" customWidth="1"/>
    <col min="2" max="2" width="27" customWidth="1"/>
    <col min="3" max="3" width="23" customWidth="1"/>
    <col min="4" max="4" width="21" customWidth="1"/>
    <col min="5" max="5" width="36" customWidth="1"/>
    <col min="6" max="6" width="13" customWidth="1"/>
    <col min="7" max="7" width="59" customWidth="1"/>
    <col min="8" max="8" width="68" customWidth="1"/>
    <col min="9" max="9" width="74" customWidth="1"/>
    <col min="10" max="10" width="70" customWidth="1"/>
    <col min="11" max="13" width="16" customWidth="1"/>
    <col min="14" max="15" width="43" customWidth="1"/>
    <col min="16" max="16" width="42" customWidth="1"/>
    <col min="17" max="17" width="26" customWidth="1"/>
    <col min="18" max="18" width="78" customWidth="1"/>
    <col min="19" max="19" width="40" customWidth="1"/>
  </cols>
  <sheetData>
    <row r="2" ht="29" customHeight="1" spans="1:19">
      <c r="A2" s="1" t="s">
        <v>124</v>
      </c>
    </row>
    <row r="3" ht="16.5" spans="1:19">
      <c r="A3" s="5" t="s">
        <v>125</v>
      </c>
    </row>
    <row r="5" ht="36" customHeight="1" spans="1:19">
      <c r="A5" s="6" t="s">
        <v>63</v>
      </c>
      <c r="B5" s="7" t="s">
        <v>126</v>
      </c>
      <c r="C5" s="7" t="s">
        <v>127</v>
      </c>
      <c r="D5" s="7" t="s">
        <v>128</v>
      </c>
      <c r="E5" s="7" t="s">
        <v>129</v>
      </c>
      <c r="F5" s="7" t="s">
        <v>130</v>
      </c>
      <c r="G5" s="7" t="s">
        <v>131</v>
      </c>
      <c r="H5" s="7" t="s">
        <v>132</v>
      </c>
      <c r="I5" s="7" t="s">
        <v>133</v>
      </c>
      <c r="J5" s="7" t="s">
        <v>134</v>
      </c>
      <c r="K5" s="7" t="s">
        <v>135</v>
      </c>
      <c r="L5" s="7" t="s">
        <v>136</v>
      </c>
      <c r="M5" s="7" t="s">
        <v>137</v>
      </c>
      <c r="N5" s="7" t="s">
        <v>138</v>
      </c>
      <c r="O5" s="7" t="s">
        <v>139</v>
      </c>
      <c r="P5" s="7" t="s">
        <v>140</v>
      </c>
      <c r="Q5" s="8" t="s">
        <v>141</v>
      </c>
      <c r="R5" s="2" t="s">
        <v>142</v>
      </c>
      <c r="S5" s="2" t="s">
        <v>143</v>
      </c>
    </row>
    <row r="6" ht="56" customHeight="1" spans="1:19">
      <c r="A6" s="3" t="s">
        <v>144</v>
      </c>
      <c r="B6" s="3" t="s">
        <v>145</v>
      </c>
      <c r="C6" s="3" t="s">
        <v>115</v>
      </c>
      <c r="D6" s="3" t="s">
        <v>146</v>
      </c>
      <c r="E6" s="3" t="s">
        <v>147</v>
      </c>
      <c r="F6" s="3" t="s">
        <v>148</v>
      </c>
      <c r="G6" s="3" t="s">
        <v>149</v>
      </c>
      <c r="H6" s="3" t="s">
        <v>150</v>
      </c>
      <c r="I6" s="3" t="s">
        <v>151</v>
      </c>
      <c r="J6" s="3" t="s">
        <v>152</v>
      </c>
      <c r="K6" s="10" t="s">
        <v>153</v>
      </c>
      <c r="L6" s="10" t="s">
        <v>154</v>
      </c>
      <c r="M6" s="10" t="s">
        <v>154</v>
      </c>
      <c r="N6" s="10" t="s">
        <v>155</v>
      </c>
      <c r="O6" s="10" t="s">
        <v>155</v>
      </c>
      <c r="P6" s="3" t="s">
        <v>155</v>
      </c>
      <c r="Q6" s="3" t="str">
        <f t="shared" ref="Q6:Q17" si="0">IF(K6="不纳入","不纳入",IF(K6="可执行","评审闭环","待评审/依据"))</f>
        <v>待评审/依据</v>
      </c>
      <c r="R6" s="3" t="s">
        <v>156</v>
      </c>
      <c r="S6" s="3" t="s">
        <v>157</v>
      </c>
    </row>
    <row r="7" ht="46" customHeight="1" spans="1:19">
      <c r="A7" s="3" t="s">
        <v>158</v>
      </c>
      <c r="B7" s="3" t="s">
        <v>145</v>
      </c>
      <c r="C7" s="3" t="s">
        <v>115</v>
      </c>
      <c r="D7" s="3" t="s">
        <v>159</v>
      </c>
      <c r="E7" s="3" t="s">
        <v>160</v>
      </c>
      <c r="F7" s="3" t="s">
        <v>148</v>
      </c>
      <c r="G7" s="3" t="s">
        <v>161</v>
      </c>
      <c r="H7" s="3" t="s">
        <v>162</v>
      </c>
      <c r="I7" s="3" t="s">
        <v>163</v>
      </c>
      <c r="J7" s="3" t="s">
        <v>164</v>
      </c>
      <c r="K7" s="10" t="s">
        <v>153</v>
      </c>
      <c r="L7" s="10" t="s">
        <v>154</v>
      </c>
      <c r="M7" s="10" t="s">
        <v>154</v>
      </c>
      <c r="N7" s="10" t="s">
        <v>155</v>
      </c>
      <c r="O7" s="10" t="s">
        <v>155</v>
      </c>
      <c r="P7" s="3" t="s">
        <v>155</v>
      </c>
      <c r="Q7" s="3" t="str">
        <f t="shared" si="0"/>
        <v>待评审/依据</v>
      </c>
      <c r="R7" s="3" t="s">
        <v>165</v>
      </c>
      <c r="S7" s="3" t="s">
        <v>157</v>
      </c>
    </row>
    <row r="8" ht="46" customHeight="1" spans="1:19">
      <c r="A8" s="3" t="s">
        <v>166</v>
      </c>
      <c r="B8" s="3" t="s">
        <v>145</v>
      </c>
      <c r="C8" s="3" t="s">
        <v>115</v>
      </c>
      <c r="D8" s="3" t="s">
        <v>167</v>
      </c>
      <c r="E8" s="3" t="s">
        <v>168</v>
      </c>
      <c r="F8" s="3" t="s">
        <v>148</v>
      </c>
      <c r="G8" s="3" t="s">
        <v>169</v>
      </c>
      <c r="H8" s="3" t="s">
        <v>170</v>
      </c>
      <c r="I8" s="3" t="s">
        <v>171</v>
      </c>
      <c r="J8" s="3" t="s">
        <v>172</v>
      </c>
      <c r="K8" s="10" t="s">
        <v>153</v>
      </c>
      <c r="L8" s="10" t="s">
        <v>154</v>
      </c>
      <c r="M8" s="10" t="s">
        <v>154</v>
      </c>
      <c r="N8" s="10" t="s">
        <v>155</v>
      </c>
      <c r="O8" s="10" t="s">
        <v>155</v>
      </c>
      <c r="P8" s="3" t="s">
        <v>155</v>
      </c>
      <c r="Q8" s="3" t="str">
        <f t="shared" si="0"/>
        <v>待评审/依据</v>
      </c>
      <c r="R8" s="3" t="s">
        <v>165</v>
      </c>
      <c r="S8" s="3" t="s">
        <v>157</v>
      </c>
    </row>
    <row r="9" ht="46" customHeight="1" spans="1:19">
      <c r="A9" s="3" t="s">
        <v>173</v>
      </c>
      <c r="B9" s="3" t="s">
        <v>145</v>
      </c>
      <c r="C9" s="3" t="s">
        <v>115</v>
      </c>
      <c r="D9" s="3" t="s">
        <v>174</v>
      </c>
      <c r="E9" s="3" t="s">
        <v>175</v>
      </c>
      <c r="F9" s="3" t="s">
        <v>148</v>
      </c>
      <c r="G9" s="3" t="s">
        <v>176</v>
      </c>
      <c r="H9" s="3" t="s">
        <v>177</v>
      </c>
      <c r="I9" s="3" t="s">
        <v>178</v>
      </c>
      <c r="J9" s="3" t="s">
        <v>179</v>
      </c>
      <c r="K9" s="10" t="s">
        <v>153</v>
      </c>
      <c r="L9" s="10" t="s">
        <v>154</v>
      </c>
      <c r="M9" s="10" t="s">
        <v>154</v>
      </c>
      <c r="N9" s="10" t="s">
        <v>155</v>
      </c>
      <c r="O9" s="10" t="s">
        <v>155</v>
      </c>
      <c r="P9" s="3" t="s">
        <v>155</v>
      </c>
      <c r="Q9" s="3" t="str">
        <f t="shared" si="0"/>
        <v>待评审/依据</v>
      </c>
      <c r="R9" s="3" t="s">
        <v>165</v>
      </c>
      <c r="S9" s="3" t="s">
        <v>157</v>
      </c>
    </row>
    <row r="10" ht="46" customHeight="1" spans="1:19">
      <c r="A10" s="3" t="s">
        <v>180</v>
      </c>
      <c r="B10" s="3" t="s">
        <v>145</v>
      </c>
      <c r="C10" s="3" t="s">
        <v>115</v>
      </c>
      <c r="D10" s="3" t="s">
        <v>181</v>
      </c>
      <c r="E10" s="3" t="s">
        <v>182</v>
      </c>
      <c r="F10" s="3" t="s">
        <v>148</v>
      </c>
      <c r="G10" s="3" t="s">
        <v>183</v>
      </c>
      <c r="H10" s="3" t="s">
        <v>184</v>
      </c>
      <c r="I10" s="3" t="s">
        <v>185</v>
      </c>
      <c r="J10" s="3" t="s">
        <v>186</v>
      </c>
      <c r="K10" s="10" t="s">
        <v>153</v>
      </c>
      <c r="L10" s="10" t="s">
        <v>154</v>
      </c>
      <c r="M10" s="10" t="s">
        <v>154</v>
      </c>
      <c r="N10" s="10" t="s">
        <v>155</v>
      </c>
      <c r="O10" s="10" t="s">
        <v>155</v>
      </c>
      <c r="P10" s="3" t="s">
        <v>155</v>
      </c>
      <c r="Q10" s="3" t="str">
        <f t="shared" si="0"/>
        <v>待评审/依据</v>
      </c>
      <c r="R10" s="3" t="s">
        <v>165</v>
      </c>
      <c r="S10" s="3" t="s">
        <v>157</v>
      </c>
    </row>
    <row r="11" ht="46" customHeight="1" spans="1:19">
      <c r="A11" s="3" t="s">
        <v>187</v>
      </c>
      <c r="B11" s="3" t="s">
        <v>145</v>
      </c>
      <c r="C11" s="3" t="s">
        <v>115</v>
      </c>
      <c r="D11" s="3" t="s">
        <v>188</v>
      </c>
      <c r="E11" s="3" t="s">
        <v>189</v>
      </c>
      <c r="F11" s="3" t="s">
        <v>148</v>
      </c>
      <c r="G11" s="3" t="s">
        <v>190</v>
      </c>
      <c r="H11" s="3" t="s">
        <v>191</v>
      </c>
      <c r="I11" s="3" t="s">
        <v>192</v>
      </c>
      <c r="J11" s="3" t="s">
        <v>193</v>
      </c>
      <c r="K11" s="10" t="s">
        <v>153</v>
      </c>
      <c r="L11" s="10" t="s">
        <v>154</v>
      </c>
      <c r="M11" s="10" t="s">
        <v>154</v>
      </c>
      <c r="N11" s="10" t="s">
        <v>155</v>
      </c>
      <c r="O11" s="10" t="s">
        <v>155</v>
      </c>
      <c r="P11" s="3" t="s">
        <v>155</v>
      </c>
      <c r="Q11" s="3" t="str">
        <f t="shared" si="0"/>
        <v>待评审/依据</v>
      </c>
      <c r="R11" s="3" t="s">
        <v>194</v>
      </c>
      <c r="S11" s="3" t="s">
        <v>157</v>
      </c>
    </row>
    <row r="12" ht="46" customHeight="1" spans="1:19">
      <c r="A12" s="3" t="s">
        <v>195</v>
      </c>
      <c r="B12" s="3" t="s">
        <v>145</v>
      </c>
      <c r="C12" s="3" t="s">
        <v>115</v>
      </c>
      <c r="D12" s="3" t="s">
        <v>196</v>
      </c>
      <c r="E12" s="3" t="s">
        <v>197</v>
      </c>
      <c r="F12" s="3" t="s">
        <v>148</v>
      </c>
      <c r="G12" s="3" t="s">
        <v>198</v>
      </c>
      <c r="H12" s="3" t="s">
        <v>199</v>
      </c>
      <c r="I12" s="3" t="s">
        <v>200</v>
      </c>
      <c r="J12" s="3" t="s">
        <v>201</v>
      </c>
      <c r="K12" s="10" t="s">
        <v>153</v>
      </c>
      <c r="L12" s="10" t="s">
        <v>154</v>
      </c>
      <c r="M12" s="10" t="s">
        <v>154</v>
      </c>
      <c r="N12" s="10" t="s">
        <v>155</v>
      </c>
      <c r="O12" s="10" t="s">
        <v>155</v>
      </c>
      <c r="P12" s="3" t="s">
        <v>155</v>
      </c>
      <c r="Q12" s="3" t="str">
        <f t="shared" si="0"/>
        <v>待评审/依据</v>
      </c>
      <c r="R12" s="3" t="s">
        <v>165</v>
      </c>
      <c r="S12" s="3" t="s">
        <v>157</v>
      </c>
    </row>
    <row r="13" ht="46" customHeight="1" spans="1:19">
      <c r="A13" s="3" t="s">
        <v>202</v>
      </c>
      <c r="B13" s="3" t="s">
        <v>145</v>
      </c>
      <c r="C13" s="3" t="s">
        <v>115</v>
      </c>
      <c r="D13" s="3" t="s">
        <v>203</v>
      </c>
      <c r="E13" s="3" t="s">
        <v>204</v>
      </c>
      <c r="F13" s="3" t="s">
        <v>148</v>
      </c>
      <c r="G13" s="3" t="s">
        <v>205</v>
      </c>
      <c r="H13" s="3" t="s">
        <v>206</v>
      </c>
      <c r="I13" s="3" t="s">
        <v>207</v>
      </c>
      <c r="J13" s="3" t="s">
        <v>208</v>
      </c>
      <c r="K13" s="10" t="s">
        <v>153</v>
      </c>
      <c r="L13" s="10" t="s">
        <v>154</v>
      </c>
      <c r="M13" s="10" t="s">
        <v>154</v>
      </c>
      <c r="N13" s="10" t="s">
        <v>155</v>
      </c>
      <c r="O13" s="10" t="s">
        <v>155</v>
      </c>
      <c r="P13" s="3" t="s">
        <v>155</v>
      </c>
      <c r="Q13" s="3" t="str">
        <f t="shared" si="0"/>
        <v>待评审/依据</v>
      </c>
      <c r="R13" s="3" t="s">
        <v>209</v>
      </c>
      <c r="S13" s="3" t="s">
        <v>157</v>
      </c>
    </row>
    <row r="14" ht="56" customHeight="1" spans="1:19">
      <c r="A14" s="3" t="s">
        <v>210</v>
      </c>
      <c r="B14" s="3" t="s">
        <v>145</v>
      </c>
      <c r="C14" s="3" t="s">
        <v>115</v>
      </c>
      <c r="D14" s="3" t="s">
        <v>211</v>
      </c>
      <c r="E14" s="3" t="s">
        <v>212</v>
      </c>
      <c r="F14" s="3" t="s">
        <v>148</v>
      </c>
      <c r="G14" s="3" t="s">
        <v>213</v>
      </c>
      <c r="H14" s="3" t="s">
        <v>214</v>
      </c>
      <c r="I14" s="3" t="s">
        <v>215</v>
      </c>
      <c r="J14" s="3" t="s">
        <v>216</v>
      </c>
      <c r="K14" s="10" t="s">
        <v>153</v>
      </c>
      <c r="L14" s="10" t="s">
        <v>154</v>
      </c>
      <c r="M14" s="10" t="s">
        <v>154</v>
      </c>
      <c r="N14" s="10" t="s">
        <v>155</v>
      </c>
      <c r="O14" s="10" t="s">
        <v>155</v>
      </c>
      <c r="P14" s="3" t="s">
        <v>155</v>
      </c>
      <c r="Q14" s="3" t="str">
        <f t="shared" si="0"/>
        <v>待评审/依据</v>
      </c>
      <c r="R14" s="3" t="s">
        <v>217</v>
      </c>
      <c r="S14" s="3" t="s">
        <v>157</v>
      </c>
    </row>
    <row r="15" ht="46" customHeight="1" spans="1:19">
      <c r="A15" s="3" t="s">
        <v>218</v>
      </c>
      <c r="B15" s="3" t="s">
        <v>145</v>
      </c>
      <c r="C15" s="3" t="s">
        <v>115</v>
      </c>
      <c r="D15" s="3" t="s">
        <v>219</v>
      </c>
      <c r="E15" s="3" t="s">
        <v>220</v>
      </c>
      <c r="F15" s="3" t="s">
        <v>148</v>
      </c>
      <c r="G15" s="3" t="s">
        <v>221</v>
      </c>
      <c r="H15" s="3" t="s">
        <v>222</v>
      </c>
      <c r="I15" s="3" t="s">
        <v>223</v>
      </c>
      <c r="J15" s="3" t="s">
        <v>224</v>
      </c>
      <c r="K15" s="10" t="s">
        <v>153</v>
      </c>
      <c r="L15" s="10" t="s">
        <v>154</v>
      </c>
      <c r="M15" s="10" t="s">
        <v>154</v>
      </c>
      <c r="N15" s="10" t="s">
        <v>155</v>
      </c>
      <c r="O15" s="10" t="s">
        <v>155</v>
      </c>
      <c r="P15" s="3" t="s">
        <v>155</v>
      </c>
      <c r="Q15" s="3" t="str">
        <f t="shared" si="0"/>
        <v>待评审/依据</v>
      </c>
      <c r="R15" s="3" t="s">
        <v>217</v>
      </c>
      <c r="S15" s="3" t="s">
        <v>157</v>
      </c>
    </row>
    <row r="16" ht="56" customHeight="1" spans="1:19">
      <c r="A16" s="3" t="s">
        <v>225</v>
      </c>
      <c r="B16" s="3" t="s">
        <v>145</v>
      </c>
      <c r="C16" s="3" t="s">
        <v>115</v>
      </c>
      <c r="D16" s="3" t="s">
        <v>146</v>
      </c>
      <c r="E16" s="3" t="s">
        <v>226</v>
      </c>
      <c r="F16" s="3" t="s">
        <v>148</v>
      </c>
      <c r="G16" s="3" t="s">
        <v>227</v>
      </c>
      <c r="H16" s="3" t="s">
        <v>228</v>
      </c>
      <c r="I16" s="3" t="s">
        <v>229</v>
      </c>
      <c r="J16" s="3" t="s">
        <v>230</v>
      </c>
      <c r="K16" s="10" t="s">
        <v>153</v>
      </c>
      <c r="L16" s="10" t="s">
        <v>154</v>
      </c>
      <c r="M16" s="10" t="s">
        <v>154</v>
      </c>
      <c r="N16" s="10" t="s">
        <v>155</v>
      </c>
      <c r="O16" s="10" t="s">
        <v>155</v>
      </c>
      <c r="P16" s="3" t="s">
        <v>155</v>
      </c>
      <c r="Q16" s="3" t="str">
        <f t="shared" si="0"/>
        <v>待评审/依据</v>
      </c>
      <c r="R16" s="3" t="s">
        <v>156</v>
      </c>
      <c r="S16" s="3" t="s">
        <v>157</v>
      </c>
    </row>
    <row r="17" ht="56" customHeight="1" spans="1:19">
      <c r="A17" s="3" t="s">
        <v>231</v>
      </c>
      <c r="B17" s="3" t="s">
        <v>145</v>
      </c>
      <c r="C17" s="3" t="s">
        <v>115</v>
      </c>
      <c r="D17" s="3" t="s">
        <v>146</v>
      </c>
      <c r="E17" s="3" t="s">
        <v>232</v>
      </c>
      <c r="F17" s="3" t="s">
        <v>148</v>
      </c>
      <c r="G17" s="3" t="s">
        <v>233</v>
      </c>
      <c r="H17" s="3" t="s">
        <v>234</v>
      </c>
      <c r="I17" s="3" t="s">
        <v>235</v>
      </c>
      <c r="J17" s="3" t="s">
        <v>236</v>
      </c>
      <c r="K17" s="10" t="s">
        <v>153</v>
      </c>
      <c r="L17" s="10" t="s">
        <v>154</v>
      </c>
      <c r="M17" s="10" t="s">
        <v>154</v>
      </c>
      <c r="N17" s="10" t="s">
        <v>155</v>
      </c>
      <c r="O17" s="10" t="s">
        <v>155</v>
      </c>
      <c r="P17" s="3" t="s">
        <v>155</v>
      </c>
      <c r="Q17" s="3" t="str">
        <f t="shared" si="0"/>
        <v>待评审/依据</v>
      </c>
      <c r="R17" s="3" t="s">
        <v>156</v>
      </c>
      <c r="S17" s="3" t="s">
        <v>157</v>
      </c>
    </row>
    <row r="18" ht="56" customHeight="1" spans="1:19">
      <c r="A18" s="3" t="s">
        <v>237</v>
      </c>
      <c r="B18" s="3" t="s">
        <v>238</v>
      </c>
      <c r="C18" s="3" t="s">
        <v>239</v>
      </c>
      <c r="D18" s="3" t="s">
        <v>146</v>
      </c>
      <c r="E18" s="3" t="s">
        <v>240</v>
      </c>
      <c r="F18" s="3" t="s">
        <v>241</v>
      </c>
      <c r="G18" s="3" t="s">
        <v>242</v>
      </c>
      <c r="H18" s="3" t="s">
        <v>243</v>
      </c>
      <c r="I18" s="3" t="s">
        <v>244</v>
      </c>
      <c r="J18" s="3" t="s">
        <v>245</v>
      </c>
      <c r="K18" s="10" t="s">
        <v>153</v>
      </c>
      <c r="L18" s="10" t="s">
        <v>246</v>
      </c>
      <c r="M18" s="10" t="s">
        <v>246</v>
      </c>
      <c r="N18" s="10" t="s">
        <v>155</v>
      </c>
      <c r="O18" s="10" t="s">
        <v>155</v>
      </c>
      <c r="P18" s="3" t="s">
        <v>247</v>
      </c>
      <c r="Q18" s="3" t="str">
        <f t="shared" ref="Q18:Q81" si="1">IF(K18="不纳入","不纳入",IF(L18="失败",IF(LEN(TRIM(N18))=0,"开发失败缺证据","开发自测失败"),IF(M18="失败",IF(LEN(TRIM(O18))=0,"复核失败缺证据","提测复核失败"),IF(K18&lt;&gt;"可执行","待评审/依据",IF(L18="受阻","开发自测受阻",IF(L18&lt;&gt;"通过","待开发自测",IF(LEN(TRIM(N18))=0,"缺开发Build/证据",IF(M18="受阻","提测复核受阻",IF(M18&lt;&gt;"通过","待提测复核",IF(LEN(TRIM(O18))=0,"缺复核Build/证据","本轮复核通过"))))))))))</f>
        <v>待评审/依据</v>
      </c>
      <c r="R18" s="3" t="s">
        <v>156</v>
      </c>
      <c r="S18" s="3" t="s">
        <v>248</v>
      </c>
    </row>
    <row r="19" ht="56" customHeight="1" spans="1:19">
      <c r="A19" s="3" t="s">
        <v>249</v>
      </c>
      <c r="B19" s="3" t="s">
        <v>238</v>
      </c>
      <c r="C19" s="3" t="s">
        <v>239</v>
      </c>
      <c r="D19" s="3" t="s">
        <v>146</v>
      </c>
      <c r="E19" s="3" t="s">
        <v>250</v>
      </c>
      <c r="F19" s="3" t="s">
        <v>241</v>
      </c>
      <c r="G19" s="3" t="s">
        <v>251</v>
      </c>
      <c r="H19" s="3" t="s">
        <v>252</v>
      </c>
      <c r="I19" s="3" t="s">
        <v>253</v>
      </c>
      <c r="J19" s="3" t="s">
        <v>254</v>
      </c>
      <c r="K19" s="10" t="s">
        <v>153</v>
      </c>
      <c r="L19" s="10" t="s">
        <v>246</v>
      </c>
      <c r="M19" s="10" t="s">
        <v>246</v>
      </c>
      <c r="N19" s="10" t="s">
        <v>155</v>
      </c>
      <c r="O19" s="10" t="s">
        <v>155</v>
      </c>
      <c r="P19" s="3" t="s">
        <v>255</v>
      </c>
      <c r="Q19" s="3" t="str">
        <f t="shared" si="1"/>
        <v>待评审/依据</v>
      </c>
      <c r="R19" s="3" t="s">
        <v>156</v>
      </c>
      <c r="S19" s="3" t="s">
        <v>248</v>
      </c>
    </row>
    <row r="20" ht="56" customHeight="1" spans="1:19">
      <c r="A20" s="3" t="s">
        <v>256</v>
      </c>
      <c r="B20" s="3" t="s">
        <v>238</v>
      </c>
      <c r="C20" s="3" t="s">
        <v>239</v>
      </c>
      <c r="D20" s="3" t="s">
        <v>146</v>
      </c>
      <c r="E20" s="3" t="s">
        <v>257</v>
      </c>
      <c r="F20" s="3" t="s">
        <v>241</v>
      </c>
      <c r="G20" s="3" t="s">
        <v>258</v>
      </c>
      <c r="H20" s="3" t="s">
        <v>259</v>
      </c>
      <c r="I20" s="3" t="s">
        <v>260</v>
      </c>
      <c r="J20" s="3" t="s">
        <v>261</v>
      </c>
      <c r="K20" s="10" t="s">
        <v>153</v>
      </c>
      <c r="L20" s="10" t="s">
        <v>246</v>
      </c>
      <c r="M20" s="10" t="s">
        <v>246</v>
      </c>
      <c r="N20" s="10" t="s">
        <v>155</v>
      </c>
      <c r="O20" s="10" t="s">
        <v>155</v>
      </c>
      <c r="P20" s="3" t="s">
        <v>262</v>
      </c>
      <c r="Q20" s="3" t="str">
        <f t="shared" si="1"/>
        <v>待评审/依据</v>
      </c>
      <c r="R20" s="3" t="s">
        <v>156</v>
      </c>
      <c r="S20" s="3" t="s">
        <v>248</v>
      </c>
    </row>
    <row r="21" ht="56" customHeight="1" spans="1:19">
      <c r="A21" s="3" t="s">
        <v>263</v>
      </c>
      <c r="B21" s="3" t="s">
        <v>238</v>
      </c>
      <c r="C21" s="3" t="s">
        <v>239</v>
      </c>
      <c r="D21" s="3" t="s">
        <v>146</v>
      </c>
      <c r="E21" s="3" t="s">
        <v>264</v>
      </c>
      <c r="F21" s="3" t="s">
        <v>241</v>
      </c>
      <c r="G21" s="3" t="s">
        <v>265</v>
      </c>
      <c r="H21" s="3" t="s">
        <v>266</v>
      </c>
      <c r="I21" s="3" t="s">
        <v>267</v>
      </c>
      <c r="J21" s="3" t="s">
        <v>268</v>
      </c>
      <c r="K21" s="10" t="s">
        <v>153</v>
      </c>
      <c r="L21" s="10" t="s">
        <v>246</v>
      </c>
      <c r="M21" s="10" t="s">
        <v>246</v>
      </c>
      <c r="N21" s="10" t="s">
        <v>155</v>
      </c>
      <c r="O21" s="10" t="s">
        <v>155</v>
      </c>
      <c r="P21" s="3" t="s">
        <v>269</v>
      </c>
      <c r="Q21" s="3" t="str">
        <f t="shared" si="1"/>
        <v>待评审/依据</v>
      </c>
      <c r="R21" s="3" t="s">
        <v>156</v>
      </c>
      <c r="S21" s="3" t="s">
        <v>248</v>
      </c>
    </row>
    <row r="22" ht="56" customHeight="1" spans="1:19">
      <c r="A22" s="3" t="s">
        <v>270</v>
      </c>
      <c r="B22" s="3" t="s">
        <v>238</v>
      </c>
      <c r="C22" s="3" t="s">
        <v>271</v>
      </c>
      <c r="D22" s="3" t="s">
        <v>146</v>
      </c>
      <c r="E22" s="3" t="s">
        <v>272</v>
      </c>
      <c r="F22" s="3" t="s">
        <v>241</v>
      </c>
      <c r="G22" s="3" t="s">
        <v>273</v>
      </c>
      <c r="H22" s="3" t="s">
        <v>274</v>
      </c>
      <c r="I22" s="3" t="s">
        <v>275</v>
      </c>
      <c r="J22" s="3" t="s">
        <v>276</v>
      </c>
      <c r="K22" s="10" t="s">
        <v>153</v>
      </c>
      <c r="L22" s="10" t="s">
        <v>246</v>
      </c>
      <c r="M22" s="10" t="s">
        <v>246</v>
      </c>
      <c r="N22" s="10" t="s">
        <v>155</v>
      </c>
      <c r="O22" s="10" t="s">
        <v>155</v>
      </c>
      <c r="P22" s="3" t="s">
        <v>277</v>
      </c>
      <c r="Q22" s="3" t="str">
        <f t="shared" si="1"/>
        <v>待评审/依据</v>
      </c>
      <c r="R22" s="3" t="s">
        <v>156</v>
      </c>
      <c r="S22" s="3" t="s">
        <v>248</v>
      </c>
    </row>
    <row r="23" ht="56" customHeight="1" spans="1:19">
      <c r="A23" s="3" t="s">
        <v>278</v>
      </c>
      <c r="B23" s="3" t="s">
        <v>238</v>
      </c>
      <c r="C23" s="3" t="s">
        <v>271</v>
      </c>
      <c r="D23" s="3" t="s">
        <v>146</v>
      </c>
      <c r="E23" s="3" t="s">
        <v>279</v>
      </c>
      <c r="F23" s="3" t="s">
        <v>241</v>
      </c>
      <c r="G23" s="3" t="s">
        <v>280</v>
      </c>
      <c r="H23" s="3" t="s">
        <v>281</v>
      </c>
      <c r="I23" s="3" t="s">
        <v>282</v>
      </c>
      <c r="J23" s="3" t="s">
        <v>283</v>
      </c>
      <c r="K23" s="10" t="s">
        <v>153</v>
      </c>
      <c r="L23" s="10" t="s">
        <v>246</v>
      </c>
      <c r="M23" s="10" t="s">
        <v>246</v>
      </c>
      <c r="N23" s="10" t="s">
        <v>155</v>
      </c>
      <c r="O23" s="10" t="s">
        <v>155</v>
      </c>
      <c r="P23" s="3" t="s">
        <v>284</v>
      </c>
      <c r="Q23" s="3" t="str">
        <f t="shared" si="1"/>
        <v>待评审/依据</v>
      </c>
      <c r="R23" s="3" t="s">
        <v>156</v>
      </c>
      <c r="S23" s="3" t="s">
        <v>248</v>
      </c>
    </row>
    <row r="24" ht="56" customHeight="1" spans="1:19">
      <c r="A24" s="3" t="s">
        <v>285</v>
      </c>
      <c r="B24" s="3" t="s">
        <v>238</v>
      </c>
      <c r="C24" s="3" t="s">
        <v>286</v>
      </c>
      <c r="D24" s="3" t="s">
        <v>146</v>
      </c>
      <c r="E24" s="3" t="s">
        <v>287</v>
      </c>
      <c r="F24" s="3" t="s">
        <v>241</v>
      </c>
      <c r="G24" s="3" t="s">
        <v>288</v>
      </c>
      <c r="H24" s="3" t="s">
        <v>289</v>
      </c>
      <c r="I24" s="3" t="s">
        <v>290</v>
      </c>
      <c r="J24" s="3" t="s">
        <v>291</v>
      </c>
      <c r="K24" s="10" t="s">
        <v>153</v>
      </c>
      <c r="L24" s="10" t="s">
        <v>246</v>
      </c>
      <c r="M24" s="10" t="s">
        <v>246</v>
      </c>
      <c r="N24" s="10" t="s">
        <v>155</v>
      </c>
      <c r="O24" s="10" t="s">
        <v>155</v>
      </c>
      <c r="P24" s="3" t="s">
        <v>292</v>
      </c>
      <c r="Q24" s="3" t="str">
        <f t="shared" si="1"/>
        <v>待评审/依据</v>
      </c>
      <c r="R24" s="3" t="s">
        <v>156</v>
      </c>
      <c r="S24" s="3" t="s">
        <v>248</v>
      </c>
    </row>
    <row r="25" ht="56" customHeight="1" spans="1:19">
      <c r="A25" s="3" t="s">
        <v>293</v>
      </c>
      <c r="B25" s="3" t="s">
        <v>238</v>
      </c>
      <c r="C25" s="3" t="s">
        <v>286</v>
      </c>
      <c r="D25" s="3" t="s">
        <v>146</v>
      </c>
      <c r="E25" s="3" t="s">
        <v>294</v>
      </c>
      <c r="F25" s="3" t="s">
        <v>241</v>
      </c>
      <c r="G25" s="3" t="s">
        <v>295</v>
      </c>
      <c r="H25" s="3" t="s">
        <v>296</v>
      </c>
      <c r="I25" s="3" t="s">
        <v>297</v>
      </c>
      <c r="J25" s="3" t="s">
        <v>298</v>
      </c>
      <c r="K25" s="10" t="s">
        <v>153</v>
      </c>
      <c r="L25" s="10" t="s">
        <v>246</v>
      </c>
      <c r="M25" s="10" t="s">
        <v>246</v>
      </c>
      <c r="N25" s="10" t="s">
        <v>155</v>
      </c>
      <c r="O25" s="10" t="s">
        <v>155</v>
      </c>
      <c r="P25" s="3" t="s">
        <v>292</v>
      </c>
      <c r="Q25" s="3" t="str">
        <f t="shared" si="1"/>
        <v>待评审/依据</v>
      </c>
      <c r="R25" s="3" t="s">
        <v>156</v>
      </c>
      <c r="S25" s="3" t="s">
        <v>248</v>
      </c>
    </row>
    <row r="26" ht="46" customHeight="1" spans="1:19">
      <c r="A26" s="3" t="s">
        <v>299</v>
      </c>
      <c r="B26" s="3" t="s">
        <v>238</v>
      </c>
      <c r="C26" s="3" t="s">
        <v>300</v>
      </c>
      <c r="D26" s="3" t="s">
        <v>146</v>
      </c>
      <c r="E26" s="3" t="s">
        <v>301</v>
      </c>
      <c r="F26" s="3" t="s">
        <v>241</v>
      </c>
      <c r="G26" s="3" t="s">
        <v>302</v>
      </c>
      <c r="H26" s="3" t="s">
        <v>303</v>
      </c>
      <c r="I26" s="3" t="s">
        <v>304</v>
      </c>
      <c r="J26" s="3" t="s">
        <v>305</v>
      </c>
      <c r="K26" s="10" t="s">
        <v>153</v>
      </c>
      <c r="L26" s="10" t="s">
        <v>246</v>
      </c>
      <c r="M26" s="10" t="s">
        <v>246</v>
      </c>
      <c r="N26" s="10" t="s">
        <v>155</v>
      </c>
      <c r="O26" s="10" t="s">
        <v>155</v>
      </c>
      <c r="P26" s="3" t="s">
        <v>306</v>
      </c>
      <c r="Q26" s="3" t="str">
        <f t="shared" si="1"/>
        <v>待评审/依据</v>
      </c>
      <c r="R26" s="3" t="s">
        <v>156</v>
      </c>
      <c r="S26" s="3" t="s">
        <v>248</v>
      </c>
    </row>
    <row r="27" ht="56" customHeight="1" spans="1:19">
      <c r="A27" s="3" t="s">
        <v>307</v>
      </c>
      <c r="B27" s="3" t="s">
        <v>238</v>
      </c>
      <c r="C27" s="3" t="s">
        <v>308</v>
      </c>
      <c r="D27" s="3" t="s">
        <v>309</v>
      </c>
      <c r="E27" s="3" t="s">
        <v>310</v>
      </c>
      <c r="F27" s="3" t="s">
        <v>241</v>
      </c>
      <c r="G27" s="3" t="s">
        <v>311</v>
      </c>
      <c r="H27" s="3" t="s">
        <v>312</v>
      </c>
      <c r="I27" s="3" t="s">
        <v>313</v>
      </c>
      <c r="J27" s="3" t="s">
        <v>314</v>
      </c>
      <c r="K27" s="10" t="s">
        <v>153</v>
      </c>
      <c r="L27" s="10" t="s">
        <v>246</v>
      </c>
      <c r="M27" s="10" t="s">
        <v>246</v>
      </c>
      <c r="N27" s="10" t="s">
        <v>155</v>
      </c>
      <c r="O27" s="10" t="s">
        <v>155</v>
      </c>
      <c r="P27" s="3" t="s">
        <v>315</v>
      </c>
      <c r="Q27" s="3" t="str">
        <f t="shared" si="1"/>
        <v>待评审/依据</v>
      </c>
      <c r="R27" s="3" t="s">
        <v>316</v>
      </c>
      <c r="S27" s="3" t="s">
        <v>317</v>
      </c>
    </row>
    <row r="28" ht="56" customHeight="1" spans="1:19">
      <c r="A28" s="3" t="s">
        <v>318</v>
      </c>
      <c r="B28" s="3" t="s">
        <v>238</v>
      </c>
      <c r="C28" s="3" t="s">
        <v>319</v>
      </c>
      <c r="D28" s="3" t="s">
        <v>320</v>
      </c>
      <c r="E28" s="3" t="s">
        <v>321</v>
      </c>
      <c r="F28" s="3" t="s">
        <v>241</v>
      </c>
      <c r="G28" s="3" t="s">
        <v>322</v>
      </c>
      <c r="H28" s="3" t="s">
        <v>323</v>
      </c>
      <c r="I28" s="3" t="s">
        <v>324</v>
      </c>
      <c r="J28" s="3" t="s">
        <v>325</v>
      </c>
      <c r="K28" s="10" t="s">
        <v>153</v>
      </c>
      <c r="L28" s="10" t="s">
        <v>246</v>
      </c>
      <c r="M28" s="10" t="s">
        <v>246</v>
      </c>
      <c r="N28" s="10" t="s">
        <v>155</v>
      </c>
      <c r="O28" s="10" t="s">
        <v>155</v>
      </c>
      <c r="P28" s="3" t="s">
        <v>326</v>
      </c>
      <c r="Q28" s="3" t="str">
        <f t="shared" si="1"/>
        <v>待评审/依据</v>
      </c>
      <c r="R28" s="3" t="s">
        <v>327</v>
      </c>
      <c r="S28" s="3" t="s">
        <v>317</v>
      </c>
    </row>
    <row r="29" ht="70" customHeight="1" spans="1:19">
      <c r="A29" s="3" t="s">
        <v>328</v>
      </c>
      <c r="B29" s="3" t="s">
        <v>238</v>
      </c>
      <c r="C29" s="3" t="s">
        <v>329</v>
      </c>
      <c r="D29" s="3" t="s">
        <v>330</v>
      </c>
      <c r="E29" s="3" t="s">
        <v>331</v>
      </c>
      <c r="F29" s="3" t="s">
        <v>241</v>
      </c>
      <c r="G29" s="3" t="s">
        <v>332</v>
      </c>
      <c r="H29" s="3" t="s">
        <v>333</v>
      </c>
      <c r="I29" s="3" t="s">
        <v>334</v>
      </c>
      <c r="J29" s="3" t="s">
        <v>335</v>
      </c>
      <c r="K29" s="10" t="s">
        <v>153</v>
      </c>
      <c r="L29" s="10" t="s">
        <v>246</v>
      </c>
      <c r="M29" s="10" t="s">
        <v>246</v>
      </c>
      <c r="N29" s="10" t="s">
        <v>155</v>
      </c>
      <c r="O29" s="10" t="s">
        <v>155</v>
      </c>
      <c r="P29" s="3" t="s">
        <v>336</v>
      </c>
      <c r="Q29" s="3" t="str">
        <f t="shared" si="1"/>
        <v>待评审/依据</v>
      </c>
      <c r="R29" s="3" t="s">
        <v>209</v>
      </c>
      <c r="S29" s="3" t="s">
        <v>317</v>
      </c>
    </row>
    <row r="30" ht="70" customHeight="1" spans="1:19">
      <c r="A30" s="3" t="s">
        <v>337</v>
      </c>
      <c r="B30" s="3" t="s">
        <v>238</v>
      </c>
      <c r="C30" s="3" t="s">
        <v>329</v>
      </c>
      <c r="D30" s="3" t="s">
        <v>330</v>
      </c>
      <c r="E30" s="3" t="s">
        <v>338</v>
      </c>
      <c r="F30" s="3" t="s">
        <v>241</v>
      </c>
      <c r="G30" s="3" t="s">
        <v>339</v>
      </c>
      <c r="H30" s="3" t="s">
        <v>340</v>
      </c>
      <c r="I30" s="3" t="s">
        <v>341</v>
      </c>
      <c r="J30" s="3" t="s">
        <v>342</v>
      </c>
      <c r="K30" s="10" t="s">
        <v>153</v>
      </c>
      <c r="L30" s="10" t="s">
        <v>246</v>
      </c>
      <c r="M30" s="10" t="s">
        <v>246</v>
      </c>
      <c r="N30" s="10" t="s">
        <v>155</v>
      </c>
      <c r="O30" s="10" t="s">
        <v>155</v>
      </c>
      <c r="P30" s="3" t="s">
        <v>343</v>
      </c>
      <c r="Q30" s="3" t="str">
        <f t="shared" si="1"/>
        <v>待评审/依据</v>
      </c>
      <c r="R30" s="3" t="s">
        <v>209</v>
      </c>
      <c r="S30" s="3" t="s">
        <v>317</v>
      </c>
    </row>
    <row r="31" ht="70" customHeight="1" spans="1:19">
      <c r="A31" s="3" t="s">
        <v>344</v>
      </c>
      <c r="B31" s="3" t="s">
        <v>238</v>
      </c>
      <c r="C31" s="3" t="s">
        <v>329</v>
      </c>
      <c r="D31" s="3" t="s">
        <v>330</v>
      </c>
      <c r="E31" s="3" t="s">
        <v>345</v>
      </c>
      <c r="F31" s="3" t="s">
        <v>241</v>
      </c>
      <c r="G31" s="3" t="s">
        <v>346</v>
      </c>
      <c r="H31" s="3" t="s">
        <v>347</v>
      </c>
      <c r="I31" s="3" t="s">
        <v>348</v>
      </c>
      <c r="J31" s="3" t="s">
        <v>349</v>
      </c>
      <c r="K31" s="10" t="s">
        <v>153</v>
      </c>
      <c r="L31" s="10" t="s">
        <v>246</v>
      </c>
      <c r="M31" s="10" t="s">
        <v>246</v>
      </c>
      <c r="N31" s="10" t="s">
        <v>155</v>
      </c>
      <c r="O31" s="10" t="s">
        <v>155</v>
      </c>
      <c r="P31" s="3" t="s">
        <v>350</v>
      </c>
      <c r="Q31" s="3" t="str">
        <f t="shared" si="1"/>
        <v>待评审/依据</v>
      </c>
      <c r="R31" s="3" t="s">
        <v>209</v>
      </c>
      <c r="S31" s="3" t="s">
        <v>317</v>
      </c>
    </row>
    <row r="32" ht="70" customHeight="1" spans="1:19">
      <c r="A32" s="3" t="s">
        <v>351</v>
      </c>
      <c r="B32" s="3" t="s">
        <v>238</v>
      </c>
      <c r="C32" s="3" t="s">
        <v>352</v>
      </c>
      <c r="D32" s="3" t="s">
        <v>330</v>
      </c>
      <c r="E32" s="3" t="s">
        <v>353</v>
      </c>
      <c r="F32" s="3" t="s">
        <v>241</v>
      </c>
      <c r="G32" s="3" t="s">
        <v>354</v>
      </c>
      <c r="H32" s="3" t="s">
        <v>355</v>
      </c>
      <c r="I32" s="3" t="s">
        <v>356</v>
      </c>
      <c r="J32" s="3" t="s">
        <v>357</v>
      </c>
      <c r="K32" s="10" t="s">
        <v>153</v>
      </c>
      <c r="L32" s="10" t="s">
        <v>246</v>
      </c>
      <c r="M32" s="10" t="s">
        <v>246</v>
      </c>
      <c r="N32" s="10" t="s">
        <v>155</v>
      </c>
      <c r="O32" s="10" t="s">
        <v>155</v>
      </c>
      <c r="P32" s="3" t="s">
        <v>358</v>
      </c>
      <c r="Q32" s="3" t="str">
        <f t="shared" si="1"/>
        <v>待评审/依据</v>
      </c>
      <c r="R32" s="3" t="s">
        <v>359</v>
      </c>
      <c r="S32" s="3" t="s">
        <v>317</v>
      </c>
    </row>
    <row r="33" ht="70" customHeight="1" spans="1:19">
      <c r="A33" s="3" t="s">
        <v>360</v>
      </c>
      <c r="B33" s="3" t="s">
        <v>238</v>
      </c>
      <c r="C33" s="3" t="s">
        <v>352</v>
      </c>
      <c r="D33" s="3" t="s">
        <v>330</v>
      </c>
      <c r="E33" s="3" t="s">
        <v>361</v>
      </c>
      <c r="F33" s="3" t="s">
        <v>241</v>
      </c>
      <c r="G33" s="3" t="s">
        <v>362</v>
      </c>
      <c r="H33" s="3" t="s">
        <v>363</v>
      </c>
      <c r="I33" s="3" t="s">
        <v>364</v>
      </c>
      <c r="J33" s="3" t="s">
        <v>365</v>
      </c>
      <c r="K33" s="10" t="s">
        <v>153</v>
      </c>
      <c r="L33" s="10" t="s">
        <v>246</v>
      </c>
      <c r="M33" s="10" t="s">
        <v>246</v>
      </c>
      <c r="N33" s="10" t="s">
        <v>155</v>
      </c>
      <c r="O33" s="10" t="s">
        <v>155</v>
      </c>
      <c r="P33" s="3" t="s">
        <v>366</v>
      </c>
      <c r="Q33" s="3" t="str">
        <f t="shared" si="1"/>
        <v>待评审/依据</v>
      </c>
      <c r="R33" s="3" t="s">
        <v>209</v>
      </c>
      <c r="S33" s="3" t="s">
        <v>317</v>
      </c>
    </row>
    <row r="34" ht="70" customHeight="1" spans="1:19">
      <c r="A34" s="3" t="s">
        <v>367</v>
      </c>
      <c r="B34" s="3" t="s">
        <v>238</v>
      </c>
      <c r="C34" s="3" t="s">
        <v>368</v>
      </c>
      <c r="D34" s="3" t="s">
        <v>330</v>
      </c>
      <c r="E34" s="3" t="s">
        <v>369</v>
      </c>
      <c r="F34" s="3" t="s">
        <v>241</v>
      </c>
      <c r="G34" s="3" t="s">
        <v>370</v>
      </c>
      <c r="H34" s="3" t="s">
        <v>371</v>
      </c>
      <c r="I34" s="3" t="s">
        <v>372</v>
      </c>
      <c r="J34" s="3" t="s">
        <v>373</v>
      </c>
      <c r="K34" s="10" t="s">
        <v>153</v>
      </c>
      <c r="L34" s="10" t="s">
        <v>246</v>
      </c>
      <c r="M34" s="10" t="s">
        <v>246</v>
      </c>
      <c r="N34" s="10" t="s">
        <v>155</v>
      </c>
      <c r="O34" s="10" t="s">
        <v>155</v>
      </c>
      <c r="P34" s="3" t="s">
        <v>374</v>
      </c>
      <c r="Q34" s="3" t="str">
        <f t="shared" si="1"/>
        <v>待评审/依据</v>
      </c>
      <c r="R34" s="3" t="s">
        <v>209</v>
      </c>
      <c r="S34" s="3" t="s">
        <v>317</v>
      </c>
    </row>
    <row r="35" ht="70" customHeight="1" spans="1:19">
      <c r="A35" s="3" t="s">
        <v>375</v>
      </c>
      <c r="B35" s="3" t="s">
        <v>238</v>
      </c>
      <c r="C35" s="3" t="s">
        <v>368</v>
      </c>
      <c r="D35" s="3" t="s">
        <v>330</v>
      </c>
      <c r="E35" s="3" t="s">
        <v>376</v>
      </c>
      <c r="F35" s="3" t="s">
        <v>241</v>
      </c>
      <c r="G35" s="3" t="s">
        <v>377</v>
      </c>
      <c r="H35" s="3" t="s">
        <v>378</v>
      </c>
      <c r="I35" s="3" t="s">
        <v>379</v>
      </c>
      <c r="J35" s="3" t="s">
        <v>380</v>
      </c>
      <c r="K35" s="10" t="s">
        <v>153</v>
      </c>
      <c r="L35" s="10" t="s">
        <v>246</v>
      </c>
      <c r="M35" s="10" t="s">
        <v>246</v>
      </c>
      <c r="N35" s="10" t="s">
        <v>155</v>
      </c>
      <c r="O35" s="10" t="s">
        <v>155</v>
      </c>
      <c r="P35" s="3" t="s">
        <v>381</v>
      </c>
      <c r="Q35" s="3" t="str">
        <f t="shared" si="1"/>
        <v>待评审/依据</v>
      </c>
      <c r="R35" s="3" t="s">
        <v>382</v>
      </c>
      <c r="S35" s="3" t="s">
        <v>317</v>
      </c>
    </row>
    <row r="36" ht="70" customHeight="1" spans="1:19">
      <c r="A36" s="3" t="s">
        <v>383</v>
      </c>
      <c r="B36" s="3" t="s">
        <v>238</v>
      </c>
      <c r="C36" s="3" t="s">
        <v>368</v>
      </c>
      <c r="D36" s="3" t="s">
        <v>330</v>
      </c>
      <c r="E36" s="3" t="s">
        <v>384</v>
      </c>
      <c r="F36" s="3" t="s">
        <v>241</v>
      </c>
      <c r="G36" s="3" t="s">
        <v>385</v>
      </c>
      <c r="H36" s="3" t="s">
        <v>386</v>
      </c>
      <c r="I36" s="3" t="s">
        <v>387</v>
      </c>
      <c r="J36" s="3" t="s">
        <v>388</v>
      </c>
      <c r="K36" s="10" t="s">
        <v>153</v>
      </c>
      <c r="L36" s="10" t="s">
        <v>246</v>
      </c>
      <c r="M36" s="10" t="s">
        <v>246</v>
      </c>
      <c r="N36" s="10" t="s">
        <v>155</v>
      </c>
      <c r="O36" s="10" t="s">
        <v>155</v>
      </c>
      <c r="P36" s="3" t="s">
        <v>389</v>
      </c>
      <c r="Q36" s="3" t="str">
        <f t="shared" si="1"/>
        <v>待评审/依据</v>
      </c>
      <c r="R36" s="3" t="s">
        <v>209</v>
      </c>
      <c r="S36" s="3" t="s">
        <v>317</v>
      </c>
    </row>
    <row r="37" ht="70" customHeight="1" spans="1:19">
      <c r="A37" s="3" t="s">
        <v>390</v>
      </c>
      <c r="B37" s="3" t="s">
        <v>238</v>
      </c>
      <c r="C37" s="3" t="s">
        <v>391</v>
      </c>
      <c r="D37" s="3" t="s">
        <v>330</v>
      </c>
      <c r="E37" s="3" t="s">
        <v>392</v>
      </c>
      <c r="F37" s="3" t="s">
        <v>241</v>
      </c>
      <c r="G37" s="3" t="s">
        <v>393</v>
      </c>
      <c r="H37" s="3" t="s">
        <v>394</v>
      </c>
      <c r="I37" s="3" t="s">
        <v>395</v>
      </c>
      <c r="J37" s="3" t="s">
        <v>396</v>
      </c>
      <c r="K37" s="10" t="s">
        <v>153</v>
      </c>
      <c r="L37" s="10" t="s">
        <v>246</v>
      </c>
      <c r="M37" s="10" t="s">
        <v>246</v>
      </c>
      <c r="N37" s="10" t="s">
        <v>155</v>
      </c>
      <c r="O37" s="10" t="s">
        <v>155</v>
      </c>
      <c r="P37" s="3" t="s">
        <v>397</v>
      </c>
      <c r="Q37" s="3" t="str">
        <f t="shared" si="1"/>
        <v>待评审/依据</v>
      </c>
      <c r="R37" s="3" t="s">
        <v>209</v>
      </c>
      <c r="S37" s="3" t="s">
        <v>317</v>
      </c>
    </row>
    <row r="38" ht="70" customHeight="1" spans="1:19">
      <c r="A38" s="3" t="s">
        <v>398</v>
      </c>
      <c r="B38" s="3" t="s">
        <v>238</v>
      </c>
      <c r="C38" s="3" t="s">
        <v>391</v>
      </c>
      <c r="D38" s="3" t="s">
        <v>330</v>
      </c>
      <c r="E38" s="3" t="s">
        <v>399</v>
      </c>
      <c r="F38" s="3" t="s">
        <v>241</v>
      </c>
      <c r="G38" s="3" t="s">
        <v>400</v>
      </c>
      <c r="H38" s="3" t="s">
        <v>401</v>
      </c>
      <c r="I38" s="3" t="s">
        <v>402</v>
      </c>
      <c r="J38" s="3" t="s">
        <v>403</v>
      </c>
      <c r="K38" s="10" t="s">
        <v>153</v>
      </c>
      <c r="L38" s="10" t="s">
        <v>246</v>
      </c>
      <c r="M38" s="10" t="s">
        <v>246</v>
      </c>
      <c r="N38" s="10" t="s">
        <v>155</v>
      </c>
      <c r="O38" s="10" t="s">
        <v>155</v>
      </c>
      <c r="P38" s="3" t="s">
        <v>404</v>
      </c>
      <c r="Q38" s="3" t="str">
        <f t="shared" si="1"/>
        <v>待评审/依据</v>
      </c>
      <c r="R38" s="3" t="s">
        <v>209</v>
      </c>
      <c r="S38" s="3" t="s">
        <v>317</v>
      </c>
    </row>
    <row r="39" ht="46" customHeight="1" spans="1:19">
      <c r="A39" s="3" t="s">
        <v>405</v>
      </c>
      <c r="B39" s="3" t="s">
        <v>238</v>
      </c>
      <c r="C39" s="3" t="s">
        <v>406</v>
      </c>
      <c r="D39" s="3" t="s">
        <v>407</v>
      </c>
      <c r="E39" s="3" t="s">
        <v>408</v>
      </c>
      <c r="F39" s="3" t="s">
        <v>241</v>
      </c>
      <c r="G39" s="3" t="s">
        <v>409</v>
      </c>
      <c r="H39" s="3" t="s">
        <v>410</v>
      </c>
      <c r="I39" s="3" t="s">
        <v>411</v>
      </c>
      <c r="J39" s="3" t="s">
        <v>412</v>
      </c>
      <c r="K39" s="10" t="s">
        <v>153</v>
      </c>
      <c r="L39" s="10" t="s">
        <v>246</v>
      </c>
      <c r="M39" s="10" t="s">
        <v>246</v>
      </c>
      <c r="N39" s="10" t="s">
        <v>155</v>
      </c>
      <c r="O39" s="10" t="s">
        <v>155</v>
      </c>
      <c r="P39" s="3" t="s">
        <v>413</v>
      </c>
      <c r="Q39" s="3" t="str">
        <f t="shared" si="1"/>
        <v>待评审/依据</v>
      </c>
      <c r="R39" s="3" t="s">
        <v>165</v>
      </c>
      <c r="S39" s="3" t="s">
        <v>414</v>
      </c>
    </row>
    <row r="40" ht="46" customHeight="1" spans="1:19">
      <c r="A40" s="3" t="s">
        <v>415</v>
      </c>
      <c r="B40" s="3" t="s">
        <v>238</v>
      </c>
      <c r="C40" s="3" t="s">
        <v>416</v>
      </c>
      <c r="D40" s="3" t="s">
        <v>417</v>
      </c>
      <c r="E40" s="3" t="s">
        <v>418</v>
      </c>
      <c r="F40" s="3" t="s">
        <v>241</v>
      </c>
      <c r="G40" s="3" t="s">
        <v>419</v>
      </c>
      <c r="H40" s="3" t="s">
        <v>420</v>
      </c>
      <c r="I40" s="3" t="s">
        <v>421</v>
      </c>
      <c r="J40" s="3" t="s">
        <v>422</v>
      </c>
      <c r="K40" s="10" t="s">
        <v>153</v>
      </c>
      <c r="L40" s="10" t="s">
        <v>246</v>
      </c>
      <c r="M40" s="10" t="s">
        <v>246</v>
      </c>
      <c r="N40" s="10" t="s">
        <v>155</v>
      </c>
      <c r="O40" s="10" t="s">
        <v>155</v>
      </c>
      <c r="P40" s="3" t="s">
        <v>423</v>
      </c>
      <c r="Q40" s="3" t="str">
        <f t="shared" si="1"/>
        <v>待评审/依据</v>
      </c>
      <c r="R40" s="3" t="s">
        <v>165</v>
      </c>
      <c r="S40" s="3" t="s">
        <v>317</v>
      </c>
    </row>
    <row r="41" ht="56" customHeight="1" spans="1:19">
      <c r="A41" s="3" t="s">
        <v>424</v>
      </c>
      <c r="B41" s="3" t="s">
        <v>238</v>
      </c>
      <c r="C41" s="3" t="s">
        <v>416</v>
      </c>
      <c r="D41" s="3" t="s">
        <v>417</v>
      </c>
      <c r="E41" s="3" t="s">
        <v>425</v>
      </c>
      <c r="F41" s="3" t="s">
        <v>241</v>
      </c>
      <c r="G41" s="3" t="s">
        <v>426</v>
      </c>
      <c r="H41" s="3" t="s">
        <v>427</v>
      </c>
      <c r="I41" s="3" t="s">
        <v>428</v>
      </c>
      <c r="J41" s="3" t="s">
        <v>429</v>
      </c>
      <c r="K41" s="10" t="s">
        <v>153</v>
      </c>
      <c r="L41" s="10" t="s">
        <v>246</v>
      </c>
      <c r="M41" s="10" t="s">
        <v>246</v>
      </c>
      <c r="N41" s="10" t="s">
        <v>155</v>
      </c>
      <c r="O41" s="10" t="s">
        <v>155</v>
      </c>
      <c r="P41" s="3" t="s">
        <v>430</v>
      </c>
      <c r="Q41" s="3" t="str">
        <f t="shared" si="1"/>
        <v>待评审/依据</v>
      </c>
      <c r="R41" s="3" t="s">
        <v>165</v>
      </c>
      <c r="S41" s="3" t="s">
        <v>317</v>
      </c>
    </row>
    <row r="42" ht="56" customHeight="1" spans="1:19">
      <c r="A42" s="3" t="s">
        <v>431</v>
      </c>
      <c r="B42" s="3" t="s">
        <v>238</v>
      </c>
      <c r="C42" s="3" t="s">
        <v>416</v>
      </c>
      <c r="D42" s="3" t="s">
        <v>417</v>
      </c>
      <c r="E42" s="3" t="s">
        <v>432</v>
      </c>
      <c r="F42" s="3" t="s">
        <v>241</v>
      </c>
      <c r="G42" s="3" t="s">
        <v>433</v>
      </c>
      <c r="H42" s="3" t="s">
        <v>434</v>
      </c>
      <c r="I42" s="3" t="s">
        <v>435</v>
      </c>
      <c r="J42" s="3" t="s">
        <v>436</v>
      </c>
      <c r="K42" s="10" t="s">
        <v>153</v>
      </c>
      <c r="L42" s="10" t="s">
        <v>246</v>
      </c>
      <c r="M42" s="10" t="s">
        <v>246</v>
      </c>
      <c r="N42" s="10" t="s">
        <v>155</v>
      </c>
      <c r="O42" s="10" t="s">
        <v>155</v>
      </c>
      <c r="P42" s="3" t="s">
        <v>437</v>
      </c>
      <c r="Q42" s="3" t="str">
        <f t="shared" si="1"/>
        <v>待评审/依据</v>
      </c>
      <c r="R42" s="3" t="s">
        <v>165</v>
      </c>
      <c r="S42" s="3" t="s">
        <v>317</v>
      </c>
    </row>
    <row r="43" ht="70" customHeight="1" spans="1:19">
      <c r="A43" s="3" t="s">
        <v>438</v>
      </c>
      <c r="B43" s="3" t="s">
        <v>238</v>
      </c>
      <c r="C43" s="3" t="s">
        <v>439</v>
      </c>
      <c r="D43" s="3" t="s">
        <v>440</v>
      </c>
      <c r="E43" s="3" t="s">
        <v>441</v>
      </c>
      <c r="F43" s="3" t="s">
        <v>241</v>
      </c>
      <c r="G43" s="3" t="s">
        <v>442</v>
      </c>
      <c r="H43" s="3" t="s">
        <v>443</v>
      </c>
      <c r="I43" s="3" t="s">
        <v>444</v>
      </c>
      <c r="J43" s="3" t="s">
        <v>445</v>
      </c>
      <c r="K43" s="10" t="s">
        <v>153</v>
      </c>
      <c r="L43" s="10" t="s">
        <v>246</v>
      </c>
      <c r="M43" s="10" t="s">
        <v>246</v>
      </c>
      <c r="N43" s="10" t="s">
        <v>155</v>
      </c>
      <c r="O43" s="10" t="s">
        <v>155</v>
      </c>
      <c r="P43" s="3" t="s">
        <v>446</v>
      </c>
      <c r="Q43" s="3" t="str">
        <f t="shared" si="1"/>
        <v>待评审/依据</v>
      </c>
      <c r="R43" s="3" t="s">
        <v>447</v>
      </c>
      <c r="S43" s="3" t="s">
        <v>317</v>
      </c>
    </row>
    <row r="44" ht="70" customHeight="1" spans="1:19">
      <c r="A44" s="3" t="s">
        <v>448</v>
      </c>
      <c r="B44" s="3" t="s">
        <v>238</v>
      </c>
      <c r="C44" s="3" t="s">
        <v>439</v>
      </c>
      <c r="D44" s="3" t="s">
        <v>449</v>
      </c>
      <c r="E44" s="3" t="s">
        <v>450</v>
      </c>
      <c r="F44" s="3" t="s">
        <v>241</v>
      </c>
      <c r="G44" s="3" t="s">
        <v>451</v>
      </c>
      <c r="H44" s="3" t="s">
        <v>452</v>
      </c>
      <c r="I44" s="3" t="s">
        <v>453</v>
      </c>
      <c r="J44" s="3" t="s">
        <v>454</v>
      </c>
      <c r="K44" s="10" t="s">
        <v>153</v>
      </c>
      <c r="L44" s="10" t="s">
        <v>246</v>
      </c>
      <c r="M44" s="10" t="s">
        <v>246</v>
      </c>
      <c r="N44" s="10" t="s">
        <v>155</v>
      </c>
      <c r="O44" s="10" t="s">
        <v>155</v>
      </c>
      <c r="P44" s="3" t="s">
        <v>455</v>
      </c>
      <c r="Q44" s="3" t="str">
        <f t="shared" si="1"/>
        <v>待评审/依据</v>
      </c>
      <c r="R44" s="3" t="s">
        <v>209</v>
      </c>
      <c r="S44" s="3" t="s">
        <v>317</v>
      </c>
    </row>
    <row r="45" ht="70" customHeight="1" spans="1:19">
      <c r="A45" s="3" t="s">
        <v>456</v>
      </c>
      <c r="B45" s="3" t="s">
        <v>238</v>
      </c>
      <c r="C45" s="3" t="s">
        <v>439</v>
      </c>
      <c r="D45" s="3" t="s">
        <v>449</v>
      </c>
      <c r="E45" s="3" t="s">
        <v>457</v>
      </c>
      <c r="F45" s="3" t="s">
        <v>241</v>
      </c>
      <c r="G45" s="3" t="s">
        <v>458</v>
      </c>
      <c r="H45" s="3" t="s">
        <v>459</v>
      </c>
      <c r="I45" s="3" t="s">
        <v>460</v>
      </c>
      <c r="J45" s="3" t="s">
        <v>461</v>
      </c>
      <c r="K45" s="10" t="s">
        <v>153</v>
      </c>
      <c r="L45" s="10" t="s">
        <v>246</v>
      </c>
      <c r="M45" s="10" t="s">
        <v>246</v>
      </c>
      <c r="N45" s="10" t="s">
        <v>155</v>
      </c>
      <c r="O45" s="10" t="s">
        <v>155</v>
      </c>
      <c r="P45" s="3" t="s">
        <v>462</v>
      </c>
      <c r="Q45" s="3" t="str">
        <f t="shared" si="1"/>
        <v>待评审/依据</v>
      </c>
      <c r="R45" s="3" t="s">
        <v>209</v>
      </c>
      <c r="S45" s="3" t="s">
        <v>317</v>
      </c>
    </row>
    <row r="46" ht="56" customHeight="1" spans="1:19">
      <c r="A46" s="3" t="s">
        <v>463</v>
      </c>
      <c r="B46" s="3" t="s">
        <v>238</v>
      </c>
      <c r="C46" s="3" t="s">
        <v>439</v>
      </c>
      <c r="D46" s="3" t="s">
        <v>464</v>
      </c>
      <c r="E46" s="3" t="s">
        <v>465</v>
      </c>
      <c r="F46" s="3" t="s">
        <v>241</v>
      </c>
      <c r="G46" s="3" t="s">
        <v>466</v>
      </c>
      <c r="H46" s="3" t="s">
        <v>467</v>
      </c>
      <c r="I46" s="3" t="s">
        <v>468</v>
      </c>
      <c r="J46" s="3" t="s">
        <v>469</v>
      </c>
      <c r="K46" s="10" t="s">
        <v>153</v>
      </c>
      <c r="L46" s="10" t="s">
        <v>246</v>
      </c>
      <c r="M46" s="10" t="s">
        <v>246</v>
      </c>
      <c r="N46" s="10" t="s">
        <v>155</v>
      </c>
      <c r="O46" s="10" t="s">
        <v>155</v>
      </c>
      <c r="P46" s="3" t="s">
        <v>470</v>
      </c>
      <c r="Q46" s="3" t="str">
        <f t="shared" si="1"/>
        <v>待评审/依据</v>
      </c>
      <c r="R46" s="3" t="s">
        <v>471</v>
      </c>
      <c r="S46" s="3" t="s">
        <v>317</v>
      </c>
    </row>
    <row r="47" ht="70" customHeight="1" spans="1:19">
      <c r="A47" s="3" t="s">
        <v>472</v>
      </c>
      <c r="B47" s="3" t="s">
        <v>238</v>
      </c>
      <c r="C47" s="3" t="s">
        <v>439</v>
      </c>
      <c r="D47" s="3" t="s">
        <v>449</v>
      </c>
      <c r="E47" s="3" t="s">
        <v>473</v>
      </c>
      <c r="F47" s="3" t="s">
        <v>241</v>
      </c>
      <c r="G47" s="3" t="s">
        <v>474</v>
      </c>
      <c r="H47" s="3" t="s">
        <v>475</v>
      </c>
      <c r="I47" s="3" t="s">
        <v>476</v>
      </c>
      <c r="J47" s="3" t="s">
        <v>477</v>
      </c>
      <c r="K47" s="10" t="s">
        <v>153</v>
      </c>
      <c r="L47" s="10" t="s">
        <v>246</v>
      </c>
      <c r="M47" s="10" t="s">
        <v>246</v>
      </c>
      <c r="N47" s="10" t="s">
        <v>155</v>
      </c>
      <c r="O47" s="10" t="s">
        <v>155</v>
      </c>
      <c r="P47" s="3" t="s">
        <v>478</v>
      </c>
      <c r="Q47" s="3" t="str">
        <f t="shared" si="1"/>
        <v>待评审/依据</v>
      </c>
      <c r="R47" s="3" t="s">
        <v>479</v>
      </c>
      <c r="S47" s="3" t="s">
        <v>317</v>
      </c>
    </row>
    <row r="48" ht="84" customHeight="1" spans="1:19">
      <c r="A48" s="3" t="s">
        <v>480</v>
      </c>
      <c r="B48" s="3" t="s">
        <v>238</v>
      </c>
      <c r="C48" s="3" t="s">
        <v>481</v>
      </c>
      <c r="D48" s="3" t="s">
        <v>482</v>
      </c>
      <c r="E48" s="3" t="s">
        <v>483</v>
      </c>
      <c r="F48" s="3" t="s">
        <v>241</v>
      </c>
      <c r="G48" s="3" t="s">
        <v>484</v>
      </c>
      <c r="H48" s="3" t="s">
        <v>485</v>
      </c>
      <c r="I48" s="3" t="s">
        <v>486</v>
      </c>
      <c r="J48" s="3" t="s">
        <v>487</v>
      </c>
      <c r="K48" s="10" t="s">
        <v>153</v>
      </c>
      <c r="L48" s="10" t="s">
        <v>246</v>
      </c>
      <c r="M48" s="10" t="s">
        <v>246</v>
      </c>
      <c r="N48" s="10" t="s">
        <v>155</v>
      </c>
      <c r="O48" s="10" t="s">
        <v>155</v>
      </c>
      <c r="P48" s="3" t="s">
        <v>350</v>
      </c>
      <c r="Q48" s="3" t="str">
        <f t="shared" si="1"/>
        <v>待评审/依据</v>
      </c>
      <c r="R48" s="3" t="s">
        <v>209</v>
      </c>
      <c r="S48" s="3" t="s">
        <v>317</v>
      </c>
    </row>
    <row r="49" ht="84" customHeight="1" spans="1:19">
      <c r="A49" s="3" t="s">
        <v>488</v>
      </c>
      <c r="B49" s="3" t="s">
        <v>238</v>
      </c>
      <c r="C49" s="3" t="s">
        <v>481</v>
      </c>
      <c r="D49" s="3" t="s">
        <v>482</v>
      </c>
      <c r="E49" s="3" t="s">
        <v>489</v>
      </c>
      <c r="F49" s="3" t="s">
        <v>241</v>
      </c>
      <c r="G49" s="3" t="s">
        <v>490</v>
      </c>
      <c r="H49" s="3" t="s">
        <v>491</v>
      </c>
      <c r="I49" s="3" t="s">
        <v>492</v>
      </c>
      <c r="J49" s="3" t="s">
        <v>493</v>
      </c>
      <c r="K49" s="10" t="s">
        <v>153</v>
      </c>
      <c r="L49" s="10" t="s">
        <v>246</v>
      </c>
      <c r="M49" s="10" t="s">
        <v>246</v>
      </c>
      <c r="N49" s="10" t="s">
        <v>155</v>
      </c>
      <c r="O49" s="10" t="s">
        <v>155</v>
      </c>
      <c r="P49" s="3" t="s">
        <v>494</v>
      </c>
      <c r="Q49" s="3" t="str">
        <f t="shared" si="1"/>
        <v>待评审/依据</v>
      </c>
      <c r="R49" s="3" t="s">
        <v>209</v>
      </c>
      <c r="S49" s="3" t="s">
        <v>317</v>
      </c>
    </row>
    <row r="50" ht="84" customHeight="1" spans="1:19">
      <c r="A50" s="3" t="s">
        <v>495</v>
      </c>
      <c r="B50" s="3" t="s">
        <v>238</v>
      </c>
      <c r="C50" s="3" t="s">
        <v>481</v>
      </c>
      <c r="D50" s="3" t="s">
        <v>482</v>
      </c>
      <c r="E50" s="3" t="s">
        <v>496</v>
      </c>
      <c r="F50" s="3" t="s">
        <v>241</v>
      </c>
      <c r="G50" s="3" t="s">
        <v>497</v>
      </c>
      <c r="H50" s="3" t="s">
        <v>498</v>
      </c>
      <c r="I50" s="3" t="s">
        <v>499</v>
      </c>
      <c r="J50" s="3" t="s">
        <v>500</v>
      </c>
      <c r="K50" s="10" t="s">
        <v>153</v>
      </c>
      <c r="L50" s="10" t="s">
        <v>246</v>
      </c>
      <c r="M50" s="10" t="s">
        <v>246</v>
      </c>
      <c r="N50" s="10" t="s">
        <v>155</v>
      </c>
      <c r="O50" s="10" t="s">
        <v>155</v>
      </c>
      <c r="P50" s="3" t="s">
        <v>501</v>
      </c>
      <c r="Q50" s="3" t="str">
        <f t="shared" si="1"/>
        <v>待评审/依据</v>
      </c>
      <c r="R50" s="3" t="s">
        <v>209</v>
      </c>
      <c r="S50" s="3" t="s">
        <v>317</v>
      </c>
    </row>
    <row r="51" ht="56" customHeight="1" spans="1:19">
      <c r="A51" s="3" t="s">
        <v>502</v>
      </c>
      <c r="B51" s="3" t="s">
        <v>238</v>
      </c>
      <c r="C51" s="3" t="s">
        <v>503</v>
      </c>
      <c r="D51" s="3" t="s">
        <v>504</v>
      </c>
      <c r="E51" s="3" t="s">
        <v>505</v>
      </c>
      <c r="F51" s="3" t="s">
        <v>241</v>
      </c>
      <c r="G51" s="3" t="s">
        <v>506</v>
      </c>
      <c r="H51" s="3" t="s">
        <v>507</v>
      </c>
      <c r="I51" s="3" t="s">
        <v>508</v>
      </c>
      <c r="J51" s="3" t="s">
        <v>509</v>
      </c>
      <c r="K51" s="10" t="s">
        <v>153</v>
      </c>
      <c r="L51" s="10" t="s">
        <v>246</v>
      </c>
      <c r="M51" s="10" t="s">
        <v>246</v>
      </c>
      <c r="N51" s="10" t="s">
        <v>155</v>
      </c>
      <c r="O51" s="10" t="s">
        <v>155</v>
      </c>
      <c r="P51" s="3" t="s">
        <v>510</v>
      </c>
      <c r="Q51" s="3" t="str">
        <f t="shared" si="1"/>
        <v>待评审/依据</v>
      </c>
      <c r="R51" s="3" t="s">
        <v>165</v>
      </c>
      <c r="S51" s="3" t="s">
        <v>317</v>
      </c>
    </row>
    <row r="52" ht="46" customHeight="1" spans="1:19">
      <c r="A52" s="3" t="s">
        <v>511</v>
      </c>
      <c r="B52" s="3" t="s">
        <v>238</v>
      </c>
      <c r="C52" s="3" t="s">
        <v>503</v>
      </c>
      <c r="D52" s="3" t="s">
        <v>504</v>
      </c>
      <c r="E52" s="3" t="s">
        <v>512</v>
      </c>
      <c r="F52" s="3" t="s">
        <v>241</v>
      </c>
      <c r="G52" s="3" t="s">
        <v>513</v>
      </c>
      <c r="H52" s="3" t="s">
        <v>514</v>
      </c>
      <c r="I52" s="3" t="s">
        <v>515</v>
      </c>
      <c r="J52" s="3" t="s">
        <v>516</v>
      </c>
      <c r="K52" s="10" t="s">
        <v>153</v>
      </c>
      <c r="L52" s="10" t="s">
        <v>246</v>
      </c>
      <c r="M52" s="10" t="s">
        <v>246</v>
      </c>
      <c r="N52" s="10" t="s">
        <v>155</v>
      </c>
      <c r="O52" s="10" t="s">
        <v>155</v>
      </c>
      <c r="P52" s="3" t="s">
        <v>517</v>
      </c>
      <c r="Q52" s="3" t="str">
        <f t="shared" si="1"/>
        <v>待评审/依据</v>
      </c>
      <c r="R52" s="3" t="s">
        <v>165</v>
      </c>
      <c r="S52" s="3" t="s">
        <v>317</v>
      </c>
    </row>
    <row r="53" ht="46" customHeight="1" spans="1:19">
      <c r="A53" s="3" t="s">
        <v>518</v>
      </c>
      <c r="B53" s="3" t="s">
        <v>238</v>
      </c>
      <c r="C53" s="3" t="s">
        <v>519</v>
      </c>
      <c r="D53" s="3" t="s">
        <v>520</v>
      </c>
      <c r="E53" s="3" t="s">
        <v>521</v>
      </c>
      <c r="F53" s="3" t="s">
        <v>241</v>
      </c>
      <c r="G53" s="3" t="s">
        <v>522</v>
      </c>
      <c r="H53" s="3" t="s">
        <v>523</v>
      </c>
      <c r="I53" s="3" t="s">
        <v>524</v>
      </c>
      <c r="J53" s="3" t="s">
        <v>525</v>
      </c>
      <c r="K53" s="10" t="s">
        <v>153</v>
      </c>
      <c r="L53" s="10" t="s">
        <v>246</v>
      </c>
      <c r="M53" s="10" t="s">
        <v>246</v>
      </c>
      <c r="N53" s="10" t="s">
        <v>155</v>
      </c>
      <c r="O53" s="10" t="s">
        <v>155</v>
      </c>
      <c r="P53" s="3" t="s">
        <v>526</v>
      </c>
      <c r="Q53" s="3" t="str">
        <f t="shared" si="1"/>
        <v>待评审/依据</v>
      </c>
      <c r="R53" s="3" t="s">
        <v>165</v>
      </c>
      <c r="S53" s="3" t="s">
        <v>317</v>
      </c>
    </row>
    <row r="54" ht="56" customHeight="1" spans="1:19">
      <c r="A54" s="3" t="s">
        <v>527</v>
      </c>
      <c r="B54" s="3" t="s">
        <v>238</v>
      </c>
      <c r="C54" s="3" t="s">
        <v>528</v>
      </c>
      <c r="D54" s="3" t="s">
        <v>181</v>
      </c>
      <c r="E54" s="3" t="s">
        <v>529</v>
      </c>
      <c r="F54" s="3" t="s">
        <v>241</v>
      </c>
      <c r="G54" s="3" t="s">
        <v>530</v>
      </c>
      <c r="H54" s="3" t="s">
        <v>531</v>
      </c>
      <c r="I54" s="3" t="s">
        <v>532</v>
      </c>
      <c r="J54" s="3" t="s">
        <v>533</v>
      </c>
      <c r="K54" s="10" t="s">
        <v>153</v>
      </c>
      <c r="L54" s="10" t="s">
        <v>246</v>
      </c>
      <c r="M54" s="10" t="s">
        <v>246</v>
      </c>
      <c r="N54" s="10" t="s">
        <v>155</v>
      </c>
      <c r="O54" s="10" t="s">
        <v>155</v>
      </c>
      <c r="P54" s="3" t="s">
        <v>534</v>
      </c>
      <c r="Q54" s="3" t="str">
        <f t="shared" si="1"/>
        <v>待评审/依据</v>
      </c>
      <c r="R54" s="3" t="s">
        <v>165</v>
      </c>
      <c r="S54" s="3" t="s">
        <v>317</v>
      </c>
    </row>
    <row r="55" ht="56" customHeight="1" spans="1:19">
      <c r="A55" s="3" t="s">
        <v>535</v>
      </c>
      <c r="B55" s="3" t="s">
        <v>238</v>
      </c>
      <c r="C55" s="3" t="s">
        <v>536</v>
      </c>
      <c r="D55" s="3" t="s">
        <v>537</v>
      </c>
      <c r="E55" s="3" t="s">
        <v>538</v>
      </c>
      <c r="F55" s="3" t="s">
        <v>241</v>
      </c>
      <c r="G55" s="3" t="s">
        <v>539</v>
      </c>
      <c r="H55" s="3" t="s">
        <v>540</v>
      </c>
      <c r="I55" s="3" t="s">
        <v>541</v>
      </c>
      <c r="J55" s="3" t="s">
        <v>542</v>
      </c>
      <c r="K55" s="10" t="s">
        <v>153</v>
      </c>
      <c r="L55" s="10" t="s">
        <v>246</v>
      </c>
      <c r="M55" s="10" t="s">
        <v>246</v>
      </c>
      <c r="N55" s="10" t="s">
        <v>155</v>
      </c>
      <c r="O55" s="10" t="s">
        <v>155</v>
      </c>
      <c r="P55" s="3" t="s">
        <v>543</v>
      </c>
      <c r="Q55" s="3" t="str">
        <f t="shared" si="1"/>
        <v>待评审/依据</v>
      </c>
      <c r="R55" s="3" t="s">
        <v>194</v>
      </c>
      <c r="S55" s="3" t="s">
        <v>317</v>
      </c>
    </row>
    <row r="56" ht="56" customHeight="1" spans="1:19">
      <c r="A56" s="3" t="s">
        <v>544</v>
      </c>
      <c r="B56" s="3" t="s">
        <v>238</v>
      </c>
      <c r="C56" s="3" t="s">
        <v>545</v>
      </c>
      <c r="D56" s="3" t="s">
        <v>546</v>
      </c>
      <c r="E56" s="3" t="s">
        <v>547</v>
      </c>
      <c r="F56" s="3" t="s">
        <v>241</v>
      </c>
      <c r="G56" s="3" t="s">
        <v>548</v>
      </c>
      <c r="H56" s="3" t="s">
        <v>549</v>
      </c>
      <c r="I56" s="3" t="s">
        <v>550</v>
      </c>
      <c r="J56" s="3" t="s">
        <v>551</v>
      </c>
      <c r="K56" s="10" t="s">
        <v>153</v>
      </c>
      <c r="L56" s="10" t="s">
        <v>246</v>
      </c>
      <c r="M56" s="10" t="s">
        <v>246</v>
      </c>
      <c r="N56" s="10" t="s">
        <v>155</v>
      </c>
      <c r="O56" s="10" t="s">
        <v>155</v>
      </c>
      <c r="P56" s="3" t="s">
        <v>552</v>
      </c>
      <c r="Q56" s="3" t="str">
        <f t="shared" si="1"/>
        <v>待评审/依据</v>
      </c>
      <c r="R56" s="3" t="s">
        <v>209</v>
      </c>
      <c r="S56" s="3" t="s">
        <v>317</v>
      </c>
    </row>
    <row r="57" ht="56" customHeight="1" spans="1:19">
      <c r="A57" s="3" t="s">
        <v>553</v>
      </c>
      <c r="B57" s="3" t="s">
        <v>238</v>
      </c>
      <c r="C57" s="3" t="s">
        <v>554</v>
      </c>
      <c r="D57" s="3" t="s">
        <v>555</v>
      </c>
      <c r="E57" s="3" t="s">
        <v>556</v>
      </c>
      <c r="F57" s="3" t="s">
        <v>241</v>
      </c>
      <c r="G57" s="3" t="s">
        <v>557</v>
      </c>
      <c r="H57" s="3" t="s">
        <v>558</v>
      </c>
      <c r="I57" s="3" t="s">
        <v>559</v>
      </c>
      <c r="J57" s="3" t="s">
        <v>560</v>
      </c>
      <c r="K57" s="10" t="s">
        <v>153</v>
      </c>
      <c r="L57" s="10" t="s">
        <v>246</v>
      </c>
      <c r="M57" s="10" t="s">
        <v>246</v>
      </c>
      <c r="N57" s="10" t="s">
        <v>155</v>
      </c>
      <c r="O57" s="10" t="s">
        <v>155</v>
      </c>
      <c r="P57" s="3" t="s">
        <v>561</v>
      </c>
      <c r="Q57" s="3" t="str">
        <f t="shared" si="1"/>
        <v>待评审/依据</v>
      </c>
      <c r="R57" s="3" t="s">
        <v>562</v>
      </c>
      <c r="S57" s="3" t="s">
        <v>317</v>
      </c>
    </row>
    <row r="58" ht="56" customHeight="1" spans="1:19">
      <c r="A58" s="3" t="s">
        <v>563</v>
      </c>
      <c r="B58" s="3" t="s">
        <v>238</v>
      </c>
      <c r="C58" s="3" t="s">
        <v>564</v>
      </c>
      <c r="D58" s="3" t="s">
        <v>146</v>
      </c>
      <c r="E58" s="3" t="s">
        <v>565</v>
      </c>
      <c r="F58" s="3" t="s">
        <v>241</v>
      </c>
      <c r="G58" s="3" t="s">
        <v>566</v>
      </c>
      <c r="H58" s="3" t="s">
        <v>567</v>
      </c>
      <c r="I58" s="3" t="s">
        <v>568</v>
      </c>
      <c r="J58" s="3" t="s">
        <v>569</v>
      </c>
      <c r="K58" s="10" t="s">
        <v>153</v>
      </c>
      <c r="L58" s="10" t="s">
        <v>246</v>
      </c>
      <c r="M58" s="10" t="s">
        <v>246</v>
      </c>
      <c r="N58" s="10" t="s">
        <v>155</v>
      </c>
      <c r="O58" s="10" t="s">
        <v>155</v>
      </c>
      <c r="P58" s="3" t="s">
        <v>570</v>
      </c>
      <c r="Q58" s="3" t="str">
        <f t="shared" si="1"/>
        <v>待评审/依据</v>
      </c>
      <c r="R58" s="3" t="s">
        <v>571</v>
      </c>
      <c r="S58" s="3" t="s">
        <v>248</v>
      </c>
    </row>
    <row r="59" ht="56" customHeight="1" spans="1:19">
      <c r="A59" s="3" t="s">
        <v>572</v>
      </c>
      <c r="B59" s="3" t="s">
        <v>238</v>
      </c>
      <c r="C59" s="3" t="s">
        <v>573</v>
      </c>
      <c r="D59" s="3" t="s">
        <v>417</v>
      </c>
      <c r="E59" s="3" t="s">
        <v>574</v>
      </c>
      <c r="F59" s="3" t="s">
        <v>148</v>
      </c>
      <c r="G59" s="3" t="s">
        <v>575</v>
      </c>
      <c r="H59" s="3" t="s">
        <v>576</v>
      </c>
      <c r="I59" s="3" t="s">
        <v>577</v>
      </c>
      <c r="J59" s="3" t="s">
        <v>578</v>
      </c>
      <c r="K59" s="10" t="s">
        <v>153</v>
      </c>
      <c r="L59" s="10" t="s">
        <v>246</v>
      </c>
      <c r="M59" s="10" t="s">
        <v>246</v>
      </c>
      <c r="N59" s="10" t="s">
        <v>155</v>
      </c>
      <c r="O59" s="10" t="s">
        <v>155</v>
      </c>
      <c r="P59" s="3" t="s">
        <v>579</v>
      </c>
      <c r="Q59" s="3" t="str">
        <f t="shared" si="1"/>
        <v>待评审/依据</v>
      </c>
      <c r="R59" s="3" t="s">
        <v>165</v>
      </c>
      <c r="S59" s="3" t="s">
        <v>317</v>
      </c>
    </row>
    <row r="60" ht="56" customHeight="1" spans="1:19">
      <c r="A60" s="3" t="s">
        <v>580</v>
      </c>
      <c r="B60" s="3" t="s">
        <v>238</v>
      </c>
      <c r="C60" s="3" t="s">
        <v>581</v>
      </c>
      <c r="D60" s="3" t="s">
        <v>582</v>
      </c>
      <c r="E60" s="3" t="s">
        <v>583</v>
      </c>
      <c r="F60" s="3" t="s">
        <v>241</v>
      </c>
      <c r="G60" s="3" t="s">
        <v>584</v>
      </c>
      <c r="H60" s="3" t="s">
        <v>585</v>
      </c>
      <c r="I60" s="3" t="s">
        <v>586</v>
      </c>
      <c r="J60" s="3" t="s">
        <v>587</v>
      </c>
      <c r="K60" s="10" t="s">
        <v>153</v>
      </c>
      <c r="L60" s="10" t="s">
        <v>246</v>
      </c>
      <c r="M60" s="10" t="s">
        <v>246</v>
      </c>
      <c r="N60" s="10" t="s">
        <v>155</v>
      </c>
      <c r="O60" s="10" t="s">
        <v>155</v>
      </c>
      <c r="P60" s="3" t="s">
        <v>588</v>
      </c>
      <c r="Q60" s="3" t="str">
        <f t="shared" si="1"/>
        <v>待评审/依据</v>
      </c>
      <c r="R60" s="3" t="s">
        <v>217</v>
      </c>
      <c r="S60" s="3" t="s">
        <v>317</v>
      </c>
    </row>
    <row r="61" ht="56" customHeight="1" spans="1:19">
      <c r="A61" s="3" t="s">
        <v>589</v>
      </c>
      <c r="B61" s="3" t="s">
        <v>238</v>
      </c>
      <c r="C61" s="3" t="s">
        <v>581</v>
      </c>
      <c r="D61" s="3" t="s">
        <v>582</v>
      </c>
      <c r="E61" s="3" t="s">
        <v>590</v>
      </c>
      <c r="F61" s="3" t="s">
        <v>148</v>
      </c>
      <c r="G61" s="3" t="s">
        <v>591</v>
      </c>
      <c r="H61" s="3" t="s">
        <v>592</v>
      </c>
      <c r="I61" s="3" t="s">
        <v>593</v>
      </c>
      <c r="J61" s="3" t="s">
        <v>594</v>
      </c>
      <c r="K61" s="10" t="s">
        <v>153</v>
      </c>
      <c r="L61" s="10" t="s">
        <v>246</v>
      </c>
      <c r="M61" s="10" t="s">
        <v>246</v>
      </c>
      <c r="N61" s="10" t="s">
        <v>155</v>
      </c>
      <c r="O61" s="10" t="s">
        <v>155</v>
      </c>
      <c r="P61" s="3" t="s">
        <v>595</v>
      </c>
      <c r="Q61" s="3" t="str">
        <f t="shared" si="1"/>
        <v>待评审/依据</v>
      </c>
      <c r="R61" s="3" t="s">
        <v>217</v>
      </c>
      <c r="S61" s="3" t="s">
        <v>317</v>
      </c>
    </row>
    <row r="62" ht="56" customHeight="1" spans="1:19">
      <c r="A62" s="3" t="s">
        <v>596</v>
      </c>
      <c r="B62" s="3" t="s">
        <v>238</v>
      </c>
      <c r="C62" s="3" t="s">
        <v>597</v>
      </c>
      <c r="D62" s="3" t="s">
        <v>598</v>
      </c>
      <c r="E62" s="3" t="s">
        <v>599</v>
      </c>
      <c r="F62" s="3" t="s">
        <v>241</v>
      </c>
      <c r="G62" s="3" t="s">
        <v>600</v>
      </c>
      <c r="H62" s="3" t="s">
        <v>601</v>
      </c>
      <c r="I62" s="3" t="s">
        <v>602</v>
      </c>
      <c r="J62" s="3" t="s">
        <v>603</v>
      </c>
      <c r="K62" s="10" t="s">
        <v>153</v>
      </c>
      <c r="L62" s="10" t="s">
        <v>246</v>
      </c>
      <c r="M62" s="10" t="s">
        <v>246</v>
      </c>
      <c r="N62" s="10" t="s">
        <v>155</v>
      </c>
      <c r="O62" s="10" t="s">
        <v>155</v>
      </c>
      <c r="P62" s="3" t="s">
        <v>604</v>
      </c>
      <c r="Q62" s="3" t="str">
        <f t="shared" si="1"/>
        <v>待评审/依据</v>
      </c>
      <c r="R62" s="3" t="s">
        <v>217</v>
      </c>
      <c r="S62" s="3" t="s">
        <v>317</v>
      </c>
    </row>
    <row r="63" ht="46" customHeight="1" spans="1:19">
      <c r="A63" s="3" t="s">
        <v>605</v>
      </c>
      <c r="B63" s="3" t="s">
        <v>238</v>
      </c>
      <c r="C63" s="3" t="s">
        <v>606</v>
      </c>
      <c r="D63" s="3" t="s">
        <v>146</v>
      </c>
      <c r="E63" s="3" t="s">
        <v>607</v>
      </c>
      <c r="F63" s="3" t="s">
        <v>241</v>
      </c>
      <c r="G63" s="3" t="s">
        <v>608</v>
      </c>
      <c r="H63" s="3" t="s">
        <v>609</v>
      </c>
      <c r="I63" s="3" t="s">
        <v>610</v>
      </c>
      <c r="J63" s="3" t="s">
        <v>611</v>
      </c>
      <c r="K63" s="10" t="s">
        <v>153</v>
      </c>
      <c r="L63" s="10" t="s">
        <v>246</v>
      </c>
      <c r="M63" s="10" t="s">
        <v>246</v>
      </c>
      <c r="N63" s="10" t="s">
        <v>155</v>
      </c>
      <c r="O63" s="10" t="s">
        <v>155</v>
      </c>
      <c r="P63" s="3" t="s">
        <v>612</v>
      </c>
      <c r="Q63" s="3" t="str">
        <f t="shared" si="1"/>
        <v>待评审/依据</v>
      </c>
      <c r="R63" s="3" t="s">
        <v>156</v>
      </c>
      <c r="S63" s="3" t="s">
        <v>248</v>
      </c>
    </row>
    <row r="64" ht="46" customHeight="1" spans="1:19">
      <c r="A64" s="3" t="s">
        <v>613</v>
      </c>
      <c r="B64" s="3" t="s">
        <v>238</v>
      </c>
      <c r="C64" s="3" t="s">
        <v>614</v>
      </c>
      <c r="D64" s="3" t="s">
        <v>146</v>
      </c>
      <c r="E64" s="3" t="s">
        <v>615</v>
      </c>
      <c r="F64" s="3" t="s">
        <v>241</v>
      </c>
      <c r="G64" s="3" t="s">
        <v>616</v>
      </c>
      <c r="H64" s="3" t="s">
        <v>617</v>
      </c>
      <c r="I64" s="3" t="s">
        <v>618</v>
      </c>
      <c r="J64" s="3" t="s">
        <v>619</v>
      </c>
      <c r="K64" s="10" t="s">
        <v>153</v>
      </c>
      <c r="L64" s="10" t="s">
        <v>246</v>
      </c>
      <c r="M64" s="10" t="s">
        <v>246</v>
      </c>
      <c r="N64" s="10" t="s">
        <v>155</v>
      </c>
      <c r="O64" s="10" t="s">
        <v>155</v>
      </c>
      <c r="P64" s="3" t="s">
        <v>620</v>
      </c>
      <c r="Q64" s="3" t="str">
        <f t="shared" si="1"/>
        <v>待评审/依据</v>
      </c>
      <c r="R64" s="3" t="s">
        <v>156</v>
      </c>
      <c r="S64" s="3" t="s">
        <v>248</v>
      </c>
    </row>
    <row r="65" ht="46" customHeight="1" spans="1:19">
      <c r="A65" s="3" t="s">
        <v>621</v>
      </c>
      <c r="B65" s="3" t="s">
        <v>622</v>
      </c>
      <c r="C65" s="3" t="s">
        <v>623</v>
      </c>
      <c r="D65" s="3" t="s">
        <v>624</v>
      </c>
      <c r="E65" s="3" t="s">
        <v>625</v>
      </c>
      <c r="F65" s="3" t="s">
        <v>241</v>
      </c>
      <c r="G65" s="3" t="s">
        <v>626</v>
      </c>
      <c r="H65" s="3" t="s">
        <v>627</v>
      </c>
      <c r="I65" s="3" t="s">
        <v>628</v>
      </c>
      <c r="J65" s="3" t="s">
        <v>629</v>
      </c>
      <c r="K65" s="10" t="s">
        <v>153</v>
      </c>
      <c r="L65" s="10" t="s">
        <v>246</v>
      </c>
      <c r="M65" s="10" t="s">
        <v>246</v>
      </c>
      <c r="N65" s="10" t="s">
        <v>155</v>
      </c>
      <c r="O65" s="10" t="s">
        <v>155</v>
      </c>
      <c r="P65" s="3" t="s">
        <v>630</v>
      </c>
      <c r="Q65" s="3" t="str">
        <f t="shared" si="1"/>
        <v>待评审/依据</v>
      </c>
      <c r="R65" s="3" t="s">
        <v>165</v>
      </c>
      <c r="S65" s="3" t="s">
        <v>631</v>
      </c>
    </row>
    <row r="66" ht="46" customHeight="1" spans="1:19">
      <c r="A66" s="3" t="s">
        <v>632</v>
      </c>
      <c r="B66" s="3" t="s">
        <v>622</v>
      </c>
      <c r="C66" s="3" t="s">
        <v>623</v>
      </c>
      <c r="D66" s="3" t="s">
        <v>417</v>
      </c>
      <c r="E66" s="3" t="s">
        <v>633</v>
      </c>
      <c r="F66" s="3" t="s">
        <v>148</v>
      </c>
      <c r="G66" s="3" t="s">
        <v>634</v>
      </c>
      <c r="H66" s="3" t="s">
        <v>635</v>
      </c>
      <c r="I66" s="3" t="s">
        <v>636</v>
      </c>
      <c r="J66" s="3" t="s">
        <v>637</v>
      </c>
      <c r="K66" s="10" t="s">
        <v>153</v>
      </c>
      <c r="L66" s="10" t="s">
        <v>246</v>
      </c>
      <c r="M66" s="10" t="s">
        <v>246</v>
      </c>
      <c r="N66" s="10" t="s">
        <v>155</v>
      </c>
      <c r="O66" s="10" t="s">
        <v>155</v>
      </c>
      <c r="P66" s="3" t="s">
        <v>638</v>
      </c>
      <c r="Q66" s="3" t="str">
        <f t="shared" si="1"/>
        <v>待评审/依据</v>
      </c>
      <c r="R66" s="3" t="s">
        <v>165</v>
      </c>
      <c r="S66" s="3" t="s">
        <v>631</v>
      </c>
    </row>
    <row r="67" ht="46" customHeight="1" spans="1:19">
      <c r="A67" s="3" t="s">
        <v>639</v>
      </c>
      <c r="B67" s="3" t="s">
        <v>622</v>
      </c>
      <c r="C67" s="3" t="s">
        <v>623</v>
      </c>
      <c r="D67" s="3" t="s">
        <v>159</v>
      </c>
      <c r="E67" s="3" t="s">
        <v>640</v>
      </c>
      <c r="F67" s="3" t="s">
        <v>148</v>
      </c>
      <c r="G67" s="3" t="s">
        <v>641</v>
      </c>
      <c r="H67" s="3" t="s">
        <v>642</v>
      </c>
      <c r="I67" s="3" t="s">
        <v>643</v>
      </c>
      <c r="J67" s="3" t="s">
        <v>644</v>
      </c>
      <c r="K67" s="10" t="s">
        <v>153</v>
      </c>
      <c r="L67" s="10" t="s">
        <v>246</v>
      </c>
      <c r="M67" s="10" t="s">
        <v>246</v>
      </c>
      <c r="N67" s="10" t="s">
        <v>155</v>
      </c>
      <c r="O67" s="10" t="s">
        <v>155</v>
      </c>
      <c r="P67" s="3" t="s">
        <v>645</v>
      </c>
      <c r="Q67" s="3" t="str">
        <f t="shared" si="1"/>
        <v>待评审/依据</v>
      </c>
      <c r="R67" s="3" t="s">
        <v>165</v>
      </c>
      <c r="S67" s="3" t="s">
        <v>631</v>
      </c>
    </row>
    <row r="68" ht="46" customHeight="1" spans="1:19">
      <c r="A68" s="3" t="s">
        <v>646</v>
      </c>
      <c r="B68" s="3" t="s">
        <v>622</v>
      </c>
      <c r="C68" s="3" t="s">
        <v>623</v>
      </c>
      <c r="D68" s="3" t="s">
        <v>167</v>
      </c>
      <c r="E68" s="3" t="s">
        <v>647</v>
      </c>
      <c r="F68" s="3" t="s">
        <v>148</v>
      </c>
      <c r="G68" s="3" t="s">
        <v>648</v>
      </c>
      <c r="H68" s="3" t="s">
        <v>649</v>
      </c>
      <c r="I68" s="3" t="s">
        <v>650</v>
      </c>
      <c r="J68" s="3" t="s">
        <v>651</v>
      </c>
      <c r="K68" s="10" t="s">
        <v>153</v>
      </c>
      <c r="L68" s="10" t="s">
        <v>246</v>
      </c>
      <c r="M68" s="10" t="s">
        <v>246</v>
      </c>
      <c r="N68" s="10" t="s">
        <v>155</v>
      </c>
      <c r="O68" s="10" t="s">
        <v>155</v>
      </c>
      <c r="P68" s="3" t="s">
        <v>652</v>
      </c>
      <c r="Q68" s="3" t="str">
        <f t="shared" si="1"/>
        <v>待评审/依据</v>
      </c>
      <c r="R68" s="3" t="s">
        <v>165</v>
      </c>
      <c r="S68" s="3" t="s">
        <v>631</v>
      </c>
    </row>
    <row r="69" ht="46" customHeight="1" spans="1:19">
      <c r="A69" s="3" t="s">
        <v>653</v>
      </c>
      <c r="B69" s="3" t="s">
        <v>622</v>
      </c>
      <c r="C69" s="3" t="s">
        <v>623</v>
      </c>
      <c r="D69" s="3" t="s">
        <v>654</v>
      </c>
      <c r="E69" s="3" t="s">
        <v>655</v>
      </c>
      <c r="F69" s="3" t="s">
        <v>241</v>
      </c>
      <c r="G69" s="3" t="s">
        <v>656</v>
      </c>
      <c r="H69" s="3" t="s">
        <v>657</v>
      </c>
      <c r="I69" s="3" t="s">
        <v>658</v>
      </c>
      <c r="J69" s="3" t="s">
        <v>659</v>
      </c>
      <c r="K69" s="10" t="s">
        <v>153</v>
      </c>
      <c r="L69" s="10" t="s">
        <v>246</v>
      </c>
      <c r="M69" s="10" t="s">
        <v>246</v>
      </c>
      <c r="N69" s="10" t="s">
        <v>155</v>
      </c>
      <c r="O69" s="10" t="s">
        <v>155</v>
      </c>
      <c r="P69" s="3" t="s">
        <v>660</v>
      </c>
      <c r="Q69" s="3" t="str">
        <f t="shared" si="1"/>
        <v>待评审/依据</v>
      </c>
      <c r="R69" s="3" t="s">
        <v>165</v>
      </c>
      <c r="S69" s="3" t="s">
        <v>631</v>
      </c>
    </row>
    <row r="70" ht="46" customHeight="1" spans="1:19">
      <c r="A70" s="3" t="s">
        <v>661</v>
      </c>
      <c r="B70" s="3" t="s">
        <v>622</v>
      </c>
      <c r="C70" s="3" t="s">
        <v>662</v>
      </c>
      <c r="D70" s="3" t="s">
        <v>663</v>
      </c>
      <c r="E70" s="3" t="s">
        <v>664</v>
      </c>
      <c r="F70" s="3" t="s">
        <v>241</v>
      </c>
      <c r="G70" s="3" t="s">
        <v>665</v>
      </c>
      <c r="H70" s="3" t="s">
        <v>666</v>
      </c>
      <c r="I70" s="3" t="s">
        <v>667</v>
      </c>
      <c r="J70" s="3" t="s">
        <v>668</v>
      </c>
      <c r="K70" s="10" t="s">
        <v>153</v>
      </c>
      <c r="L70" s="10" t="s">
        <v>246</v>
      </c>
      <c r="M70" s="10" t="s">
        <v>246</v>
      </c>
      <c r="N70" s="10" t="s">
        <v>155</v>
      </c>
      <c r="O70" s="10" t="s">
        <v>155</v>
      </c>
      <c r="P70" s="3" t="s">
        <v>669</v>
      </c>
      <c r="Q70" s="3" t="str">
        <f t="shared" si="1"/>
        <v>待评审/依据</v>
      </c>
      <c r="R70" s="3" t="s">
        <v>165</v>
      </c>
      <c r="S70" s="3" t="s">
        <v>631</v>
      </c>
    </row>
    <row r="71" ht="46" customHeight="1" spans="1:19">
      <c r="A71" s="3" t="s">
        <v>670</v>
      </c>
      <c r="B71" s="3" t="s">
        <v>622</v>
      </c>
      <c r="C71" s="3" t="s">
        <v>662</v>
      </c>
      <c r="D71" s="3" t="s">
        <v>671</v>
      </c>
      <c r="E71" s="3" t="s">
        <v>672</v>
      </c>
      <c r="F71" s="3" t="s">
        <v>241</v>
      </c>
      <c r="G71" s="3" t="s">
        <v>673</v>
      </c>
      <c r="H71" s="3" t="s">
        <v>674</v>
      </c>
      <c r="I71" s="3" t="s">
        <v>675</v>
      </c>
      <c r="J71" s="3" t="s">
        <v>676</v>
      </c>
      <c r="K71" s="10" t="s">
        <v>153</v>
      </c>
      <c r="L71" s="10" t="s">
        <v>246</v>
      </c>
      <c r="M71" s="10" t="s">
        <v>246</v>
      </c>
      <c r="N71" s="10" t="s">
        <v>155</v>
      </c>
      <c r="O71" s="10" t="s">
        <v>155</v>
      </c>
      <c r="P71" s="3" t="s">
        <v>677</v>
      </c>
      <c r="Q71" s="3" t="str">
        <f t="shared" si="1"/>
        <v>待评审/依据</v>
      </c>
      <c r="R71" s="3" t="s">
        <v>165</v>
      </c>
      <c r="S71" s="3" t="s">
        <v>631</v>
      </c>
    </row>
    <row r="72" ht="46" customHeight="1" spans="1:19">
      <c r="A72" s="3" t="s">
        <v>678</v>
      </c>
      <c r="B72" s="3" t="s">
        <v>622</v>
      </c>
      <c r="C72" s="3" t="s">
        <v>662</v>
      </c>
      <c r="D72" s="3" t="s">
        <v>520</v>
      </c>
      <c r="E72" s="3" t="s">
        <v>679</v>
      </c>
      <c r="F72" s="3" t="s">
        <v>241</v>
      </c>
      <c r="G72" s="3" t="s">
        <v>680</v>
      </c>
      <c r="H72" s="3" t="s">
        <v>681</v>
      </c>
      <c r="I72" s="3" t="s">
        <v>682</v>
      </c>
      <c r="J72" s="3" t="s">
        <v>683</v>
      </c>
      <c r="K72" s="10" t="s">
        <v>153</v>
      </c>
      <c r="L72" s="10" t="s">
        <v>246</v>
      </c>
      <c r="M72" s="10" t="s">
        <v>246</v>
      </c>
      <c r="N72" s="10" t="s">
        <v>155</v>
      </c>
      <c r="O72" s="10" t="s">
        <v>155</v>
      </c>
      <c r="P72" s="3" t="s">
        <v>684</v>
      </c>
      <c r="Q72" s="3" t="str">
        <f t="shared" si="1"/>
        <v>待评审/依据</v>
      </c>
      <c r="R72" s="3" t="s">
        <v>165</v>
      </c>
      <c r="S72" s="3" t="s">
        <v>631</v>
      </c>
    </row>
    <row r="73" ht="46" customHeight="1" spans="1:19">
      <c r="A73" s="3" t="s">
        <v>685</v>
      </c>
      <c r="B73" s="3" t="s">
        <v>622</v>
      </c>
      <c r="C73" s="3" t="s">
        <v>662</v>
      </c>
      <c r="D73" s="3" t="s">
        <v>686</v>
      </c>
      <c r="E73" s="3" t="s">
        <v>687</v>
      </c>
      <c r="F73" s="3" t="s">
        <v>241</v>
      </c>
      <c r="G73" s="3" t="s">
        <v>688</v>
      </c>
      <c r="H73" s="3" t="s">
        <v>689</v>
      </c>
      <c r="I73" s="3" t="s">
        <v>690</v>
      </c>
      <c r="J73" s="3" t="s">
        <v>691</v>
      </c>
      <c r="K73" s="10" t="s">
        <v>153</v>
      </c>
      <c r="L73" s="10" t="s">
        <v>246</v>
      </c>
      <c r="M73" s="10" t="s">
        <v>246</v>
      </c>
      <c r="N73" s="10" t="s">
        <v>155</v>
      </c>
      <c r="O73" s="10" t="s">
        <v>155</v>
      </c>
      <c r="P73" s="3" t="s">
        <v>692</v>
      </c>
      <c r="Q73" s="3" t="str">
        <f t="shared" si="1"/>
        <v>待评审/依据</v>
      </c>
      <c r="R73" s="3" t="s">
        <v>165</v>
      </c>
      <c r="S73" s="3" t="s">
        <v>631</v>
      </c>
    </row>
    <row r="74" ht="46" customHeight="1" spans="1:19">
      <c r="A74" s="3" t="s">
        <v>693</v>
      </c>
      <c r="B74" s="3" t="s">
        <v>622</v>
      </c>
      <c r="C74" s="3" t="s">
        <v>694</v>
      </c>
      <c r="D74" s="3" t="s">
        <v>695</v>
      </c>
      <c r="E74" s="3" t="s">
        <v>696</v>
      </c>
      <c r="F74" s="3" t="s">
        <v>241</v>
      </c>
      <c r="G74" s="3" t="s">
        <v>697</v>
      </c>
      <c r="H74" s="3" t="s">
        <v>698</v>
      </c>
      <c r="I74" s="3" t="s">
        <v>699</v>
      </c>
      <c r="J74" s="3" t="s">
        <v>700</v>
      </c>
      <c r="K74" s="10" t="s">
        <v>153</v>
      </c>
      <c r="L74" s="10" t="s">
        <v>246</v>
      </c>
      <c r="M74" s="10" t="s">
        <v>246</v>
      </c>
      <c r="N74" s="10" t="s">
        <v>155</v>
      </c>
      <c r="O74" s="10" t="s">
        <v>155</v>
      </c>
      <c r="P74" s="3" t="s">
        <v>701</v>
      </c>
      <c r="Q74" s="3" t="str">
        <f t="shared" si="1"/>
        <v>待评审/依据</v>
      </c>
      <c r="R74" s="3" t="s">
        <v>165</v>
      </c>
      <c r="S74" s="3" t="s">
        <v>631</v>
      </c>
    </row>
    <row r="75" ht="46" customHeight="1" spans="1:19">
      <c r="A75" s="3" t="s">
        <v>702</v>
      </c>
      <c r="B75" s="3" t="s">
        <v>12</v>
      </c>
      <c r="C75" s="3" t="s">
        <v>703</v>
      </c>
      <c r="D75" s="3" t="s">
        <v>704</v>
      </c>
      <c r="E75" s="3" t="s">
        <v>705</v>
      </c>
      <c r="F75" s="3" t="s">
        <v>241</v>
      </c>
      <c r="G75" s="3" t="s">
        <v>706</v>
      </c>
      <c r="H75" s="3" t="s">
        <v>707</v>
      </c>
      <c r="I75" s="3" t="s">
        <v>708</v>
      </c>
      <c r="J75" s="3" t="s">
        <v>709</v>
      </c>
      <c r="K75" s="10" t="s">
        <v>153</v>
      </c>
      <c r="L75" s="10" t="s">
        <v>246</v>
      </c>
      <c r="M75" s="10" t="s">
        <v>246</v>
      </c>
      <c r="N75" s="10" t="s">
        <v>155</v>
      </c>
      <c r="O75" s="10" t="s">
        <v>155</v>
      </c>
      <c r="P75" s="3" t="s">
        <v>710</v>
      </c>
      <c r="Q75" s="3" t="str">
        <f t="shared" si="1"/>
        <v>待评审/依据</v>
      </c>
      <c r="R75" s="3" t="s">
        <v>165</v>
      </c>
      <c r="S75" s="3" t="s">
        <v>631</v>
      </c>
    </row>
    <row r="76" ht="46" customHeight="1" spans="1:19">
      <c r="A76" s="3" t="s">
        <v>711</v>
      </c>
      <c r="B76" s="3" t="s">
        <v>12</v>
      </c>
      <c r="C76" s="3" t="s">
        <v>703</v>
      </c>
      <c r="D76" s="3" t="s">
        <v>712</v>
      </c>
      <c r="E76" s="3" t="s">
        <v>713</v>
      </c>
      <c r="F76" s="3" t="s">
        <v>241</v>
      </c>
      <c r="G76" s="3" t="s">
        <v>714</v>
      </c>
      <c r="H76" s="3" t="s">
        <v>715</v>
      </c>
      <c r="I76" s="3" t="s">
        <v>716</v>
      </c>
      <c r="J76" s="3" t="s">
        <v>717</v>
      </c>
      <c r="K76" s="10" t="s">
        <v>153</v>
      </c>
      <c r="L76" s="10" t="s">
        <v>246</v>
      </c>
      <c r="M76" s="10" t="s">
        <v>246</v>
      </c>
      <c r="N76" s="10" t="s">
        <v>155</v>
      </c>
      <c r="O76" s="10" t="s">
        <v>155</v>
      </c>
      <c r="P76" s="3" t="s">
        <v>718</v>
      </c>
      <c r="Q76" s="3" t="str">
        <f t="shared" si="1"/>
        <v>待评审/依据</v>
      </c>
      <c r="R76" s="3" t="s">
        <v>165</v>
      </c>
      <c r="S76" s="3" t="s">
        <v>631</v>
      </c>
    </row>
    <row r="77" ht="46" customHeight="1" spans="1:19">
      <c r="A77" s="3" t="s">
        <v>719</v>
      </c>
      <c r="B77" s="3" t="s">
        <v>12</v>
      </c>
      <c r="C77" s="3" t="s">
        <v>703</v>
      </c>
      <c r="D77" s="3" t="s">
        <v>720</v>
      </c>
      <c r="E77" s="3" t="s">
        <v>721</v>
      </c>
      <c r="F77" s="3" t="s">
        <v>241</v>
      </c>
      <c r="G77" s="3" t="s">
        <v>722</v>
      </c>
      <c r="H77" s="3" t="s">
        <v>723</v>
      </c>
      <c r="I77" s="3" t="s">
        <v>724</v>
      </c>
      <c r="J77" s="3" t="s">
        <v>725</v>
      </c>
      <c r="K77" s="10" t="s">
        <v>153</v>
      </c>
      <c r="L77" s="10" t="s">
        <v>246</v>
      </c>
      <c r="M77" s="10" t="s">
        <v>246</v>
      </c>
      <c r="N77" s="10" t="s">
        <v>155</v>
      </c>
      <c r="O77" s="10" t="s">
        <v>155</v>
      </c>
      <c r="P77" s="3" t="s">
        <v>726</v>
      </c>
      <c r="Q77" s="3" t="str">
        <f t="shared" si="1"/>
        <v>待评审/依据</v>
      </c>
      <c r="R77" s="3" t="s">
        <v>165</v>
      </c>
      <c r="S77" s="3" t="s">
        <v>631</v>
      </c>
    </row>
    <row r="78" ht="46" customHeight="1" spans="1:19">
      <c r="A78" s="3" t="s">
        <v>727</v>
      </c>
      <c r="B78" s="3" t="s">
        <v>12</v>
      </c>
      <c r="C78" s="3" t="s">
        <v>703</v>
      </c>
      <c r="D78" s="3" t="s">
        <v>181</v>
      </c>
      <c r="E78" s="3" t="s">
        <v>728</v>
      </c>
      <c r="F78" s="3" t="s">
        <v>148</v>
      </c>
      <c r="G78" s="3" t="s">
        <v>729</v>
      </c>
      <c r="H78" s="3" t="s">
        <v>730</v>
      </c>
      <c r="I78" s="3" t="s">
        <v>731</v>
      </c>
      <c r="J78" s="3" t="s">
        <v>732</v>
      </c>
      <c r="K78" s="10" t="s">
        <v>153</v>
      </c>
      <c r="L78" s="10" t="s">
        <v>246</v>
      </c>
      <c r="M78" s="10" t="s">
        <v>246</v>
      </c>
      <c r="N78" s="10" t="s">
        <v>155</v>
      </c>
      <c r="O78" s="10" t="s">
        <v>155</v>
      </c>
      <c r="P78" s="3" t="s">
        <v>733</v>
      </c>
      <c r="Q78" s="3" t="str">
        <f t="shared" si="1"/>
        <v>待评审/依据</v>
      </c>
      <c r="R78" s="3" t="s">
        <v>165</v>
      </c>
      <c r="S78" s="3" t="s">
        <v>631</v>
      </c>
    </row>
    <row r="79" ht="46" customHeight="1" spans="1:19">
      <c r="A79" s="3" t="s">
        <v>734</v>
      </c>
      <c r="B79" s="3" t="s">
        <v>12</v>
      </c>
      <c r="C79" s="3" t="s">
        <v>703</v>
      </c>
      <c r="D79" s="3" t="s">
        <v>735</v>
      </c>
      <c r="E79" s="3" t="s">
        <v>736</v>
      </c>
      <c r="F79" s="3" t="s">
        <v>241</v>
      </c>
      <c r="G79" s="3" t="s">
        <v>737</v>
      </c>
      <c r="H79" s="3" t="s">
        <v>738</v>
      </c>
      <c r="I79" s="3" t="s">
        <v>739</v>
      </c>
      <c r="J79" s="3" t="s">
        <v>740</v>
      </c>
      <c r="K79" s="10" t="s">
        <v>153</v>
      </c>
      <c r="L79" s="10" t="s">
        <v>246</v>
      </c>
      <c r="M79" s="10" t="s">
        <v>246</v>
      </c>
      <c r="N79" s="10" t="s">
        <v>155</v>
      </c>
      <c r="O79" s="10" t="s">
        <v>155</v>
      </c>
      <c r="P79" s="3" t="s">
        <v>741</v>
      </c>
      <c r="Q79" s="3" t="str">
        <f t="shared" si="1"/>
        <v>待评审/依据</v>
      </c>
      <c r="R79" s="3" t="s">
        <v>165</v>
      </c>
      <c r="S79" s="3" t="s">
        <v>631</v>
      </c>
    </row>
    <row r="80" ht="46" customHeight="1" spans="1:19">
      <c r="A80" s="3" t="s">
        <v>742</v>
      </c>
      <c r="B80" s="3" t="s">
        <v>12</v>
      </c>
      <c r="C80" s="3" t="s">
        <v>703</v>
      </c>
      <c r="D80" s="3" t="s">
        <v>743</v>
      </c>
      <c r="E80" s="3" t="s">
        <v>744</v>
      </c>
      <c r="F80" s="3" t="s">
        <v>241</v>
      </c>
      <c r="G80" s="3" t="s">
        <v>745</v>
      </c>
      <c r="H80" s="3" t="s">
        <v>746</v>
      </c>
      <c r="I80" s="3" t="s">
        <v>747</v>
      </c>
      <c r="J80" s="3" t="s">
        <v>748</v>
      </c>
      <c r="K80" s="10" t="s">
        <v>153</v>
      </c>
      <c r="L80" s="10" t="s">
        <v>246</v>
      </c>
      <c r="M80" s="10" t="s">
        <v>246</v>
      </c>
      <c r="N80" s="10" t="s">
        <v>155</v>
      </c>
      <c r="O80" s="10" t="s">
        <v>155</v>
      </c>
      <c r="P80" s="3" t="s">
        <v>749</v>
      </c>
      <c r="Q80" s="3" t="str">
        <f t="shared" si="1"/>
        <v>待评审/依据</v>
      </c>
      <c r="R80" s="3" t="s">
        <v>217</v>
      </c>
      <c r="S80" s="3" t="s">
        <v>631</v>
      </c>
    </row>
    <row r="81" ht="46" customHeight="1" spans="1:19">
      <c r="A81" s="3" t="s">
        <v>750</v>
      </c>
      <c r="B81" s="3" t="s">
        <v>12</v>
      </c>
      <c r="C81" s="3" t="s">
        <v>703</v>
      </c>
      <c r="D81" s="3" t="s">
        <v>751</v>
      </c>
      <c r="E81" s="3" t="s">
        <v>752</v>
      </c>
      <c r="F81" s="3" t="s">
        <v>241</v>
      </c>
      <c r="G81" s="3" t="s">
        <v>753</v>
      </c>
      <c r="H81" s="3" t="s">
        <v>754</v>
      </c>
      <c r="I81" s="3" t="s">
        <v>755</v>
      </c>
      <c r="J81" s="3" t="s">
        <v>756</v>
      </c>
      <c r="K81" s="10" t="s">
        <v>153</v>
      </c>
      <c r="L81" s="10" t="s">
        <v>246</v>
      </c>
      <c r="M81" s="10" t="s">
        <v>246</v>
      </c>
      <c r="N81" s="10" t="s">
        <v>155</v>
      </c>
      <c r="O81" s="10" t="s">
        <v>155</v>
      </c>
      <c r="P81" s="3" t="s">
        <v>757</v>
      </c>
      <c r="Q81" s="3" t="str">
        <f t="shared" si="1"/>
        <v>待评审/依据</v>
      </c>
      <c r="R81" s="3" t="s">
        <v>217</v>
      </c>
      <c r="S81" s="3" t="s">
        <v>631</v>
      </c>
    </row>
    <row r="82" ht="46" customHeight="1" spans="1:19">
      <c r="A82" s="3" t="s">
        <v>758</v>
      </c>
      <c r="B82" s="3" t="s">
        <v>12</v>
      </c>
      <c r="C82" s="3" t="s">
        <v>703</v>
      </c>
      <c r="D82" s="3" t="s">
        <v>598</v>
      </c>
      <c r="E82" s="3" t="s">
        <v>759</v>
      </c>
      <c r="F82" s="3" t="s">
        <v>148</v>
      </c>
      <c r="G82" s="3" t="s">
        <v>760</v>
      </c>
      <c r="H82" s="3" t="s">
        <v>761</v>
      </c>
      <c r="I82" s="3" t="s">
        <v>762</v>
      </c>
      <c r="J82" s="3" t="s">
        <v>763</v>
      </c>
      <c r="K82" s="10" t="s">
        <v>153</v>
      </c>
      <c r="L82" s="10" t="s">
        <v>246</v>
      </c>
      <c r="M82" s="10" t="s">
        <v>246</v>
      </c>
      <c r="N82" s="10" t="s">
        <v>155</v>
      </c>
      <c r="O82" s="10" t="s">
        <v>155</v>
      </c>
      <c r="P82" s="3" t="s">
        <v>764</v>
      </c>
      <c r="Q82" s="3" t="str">
        <f t="shared" ref="Q82:Q102" si="2">IF(K82="不纳入","不纳入",IF(L82="失败",IF(LEN(TRIM(N82))=0,"开发失败缺证据","开发自测失败"),IF(M82="失败",IF(LEN(TRIM(O82))=0,"复核失败缺证据","提测复核失败"),IF(K82&lt;&gt;"可执行","待评审/依据",IF(L82="受阻","开发自测受阻",IF(L82&lt;&gt;"通过","待开发自测",IF(LEN(TRIM(N82))=0,"缺开发Build/证据",IF(M82="受阻","提测复核受阻",IF(M82&lt;&gt;"通过","待提测复核",IF(LEN(TRIM(O82))=0,"缺复核Build/证据","本轮复核通过"))))))))))</f>
        <v>待评审/依据</v>
      </c>
      <c r="R82" s="3" t="s">
        <v>217</v>
      </c>
      <c r="S82" s="3" t="s">
        <v>631</v>
      </c>
    </row>
    <row r="83" ht="46" customHeight="1" spans="1:19">
      <c r="A83" s="3" t="s">
        <v>765</v>
      </c>
      <c r="B83" s="3" t="s">
        <v>12</v>
      </c>
      <c r="C83" s="3" t="s">
        <v>703</v>
      </c>
      <c r="D83" s="3" t="s">
        <v>766</v>
      </c>
      <c r="E83" s="3" t="s">
        <v>767</v>
      </c>
      <c r="F83" s="3" t="s">
        <v>241</v>
      </c>
      <c r="G83" s="3" t="s">
        <v>768</v>
      </c>
      <c r="H83" s="3" t="s">
        <v>769</v>
      </c>
      <c r="I83" s="3" t="s">
        <v>770</v>
      </c>
      <c r="J83" s="3" t="s">
        <v>771</v>
      </c>
      <c r="K83" s="10" t="s">
        <v>153</v>
      </c>
      <c r="L83" s="10" t="s">
        <v>246</v>
      </c>
      <c r="M83" s="10" t="s">
        <v>246</v>
      </c>
      <c r="N83" s="10" t="s">
        <v>155</v>
      </c>
      <c r="O83" s="10" t="s">
        <v>155</v>
      </c>
      <c r="P83" s="3" t="s">
        <v>772</v>
      </c>
      <c r="Q83" s="3" t="str">
        <f t="shared" si="2"/>
        <v>待评审/依据</v>
      </c>
      <c r="R83" s="3" t="s">
        <v>217</v>
      </c>
      <c r="S83" s="3" t="s">
        <v>631</v>
      </c>
    </row>
    <row r="84" ht="46" customHeight="1" spans="1:19">
      <c r="A84" s="3" t="s">
        <v>773</v>
      </c>
      <c r="B84" s="3" t="s">
        <v>12</v>
      </c>
      <c r="C84" s="3" t="s">
        <v>703</v>
      </c>
      <c r="D84" s="3" t="s">
        <v>774</v>
      </c>
      <c r="E84" s="3" t="s">
        <v>775</v>
      </c>
      <c r="F84" s="3" t="s">
        <v>241</v>
      </c>
      <c r="G84" s="3" t="s">
        <v>776</v>
      </c>
      <c r="H84" s="3" t="s">
        <v>777</v>
      </c>
      <c r="I84" s="3" t="s">
        <v>778</v>
      </c>
      <c r="J84" s="3" t="s">
        <v>779</v>
      </c>
      <c r="K84" s="10" t="s">
        <v>153</v>
      </c>
      <c r="L84" s="10" t="s">
        <v>246</v>
      </c>
      <c r="M84" s="10" t="s">
        <v>246</v>
      </c>
      <c r="N84" s="10" t="s">
        <v>155</v>
      </c>
      <c r="O84" s="10" t="s">
        <v>155</v>
      </c>
      <c r="P84" s="3" t="s">
        <v>780</v>
      </c>
      <c r="Q84" s="3" t="str">
        <f t="shared" si="2"/>
        <v>待评审/依据</v>
      </c>
      <c r="R84" s="3" t="s">
        <v>217</v>
      </c>
      <c r="S84" s="3" t="s">
        <v>631</v>
      </c>
    </row>
    <row r="85" ht="46" customHeight="1" spans="1:19">
      <c r="A85" s="3" t="s">
        <v>781</v>
      </c>
      <c r="B85" s="3" t="s">
        <v>12</v>
      </c>
      <c r="C85" s="3" t="s">
        <v>782</v>
      </c>
      <c r="D85" s="3" t="s">
        <v>783</v>
      </c>
      <c r="E85" s="3" t="s">
        <v>784</v>
      </c>
      <c r="F85" s="3" t="s">
        <v>241</v>
      </c>
      <c r="G85" s="3" t="s">
        <v>785</v>
      </c>
      <c r="H85" s="3" t="s">
        <v>786</v>
      </c>
      <c r="I85" s="3" t="s">
        <v>787</v>
      </c>
      <c r="J85" s="3" t="s">
        <v>788</v>
      </c>
      <c r="K85" s="10" t="s">
        <v>153</v>
      </c>
      <c r="L85" s="10" t="s">
        <v>246</v>
      </c>
      <c r="M85" s="10" t="s">
        <v>246</v>
      </c>
      <c r="N85" s="10" t="s">
        <v>155</v>
      </c>
      <c r="O85" s="10" t="s">
        <v>155</v>
      </c>
      <c r="P85" s="3" t="s">
        <v>789</v>
      </c>
      <c r="Q85" s="3" t="str">
        <f t="shared" si="2"/>
        <v>待评审/依据</v>
      </c>
      <c r="R85" s="3" t="s">
        <v>165</v>
      </c>
      <c r="S85" s="3" t="s">
        <v>631</v>
      </c>
    </row>
    <row r="86" ht="46" customHeight="1" spans="1:19">
      <c r="A86" s="3" t="s">
        <v>790</v>
      </c>
      <c r="B86" s="3" t="s">
        <v>12</v>
      </c>
      <c r="C86" s="3" t="s">
        <v>782</v>
      </c>
      <c r="D86" s="3" t="s">
        <v>791</v>
      </c>
      <c r="E86" s="3" t="s">
        <v>792</v>
      </c>
      <c r="F86" s="3" t="s">
        <v>241</v>
      </c>
      <c r="G86" s="3" t="s">
        <v>793</v>
      </c>
      <c r="H86" s="3" t="s">
        <v>794</v>
      </c>
      <c r="I86" s="3" t="s">
        <v>795</v>
      </c>
      <c r="J86" s="3" t="s">
        <v>796</v>
      </c>
      <c r="K86" s="10" t="s">
        <v>153</v>
      </c>
      <c r="L86" s="10" t="s">
        <v>246</v>
      </c>
      <c r="M86" s="10" t="s">
        <v>246</v>
      </c>
      <c r="N86" s="10" t="s">
        <v>155</v>
      </c>
      <c r="O86" s="10" t="s">
        <v>155</v>
      </c>
      <c r="P86" s="3" t="s">
        <v>797</v>
      </c>
      <c r="Q86" s="3" t="str">
        <f t="shared" si="2"/>
        <v>待评审/依据</v>
      </c>
      <c r="R86" s="3" t="s">
        <v>165</v>
      </c>
      <c r="S86" s="3" t="s">
        <v>631</v>
      </c>
    </row>
    <row r="87" ht="46" customHeight="1" spans="1:19">
      <c r="A87" s="3" t="s">
        <v>798</v>
      </c>
      <c r="B87" s="3" t="s">
        <v>12</v>
      </c>
      <c r="C87" s="3" t="s">
        <v>782</v>
      </c>
      <c r="D87" s="3" t="s">
        <v>799</v>
      </c>
      <c r="E87" s="3" t="s">
        <v>800</v>
      </c>
      <c r="F87" s="3" t="s">
        <v>241</v>
      </c>
      <c r="G87" s="3" t="s">
        <v>801</v>
      </c>
      <c r="H87" s="3" t="s">
        <v>802</v>
      </c>
      <c r="I87" s="3" t="s">
        <v>803</v>
      </c>
      <c r="J87" s="3" t="s">
        <v>804</v>
      </c>
      <c r="K87" s="10" t="s">
        <v>153</v>
      </c>
      <c r="L87" s="10" t="s">
        <v>246</v>
      </c>
      <c r="M87" s="10" t="s">
        <v>246</v>
      </c>
      <c r="N87" s="10" t="s">
        <v>155</v>
      </c>
      <c r="O87" s="10" t="s">
        <v>155</v>
      </c>
      <c r="P87" s="3" t="s">
        <v>805</v>
      </c>
      <c r="Q87" s="3" t="str">
        <f t="shared" si="2"/>
        <v>待评审/依据</v>
      </c>
      <c r="R87" s="3" t="s">
        <v>217</v>
      </c>
      <c r="S87" s="3" t="s">
        <v>631</v>
      </c>
    </row>
    <row r="88" ht="46" customHeight="1" spans="1:19">
      <c r="A88" s="3" t="s">
        <v>806</v>
      </c>
      <c r="B88" s="3" t="s">
        <v>12</v>
      </c>
      <c r="C88" s="3" t="s">
        <v>782</v>
      </c>
      <c r="D88" s="3" t="s">
        <v>807</v>
      </c>
      <c r="E88" s="3" t="s">
        <v>808</v>
      </c>
      <c r="F88" s="3" t="s">
        <v>241</v>
      </c>
      <c r="G88" s="3" t="s">
        <v>809</v>
      </c>
      <c r="H88" s="3" t="s">
        <v>810</v>
      </c>
      <c r="I88" s="3" t="s">
        <v>811</v>
      </c>
      <c r="J88" s="3" t="s">
        <v>812</v>
      </c>
      <c r="K88" s="10" t="s">
        <v>153</v>
      </c>
      <c r="L88" s="10" t="s">
        <v>246</v>
      </c>
      <c r="M88" s="10" t="s">
        <v>246</v>
      </c>
      <c r="N88" s="10" t="s">
        <v>155</v>
      </c>
      <c r="O88" s="10" t="s">
        <v>155</v>
      </c>
      <c r="P88" s="3" t="s">
        <v>813</v>
      </c>
      <c r="Q88" s="3" t="str">
        <f t="shared" si="2"/>
        <v>待评审/依据</v>
      </c>
      <c r="R88" s="3" t="s">
        <v>217</v>
      </c>
      <c r="S88" s="3" t="s">
        <v>631</v>
      </c>
    </row>
    <row r="89" ht="46" customHeight="1" spans="1:19">
      <c r="A89" s="3" t="s">
        <v>814</v>
      </c>
      <c r="B89" s="3" t="s">
        <v>12</v>
      </c>
      <c r="C89" s="3" t="s">
        <v>815</v>
      </c>
      <c r="D89" s="3" t="s">
        <v>816</v>
      </c>
      <c r="E89" s="3" t="s">
        <v>817</v>
      </c>
      <c r="F89" s="3" t="s">
        <v>241</v>
      </c>
      <c r="G89" s="3" t="s">
        <v>818</v>
      </c>
      <c r="H89" s="3" t="s">
        <v>819</v>
      </c>
      <c r="I89" s="3" t="s">
        <v>820</v>
      </c>
      <c r="J89" s="3" t="s">
        <v>821</v>
      </c>
      <c r="K89" s="10" t="s">
        <v>153</v>
      </c>
      <c r="L89" s="10" t="s">
        <v>246</v>
      </c>
      <c r="M89" s="10" t="s">
        <v>246</v>
      </c>
      <c r="N89" s="10" t="s">
        <v>155</v>
      </c>
      <c r="O89" s="10" t="s">
        <v>155</v>
      </c>
      <c r="P89" s="3" t="s">
        <v>822</v>
      </c>
      <c r="Q89" s="3" t="str">
        <f t="shared" si="2"/>
        <v>待评审/依据</v>
      </c>
      <c r="R89" s="3" t="s">
        <v>165</v>
      </c>
      <c r="S89" s="3" t="s">
        <v>631</v>
      </c>
    </row>
    <row r="90" ht="46" customHeight="1" spans="1:19">
      <c r="A90" s="3" t="s">
        <v>823</v>
      </c>
      <c r="B90" s="3" t="s">
        <v>12</v>
      </c>
      <c r="C90" s="3" t="s">
        <v>815</v>
      </c>
      <c r="D90" s="3" t="s">
        <v>824</v>
      </c>
      <c r="E90" s="3" t="s">
        <v>825</v>
      </c>
      <c r="F90" s="3" t="s">
        <v>241</v>
      </c>
      <c r="G90" s="3" t="s">
        <v>826</v>
      </c>
      <c r="H90" s="3" t="s">
        <v>827</v>
      </c>
      <c r="I90" s="3" t="s">
        <v>828</v>
      </c>
      <c r="J90" s="3" t="s">
        <v>829</v>
      </c>
      <c r="K90" s="10" t="s">
        <v>153</v>
      </c>
      <c r="L90" s="10" t="s">
        <v>246</v>
      </c>
      <c r="M90" s="10" t="s">
        <v>246</v>
      </c>
      <c r="N90" s="10" t="s">
        <v>155</v>
      </c>
      <c r="O90" s="10" t="s">
        <v>155</v>
      </c>
      <c r="P90" s="3" t="s">
        <v>830</v>
      </c>
      <c r="Q90" s="3" t="str">
        <f t="shared" si="2"/>
        <v>待评审/依据</v>
      </c>
      <c r="R90" s="3" t="s">
        <v>165</v>
      </c>
      <c r="S90" s="3" t="s">
        <v>631</v>
      </c>
    </row>
    <row r="91" ht="46" customHeight="1" spans="1:19">
      <c r="A91" s="3" t="s">
        <v>831</v>
      </c>
      <c r="B91" s="3" t="s">
        <v>12</v>
      </c>
      <c r="C91" s="3" t="s">
        <v>832</v>
      </c>
      <c r="D91" s="3" t="s">
        <v>833</v>
      </c>
      <c r="E91" s="3" t="s">
        <v>834</v>
      </c>
      <c r="F91" s="3" t="s">
        <v>241</v>
      </c>
      <c r="G91" s="3" t="s">
        <v>835</v>
      </c>
      <c r="H91" s="3" t="s">
        <v>836</v>
      </c>
      <c r="I91" s="3" t="s">
        <v>837</v>
      </c>
      <c r="J91" s="3" t="s">
        <v>838</v>
      </c>
      <c r="K91" s="10" t="s">
        <v>153</v>
      </c>
      <c r="L91" s="10" t="s">
        <v>246</v>
      </c>
      <c r="M91" s="10" t="s">
        <v>246</v>
      </c>
      <c r="N91" s="10" t="s">
        <v>155</v>
      </c>
      <c r="O91" s="10" t="s">
        <v>155</v>
      </c>
      <c r="P91" s="3" t="s">
        <v>839</v>
      </c>
      <c r="Q91" s="3" t="str">
        <f t="shared" si="2"/>
        <v>待评审/依据</v>
      </c>
      <c r="R91" s="3" t="s">
        <v>217</v>
      </c>
      <c r="S91" s="3" t="s">
        <v>631</v>
      </c>
    </row>
    <row r="92" ht="46" customHeight="1" spans="1:19">
      <c r="A92" s="3" t="s">
        <v>840</v>
      </c>
      <c r="B92" s="3" t="s">
        <v>12</v>
      </c>
      <c r="C92" s="3" t="s">
        <v>832</v>
      </c>
      <c r="D92" s="3" t="s">
        <v>841</v>
      </c>
      <c r="E92" s="3" t="s">
        <v>842</v>
      </c>
      <c r="F92" s="3" t="s">
        <v>241</v>
      </c>
      <c r="G92" s="3" t="s">
        <v>843</v>
      </c>
      <c r="H92" s="3" t="s">
        <v>844</v>
      </c>
      <c r="I92" s="3" t="s">
        <v>845</v>
      </c>
      <c r="J92" s="3" t="s">
        <v>846</v>
      </c>
      <c r="K92" s="10" t="s">
        <v>153</v>
      </c>
      <c r="L92" s="10" t="s">
        <v>246</v>
      </c>
      <c r="M92" s="10" t="s">
        <v>246</v>
      </c>
      <c r="N92" s="10" t="s">
        <v>155</v>
      </c>
      <c r="O92" s="10" t="s">
        <v>155</v>
      </c>
      <c r="P92" s="3" t="s">
        <v>847</v>
      </c>
      <c r="Q92" s="3" t="str">
        <f t="shared" si="2"/>
        <v>待评审/依据</v>
      </c>
      <c r="R92" s="3" t="s">
        <v>217</v>
      </c>
      <c r="S92" s="3" t="s">
        <v>631</v>
      </c>
    </row>
    <row r="93" ht="56" customHeight="1" spans="1:19">
      <c r="A93" s="3" t="s">
        <v>848</v>
      </c>
      <c r="B93" s="3" t="s">
        <v>849</v>
      </c>
      <c r="C93" s="3" t="s">
        <v>850</v>
      </c>
      <c r="D93" s="3" t="s">
        <v>851</v>
      </c>
      <c r="E93" s="3" t="s">
        <v>852</v>
      </c>
      <c r="F93" s="3" t="s">
        <v>148</v>
      </c>
      <c r="G93" s="3" t="s">
        <v>853</v>
      </c>
      <c r="H93" s="3" t="s">
        <v>854</v>
      </c>
      <c r="I93" s="3" t="s">
        <v>855</v>
      </c>
      <c r="J93" s="3" t="s">
        <v>856</v>
      </c>
      <c r="K93" s="10" t="s">
        <v>153</v>
      </c>
      <c r="L93" s="10" t="s">
        <v>246</v>
      </c>
      <c r="M93" s="10" t="s">
        <v>246</v>
      </c>
      <c r="N93" s="10" t="s">
        <v>155</v>
      </c>
      <c r="O93" s="10" t="s">
        <v>155</v>
      </c>
      <c r="P93" s="3" t="s">
        <v>857</v>
      </c>
      <c r="Q93" s="3" t="str">
        <f t="shared" si="2"/>
        <v>待评审/依据</v>
      </c>
      <c r="R93" s="3" t="s">
        <v>858</v>
      </c>
      <c r="S93" s="3" t="s">
        <v>631</v>
      </c>
    </row>
    <row r="94" ht="46" customHeight="1" spans="1:19">
      <c r="A94" s="3" t="s">
        <v>859</v>
      </c>
      <c r="B94" s="3" t="s">
        <v>849</v>
      </c>
      <c r="C94" s="3" t="s">
        <v>850</v>
      </c>
      <c r="D94" s="3" t="s">
        <v>860</v>
      </c>
      <c r="E94" s="3" t="s">
        <v>861</v>
      </c>
      <c r="F94" s="3" t="s">
        <v>148</v>
      </c>
      <c r="G94" s="3" t="s">
        <v>862</v>
      </c>
      <c r="H94" s="3" t="s">
        <v>863</v>
      </c>
      <c r="I94" s="3" t="s">
        <v>864</v>
      </c>
      <c r="J94" s="3" t="s">
        <v>865</v>
      </c>
      <c r="K94" s="10" t="s">
        <v>153</v>
      </c>
      <c r="L94" s="10" t="s">
        <v>246</v>
      </c>
      <c r="M94" s="10" t="s">
        <v>246</v>
      </c>
      <c r="N94" s="10" t="s">
        <v>155</v>
      </c>
      <c r="O94" s="10" t="s">
        <v>155</v>
      </c>
      <c r="P94" s="3" t="s">
        <v>866</v>
      </c>
      <c r="Q94" s="3" t="str">
        <f t="shared" si="2"/>
        <v>待评审/依据</v>
      </c>
      <c r="R94" s="3" t="s">
        <v>867</v>
      </c>
      <c r="S94" s="3" t="s">
        <v>631</v>
      </c>
    </row>
    <row r="95" ht="46" customHeight="1" spans="1:19">
      <c r="A95" s="3" t="s">
        <v>868</v>
      </c>
      <c r="B95" s="3" t="s">
        <v>869</v>
      </c>
      <c r="C95" s="3" t="s">
        <v>850</v>
      </c>
      <c r="D95" s="3" t="s">
        <v>870</v>
      </c>
      <c r="E95" s="3" t="s">
        <v>871</v>
      </c>
      <c r="F95" s="3" t="s">
        <v>241</v>
      </c>
      <c r="G95" s="3" t="s">
        <v>872</v>
      </c>
      <c r="H95" s="3" t="s">
        <v>873</v>
      </c>
      <c r="I95" s="3" t="s">
        <v>874</v>
      </c>
      <c r="J95" s="3" t="s">
        <v>875</v>
      </c>
      <c r="K95" s="10" t="s">
        <v>153</v>
      </c>
      <c r="L95" s="10" t="s">
        <v>246</v>
      </c>
      <c r="M95" s="10" t="s">
        <v>246</v>
      </c>
      <c r="N95" s="10" t="s">
        <v>155</v>
      </c>
      <c r="O95" s="10" t="s">
        <v>155</v>
      </c>
      <c r="P95" s="3" t="s">
        <v>876</v>
      </c>
      <c r="Q95" s="3" t="str">
        <f t="shared" si="2"/>
        <v>待评审/依据</v>
      </c>
      <c r="R95" s="3" t="s">
        <v>165</v>
      </c>
      <c r="S95" s="3" t="s">
        <v>631</v>
      </c>
    </row>
    <row r="96" ht="46" customHeight="1" spans="1:19">
      <c r="A96" s="3" t="s">
        <v>877</v>
      </c>
      <c r="B96" s="3" t="s">
        <v>869</v>
      </c>
      <c r="C96" s="3" t="s">
        <v>850</v>
      </c>
      <c r="D96" s="3" t="s">
        <v>878</v>
      </c>
      <c r="E96" s="3" t="s">
        <v>879</v>
      </c>
      <c r="F96" s="3" t="s">
        <v>241</v>
      </c>
      <c r="G96" s="3" t="s">
        <v>880</v>
      </c>
      <c r="H96" s="3" t="s">
        <v>881</v>
      </c>
      <c r="I96" s="3" t="s">
        <v>882</v>
      </c>
      <c r="J96" s="3" t="s">
        <v>883</v>
      </c>
      <c r="K96" s="10" t="s">
        <v>153</v>
      </c>
      <c r="L96" s="10" t="s">
        <v>246</v>
      </c>
      <c r="M96" s="10" t="s">
        <v>246</v>
      </c>
      <c r="N96" s="10" t="s">
        <v>155</v>
      </c>
      <c r="O96" s="10" t="s">
        <v>155</v>
      </c>
      <c r="P96" s="3" t="s">
        <v>876</v>
      </c>
      <c r="Q96" s="3" t="str">
        <f t="shared" si="2"/>
        <v>待评审/依据</v>
      </c>
      <c r="R96" s="3" t="s">
        <v>165</v>
      </c>
      <c r="S96" s="3" t="s">
        <v>631</v>
      </c>
    </row>
    <row r="97" ht="46" customHeight="1" spans="1:19">
      <c r="A97" s="3" t="s">
        <v>884</v>
      </c>
      <c r="B97" s="3" t="s">
        <v>869</v>
      </c>
      <c r="C97" s="3" t="s">
        <v>850</v>
      </c>
      <c r="D97" s="3" t="s">
        <v>196</v>
      </c>
      <c r="E97" s="3" t="s">
        <v>885</v>
      </c>
      <c r="F97" s="3" t="s">
        <v>241</v>
      </c>
      <c r="G97" s="3" t="s">
        <v>886</v>
      </c>
      <c r="H97" s="3" t="s">
        <v>887</v>
      </c>
      <c r="I97" s="3" t="s">
        <v>888</v>
      </c>
      <c r="J97" s="3" t="s">
        <v>889</v>
      </c>
      <c r="K97" s="10" t="s">
        <v>153</v>
      </c>
      <c r="L97" s="10" t="s">
        <v>246</v>
      </c>
      <c r="M97" s="10" t="s">
        <v>246</v>
      </c>
      <c r="N97" s="10" t="s">
        <v>155</v>
      </c>
      <c r="O97" s="10" t="s">
        <v>155</v>
      </c>
      <c r="P97" s="3" t="s">
        <v>890</v>
      </c>
      <c r="Q97" s="3" t="str">
        <f t="shared" si="2"/>
        <v>待评审/依据</v>
      </c>
      <c r="R97" s="3" t="s">
        <v>165</v>
      </c>
      <c r="S97" s="3" t="s">
        <v>631</v>
      </c>
    </row>
    <row r="98" ht="46" customHeight="1" spans="1:19">
      <c r="A98" s="3" t="s">
        <v>891</v>
      </c>
      <c r="B98" s="3" t="s">
        <v>869</v>
      </c>
      <c r="C98" s="3" t="s">
        <v>850</v>
      </c>
      <c r="D98" s="3" t="s">
        <v>892</v>
      </c>
      <c r="E98" s="3" t="s">
        <v>893</v>
      </c>
      <c r="F98" s="3" t="s">
        <v>241</v>
      </c>
      <c r="G98" s="3" t="s">
        <v>894</v>
      </c>
      <c r="H98" s="3" t="s">
        <v>895</v>
      </c>
      <c r="I98" s="3" t="s">
        <v>896</v>
      </c>
      <c r="J98" s="3" t="s">
        <v>897</v>
      </c>
      <c r="K98" s="10" t="s">
        <v>153</v>
      </c>
      <c r="L98" s="10" t="s">
        <v>246</v>
      </c>
      <c r="M98" s="10" t="s">
        <v>246</v>
      </c>
      <c r="N98" s="10" t="s">
        <v>155</v>
      </c>
      <c r="O98" s="10" t="s">
        <v>155</v>
      </c>
      <c r="P98" s="3" t="s">
        <v>898</v>
      </c>
      <c r="Q98" s="3" t="str">
        <f t="shared" si="2"/>
        <v>待评审/依据</v>
      </c>
      <c r="R98" s="3" t="s">
        <v>165</v>
      </c>
      <c r="S98" s="3" t="s">
        <v>631</v>
      </c>
    </row>
    <row r="99" ht="56" customHeight="1" spans="1:19">
      <c r="A99" s="3" t="s">
        <v>899</v>
      </c>
      <c r="B99" s="3" t="s">
        <v>849</v>
      </c>
      <c r="C99" s="3" t="s">
        <v>850</v>
      </c>
      <c r="D99" s="3" t="s">
        <v>900</v>
      </c>
      <c r="E99" s="3" t="s">
        <v>901</v>
      </c>
      <c r="F99" s="3" t="s">
        <v>148</v>
      </c>
      <c r="G99" s="3" t="s">
        <v>902</v>
      </c>
      <c r="H99" s="3" t="s">
        <v>903</v>
      </c>
      <c r="I99" s="3" t="s">
        <v>904</v>
      </c>
      <c r="J99" s="3" t="s">
        <v>905</v>
      </c>
      <c r="K99" s="10" t="s">
        <v>153</v>
      </c>
      <c r="L99" s="10" t="s">
        <v>246</v>
      </c>
      <c r="M99" s="10" t="s">
        <v>246</v>
      </c>
      <c r="N99" s="10" t="s">
        <v>155</v>
      </c>
      <c r="O99" s="10" t="s">
        <v>155</v>
      </c>
      <c r="P99" s="3" t="s">
        <v>906</v>
      </c>
      <c r="Q99" s="3" t="str">
        <f t="shared" si="2"/>
        <v>待评审/依据</v>
      </c>
      <c r="R99" s="3" t="s">
        <v>907</v>
      </c>
      <c r="S99" s="3" t="s">
        <v>631</v>
      </c>
    </row>
    <row r="100" ht="46" customHeight="1" spans="1:19">
      <c r="A100" s="3" t="s">
        <v>908</v>
      </c>
      <c r="B100" s="3" t="s">
        <v>869</v>
      </c>
      <c r="C100" s="3" t="s">
        <v>850</v>
      </c>
      <c r="D100" s="3" t="s">
        <v>909</v>
      </c>
      <c r="E100" s="3" t="s">
        <v>910</v>
      </c>
      <c r="F100" s="3" t="s">
        <v>241</v>
      </c>
      <c r="G100" s="3" t="s">
        <v>911</v>
      </c>
      <c r="H100" s="3" t="s">
        <v>912</v>
      </c>
      <c r="I100" s="3" t="s">
        <v>913</v>
      </c>
      <c r="J100" s="3" t="s">
        <v>914</v>
      </c>
      <c r="K100" s="10" t="s">
        <v>153</v>
      </c>
      <c r="L100" s="10" t="s">
        <v>246</v>
      </c>
      <c r="M100" s="10" t="s">
        <v>246</v>
      </c>
      <c r="N100" s="10" t="s">
        <v>155</v>
      </c>
      <c r="O100" s="10" t="s">
        <v>155</v>
      </c>
      <c r="P100" s="3" t="s">
        <v>915</v>
      </c>
      <c r="Q100" s="3" t="str">
        <f t="shared" si="2"/>
        <v>待评审/依据</v>
      </c>
      <c r="R100" s="3" t="s">
        <v>165</v>
      </c>
      <c r="S100" s="3" t="s">
        <v>631</v>
      </c>
    </row>
    <row r="101" ht="46" customHeight="1" spans="1:19">
      <c r="A101" s="3" t="s">
        <v>916</v>
      </c>
      <c r="B101" s="3" t="s">
        <v>869</v>
      </c>
      <c r="C101" s="3" t="s">
        <v>850</v>
      </c>
      <c r="D101" s="3" t="s">
        <v>917</v>
      </c>
      <c r="E101" s="3" t="s">
        <v>918</v>
      </c>
      <c r="F101" s="3" t="s">
        <v>241</v>
      </c>
      <c r="G101" s="3" t="s">
        <v>919</v>
      </c>
      <c r="H101" s="3" t="s">
        <v>920</v>
      </c>
      <c r="I101" s="3" t="s">
        <v>921</v>
      </c>
      <c r="J101" s="3" t="s">
        <v>922</v>
      </c>
      <c r="K101" s="10" t="s">
        <v>153</v>
      </c>
      <c r="L101" s="10" t="s">
        <v>246</v>
      </c>
      <c r="M101" s="10" t="s">
        <v>246</v>
      </c>
      <c r="N101" s="10" t="s">
        <v>155</v>
      </c>
      <c r="O101" s="10" t="s">
        <v>155</v>
      </c>
      <c r="P101" s="3" t="s">
        <v>923</v>
      </c>
      <c r="Q101" s="3" t="str">
        <f t="shared" si="2"/>
        <v>待评审/依据</v>
      </c>
      <c r="R101" s="3" t="s">
        <v>217</v>
      </c>
      <c r="S101" s="3" t="s">
        <v>631</v>
      </c>
    </row>
    <row r="102" ht="46" customHeight="1" spans="1:19">
      <c r="A102" s="3" t="s">
        <v>924</v>
      </c>
      <c r="B102" s="3" t="s">
        <v>869</v>
      </c>
      <c r="C102" s="3" t="s">
        <v>925</v>
      </c>
      <c r="D102" s="3" t="s">
        <v>926</v>
      </c>
      <c r="E102" s="3" t="s">
        <v>927</v>
      </c>
      <c r="F102" s="3" t="s">
        <v>241</v>
      </c>
      <c r="G102" s="3" t="s">
        <v>928</v>
      </c>
      <c r="H102" s="3" t="s">
        <v>929</v>
      </c>
      <c r="I102" s="3" t="s">
        <v>930</v>
      </c>
      <c r="J102" s="3" t="s">
        <v>931</v>
      </c>
      <c r="K102" s="10" t="s">
        <v>153</v>
      </c>
      <c r="L102" s="10" t="s">
        <v>246</v>
      </c>
      <c r="M102" s="10" t="s">
        <v>246</v>
      </c>
      <c r="N102" s="10" t="s">
        <v>155</v>
      </c>
      <c r="O102" s="10" t="s">
        <v>155</v>
      </c>
      <c r="P102" s="3" t="s">
        <v>932</v>
      </c>
      <c r="Q102" s="3" t="str">
        <f t="shared" si="2"/>
        <v>待评审/依据</v>
      </c>
      <c r="R102" s="3" t="s">
        <v>217</v>
      </c>
      <c r="S102" s="3" t="s">
        <v>631</v>
      </c>
    </row>
    <row r="103" ht="46" customHeight="1" spans="1:19">
      <c r="A103" s="3" t="s">
        <v>933</v>
      </c>
      <c r="B103" s="3" t="s">
        <v>145</v>
      </c>
      <c r="C103" s="3" t="s">
        <v>115</v>
      </c>
      <c r="D103" s="3" t="s">
        <v>146</v>
      </c>
      <c r="E103" s="3" t="s">
        <v>934</v>
      </c>
      <c r="F103" s="3" t="s">
        <v>148</v>
      </c>
      <c r="G103" s="3" t="s">
        <v>935</v>
      </c>
      <c r="H103" s="3" t="s">
        <v>936</v>
      </c>
      <c r="I103" s="3" t="s">
        <v>937</v>
      </c>
      <c r="J103" s="3" t="s">
        <v>938</v>
      </c>
      <c r="K103" s="10" t="s">
        <v>153</v>
      </c>
      <c r="L103" s="10" t="s">
        <v>154</v>
      </c>
      <c r="M103" s="10" t="s">
        <v>154</v>
      </c>
      <c r="N103" s="10" t="s">
        <v>155</v>
      </c>
      <c r="O103" s="10" t="s">
        <v>155</v>
      </c>
      <c r="P103" s="3" t="s">
        <v>155</v>
      </c>
      <c r="Q103" s="3" t="str">
        <f>IF(K103="不纳入","不纳入",IF(K103="可执行","评审闭环","待评审/依据"))</f>
        <v>待评审/依据</v>
      </c>
      <c r="R103" s="3" t="s">
        <v>156</v>
      </c>
      <c r="S103" s="3" t="s">
        <v>157</v>
      </c>
    </row>
    <row r="104" ht="70" customHeight="1" spans="1:19">
      <c r="A104" s="3" t="s">
        <v>939</v>
      </c>
      <c r="B104" s="3" t="s">
        <v>145</v>
      </c>
      <c r="C104" s="3" t="s">
        <v>115</v>
      </c>
      <c r="D104" s="3" t="s">
        <v>860</v>
      </c>
      <c r="E104" s="3" t="s">
        <v>940</v>
      </c>
      <c r="F104" s="3" t="s">
        <v>148</v>
      </c>
      <c r="G104" s="3" t="s">
        <v>941</v>
      </c>
      <c r="H104" s="3" t="s">
        <v>942</v>
      </c>
      <c r="I104" s="3" t="s">
        <v>943</v>
      </c>
      <c r="J104" s="3" t="s">
        <v>944</v>
      </c>
      <c r="K104" s="10" t="s">
        <v>153</v>
      </c>
      <c r="L104" s="10" t="s">
        <v>154</v>
      </c>
      <c r="M104" s="10" t="s">
        <v>154</v>
      </c>
      <c r="N104" s="10" t="s">
        <v>155</v>
      </c>
      <c r="O104" s="10" t="s">
        <v>155</v>
      </c>
      <c r="P104" s="3" t="s">
        <v>155</v>
      </c>
      <c r="Q104" s="3" t="str">
        <f>IF(K104="不纳入","不纳入",IF(K104="可执行","评审闭环","待评审/依据"))</f>
        <v>待评审/依据</v>
      </c>
      <c r="R104" s="3" t="s">
        <v>945</v>
      </c>
      <c r="S104" s="3" t="s">
        <v>157</v>
      </c>
    </row>
    <row r="105" ht="46" customHeight="1" spans="1:19">
      <c r="A105" s="3" t="s">
        <v>946</v>
      </c>
      <c r="B105" s="3" t="s">
        <v>947</v>
      </c>
      <c r="C105" s="3" t="s">
        <v>948</v>
      </c>
      <c r="D105" s="3" t="s">
        <v>159</v>
      </c>
      <c r="E105" s="3" t="s">
        <v>949</v>
      </c>
      <c r="F105" s="3" t="s">
        <v>148</v>
      </c>
      <c r="G105" s="3" t="s">
        <v>950</v>
      </c>
      <c r="H105" s="3" t="s">
        <v>951</v>
      </c>
      <c r="I105" s="3" t="s">
        <v>952</v>
      </c>
      <c r="J105" s="3" t="s">
        <v>953</v>
      </c>
      <c r="K105" s="10" t="s">
        <v>153</v>
      </c>
      <c r="L105" s="10" t="s">
        <v>246</v>
      </c>
      <c r="M105" s="10" t="s">
        <v>246</v>
      </c>
      <c r="N105" s="10" t="s">
        <v>155</v>
      </c>
      <c r="O105" s="10" t="s">
        <v>155</v>
      </c>
      <c r="P105" s="3" t="s">
        <v>155</v>
      </c>
      <c r="Q105" s="3" t="str">
        <f t="shared" ref="Q105:Q110" si="3">IF(K105="不纳入","不纳入",IF(L105="失败",IF(LEN(TRIM(N105))=0,"开发失败缺证据","开发自测失败"),IF(M105="失败",IF(LEN(TRIM(O105))=0,"复核失败缺证据","提测复核失败"),IF(K105&lt;&gt;"可执行","待评审/依据",IF(L105="受阻","开发自测受阻",IF(L105&lt;&gt;"通过","待开发自测",IF(LEN(TRIM(N105))=0,"缺开发Build/证据",IF(M105="受阻","提测复核受阻",IF(M105&lt;&gt;"通过","待提测复核",IF(LEN(TRIM(O105))=0,"缺复核Build/证据","本轮复核通过"))))))))))</f>
        <v>待评审/依据</v>
      </c>
      <c r="R105" s="3" t="s">
        <v>165</v>
      </c>
      <c r="S105" s="3" t="s">
        <v>317</v>
      </c>
    </row>
    <row r="106" ht="70" customHeight="1" spans="1:19">
      <c r="A106" s="3" t="s">
        <v>954</v>
      </c>
      <c r="B106" s="3" t="s">
        <v>947</v>
      </c>
      <c r="C106" s="3" t="s">
        <v>948</v>
      </c>
      <c r="D106" s="3" t="s">
        <v>955</v>
      </c>
      <c r="E106" s="3" t="s">
        <v>956</v>
      </c>
      <c r="F106" s="3" t="s">
        <v>148</v>
      </c>
      <c r="G106" s="3" t="s">
        <v>957</v>
      </c>
      <c r="H106" s="3" t="s">
        <v>958</v>
      </c>
      <c r="I106" s="3" t="s">
        <v>959</v>
      </c>
      <c r="J106" s="3" t="s">
        <v>960</v>
      </c>
      <c r="K106" s="10" t="s">
        <v>153</v>
      </c>
      <c r="L106" s="10" t="s">
        <v>246</v>
      </c>
      <c r="M106" s="10" t="s">
        <v>246</v>
      </c>
      <c r="N106" s="10" t="s">
        <v>155</v>
      </c>
      <c r="O106" s="10" t="s">
        <v>155</v>
      </c>
      <c r="P106" s="3" t="s">
        <v>155</v>
      </c>
      <c r="Q106" s="3" t="str">
        <f t="shared" si="3"/>
        <v>待评审/依据</v>
      </c>
      <c r="R106" s="3" t="s">
        <v>961</v>
      </c>
      <c r="S106" s="3" t="s">
        <v>317</v>
      </c>
    </row>
    <row r="107" ht="46" customHeight="1" spans="1:19">
      <c r="A107" s="3" t="s">
        <v>962</v>
      </c>
      <c r="B107" s="3" t="s">
        <v>947</v>
      </c>
      <c r="C107" s="3" t="s">
        <v>948</v>
      </c>
      <c r="D107" s="3" t="s">
        <v>851</v>
      </c>
      <c r="E107" s="3" t="s">
        <v>963</v>
      </c>
      <c r="F107" s="3" t="s">
        <v>148</v>
      </c>
      <c r="G107" s="3" t="s">
        <v>964</v>
      </c>
      <c r="H107" s="3" t="s">
        <v>965</v>
      </c>
      <c r="I107" s="3" t="s">
        <v>966</v>
      </c>
      <c r="J107" s="3" t="s">
        <v>967</v>
      </c>
      <c r="K107" s="10" t="s">
        <v>153</v>
      </c>
      <c r="L107" s="10" t="s">
        <v>246</v>
      </c>
      <c r="M107" s="10" t="s">
        <v>246</v>
      </c>
      <c r="N107" s="10" t="s">
        <v>155</v>
      </c>
      <c r="O107" s="10" t="s">
        <v>155</v>
      </c>
      <c r="P107" s="3" t="s">
        <v>155</v>
      </c>
      <c r="Q107" s="3" t="str">
        <f t="shared" si="3"/>
        <v>待评审/依据</v>
      </c>
      <c r="R107" s="3" t="s">
        <v>968</v>
      </c>
      <c r="S107" s="3" t="s">
        <v>317</v>
      </c>
    </row>
    <row r="108" ht="46" customHeight="1" spans="1:19">
      <c r="A108" s="3" t="s">
        <v>969</v>
      </c>
      <c r="B108" s="3" t="s">
        <v>947</v>
      </c>
      <c r="C108" s="3" t="s">
        <v>948</v>
      </c>
      <c r="D108" s="3" t="s">
        <v>851</v>
      </c>
      <c r="E108" s="3" t="s">
        <v>970</v>
      </c>
      <c r="F108" s="3" t="s">
        <v>148</v>
      </c>
      <c r="G108" s="3" t="s">
        <v>971</v>
      </c>
      <c r="H108" s="3" t="s">
        <v>972</v>
      </c>
      <c r="I108" s="3" t="s">
        <v>973</v>
      </c>
      <c r="J108" s="3" t="s">
        <v>974</v>
      </c>
      <c r="K108" s="10" t="s">
        <v>153</v>
      </c>
      <c r="L108" s="10" t="s">
        <v>246</v>
      </c>
      <c r="M108" s="10" t="s">
        <v>246</v>
      </c>
      <c r="N108" s="10" t="s">
        <v>155</v>
      </c>
      <c r="O108" s="10" t="s">
        <v>155</v>
      </c>
      <c r="P108" s="3" t="s">
        <v>155</v>
      </c>
      <c r="Q108" s="3" t="str">
        <f t="shared" si="3"/>
        <v>待评审/依据</v>
      </c>
      <c r="R108" s="3" t="s">
        <v>975</v>
      </c>
      <c r="S108" s="3" t="s">
        <v>317</v>
      </c>
    </row>
    <row r="109" ht="46" customHeight="1" spans="1:19">
      <c r="A109" s="3" t="s">
        <v>976</v>
      </c>
      <c r="B109" s="3" t="s">
        <v>947</v>
      </c>
      <c r="C109" s="3" t="s">
        <v>948</v>
      </c>
      <c r="D109" s="3" t="s">
        <v>860</v>
      </c>
      <c r="E109" s="3" t="s">
        <v>977</v>
      </c>
      <c r="F109" s="3" t="s">
        <v>148</v>
      </c>
      <c r="G109" s="3" t="s">
        <v>978</v>
      </c>
      <c r="H109" s="3" t="s">
        <v>979</v>
      </c>
      <c r="I109" s="3" t="s">
        <v>980</v>
      </c>
      <c r="J109" s="3" t="s">
        <v>981</v>
      </c>
      <c r="K109" s="10" t="s">
        <v>153</v>
      </c>
      <c r="L109" s="10" t="s">
        <v>246</v>
      </c>
      <c r="M109" s="10" t="s">
        <v>246</v>
      </c>
      <c r="N109" s="10" t="s">
        <v>155</v>
      </c>
      <c r="O109" s="10" t="s">
        <v>155</v>
      </c>
      <c r="P109" s="3" t="s">
        <v>155</v>
      </c>
      <c r="Q109" s="3" t="str">
        <f t="shared" si="3"/>
        <v>待评审/依据</v>
      </c>
      <c r="R109" s="3" t="s">
        <v>982</v>
      </c>
      <c r="S109" s="3" t="s">
        <v>317</v>
      </c>
    </row>
    <row r="110" ht="46" customHeight="1" spans="1:19">
      <c r="A110" s="3" t="s">
        <v>983</v>
      </c>
      <c r="B110" s="3" t="s">
        <v>947</v>
      </c>
      <c r="C110" s="3" t="s">
        <v>948</v>
      </c>
      <c r="D110" s="3" t="s">
        <v>984</v>
      </c>
      <c r="E110" s="3" t="s">
        <v>985</v>
      </c>
      <c r="F110" s="3" t="s">
        <v>148</v>
      </c>
      <c r="G110" s="3" t="s">
        <v>986</v>
      </c>
      <c r="H110" s="3" t="s">
        <v>987</v>
      </c>
      <c r="I110" s="3" t="s">
        <v>988</v>
      </c>
      <c r="J110" s="3" t="s">
        <v>989</v>
      </c>
      <c r="K110" s="10" t="s">
        <v>153</v>
      </c>
      <c r="L110" s="10" t="s">
        <v>246</v>
      </c>
      <c r="M110" s="10" t="s">
        <v>246</v>
      </c>
      <c r="N110" s="10" t="s">
        <v>155</v>
      </c>
      <c r="O110" s="10" t="s">
        <v>155</v>
      </c>
      <c r="P110" s="3" t="s">
        <v>155</v>
      </c>
      <c r="Q110" s="3" t="str">
        <f t="shared" si="3"/>
        <v>待评审/依据</v>
      </c>
      <c r="R110" s="3" t="s">
        <v>165</v>
      </c>
      <c r="S110" s="3" t="s">
        <v>317</v>
      </c>
    </row>
  </sheetData>
  <conditionalFormatting sqref="Q6:Q102">
    <cfRule type="expression" dxfId="0" priority="1">
      <formula>Q6="本轮复核通过"</formula>
    </cfRule>
    <cfRule type="expression" dxfId="1" priority="2">
      <formula>OR(Q6="开发自测失败",Q6="提测复核失败",Q6="开发失败缺证据",Q6="复核失败缺证据")</formula>
    </cfRule>
  </conditionalFormatting>
  <conditionalFormatting sqref="Q103:Q110">
    <cfRule type="expression" dxfId="2" priority="3">
      <formula>Q103="本轮复核通过"</formula>
    </cfRule>
    <cfRule type="expression" dxfId="3" priority="4">
      <formula>OR(Q103="开发自测失败",Q103="提测复核失败",Q103="开发失败缺证据",Q103="复核失败缺证据")</formula>
    </cfRule>
  </conditionalFormatting>
  <dataValidations count="2">
    <dataValidation type="list" sqref="K6:K102 K103:K110">
      <formula1>"待评审,待依据,可执行,不纳入"</formula1>
    </dataValidation>
    <dataValidation type="list" sqref="L6:M102 L103:M110">
      <formula1>"未执行,通过,失败,受阻,不适用"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4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2" width="12" customWidth="1"/>
    <col min="3" max="3" width="27" customWidth="1"/>
    <col min="4" max="4" width="42" customWidth="1"/>
    <col min="5" max="5" width="35" customWidth="1"/>
    <col min="6" max="6" width="23" customWidth="1"/>
    <col min="7" max="9" width="18" customWidth="1"/>
    <col min="10" max="10" width="62" customWidth="1"/>
    <col min="11" max="11" width="91" customWidth="1"/>
    <col min="12" max="12" width="17" customWidth="1"/>
    <col min="13" max="13" width="34" customWidth="1"/>
    <col min="14" max="14" width="64" customWidth="1"/>
    <col min="15" max="15" width="50" customWidth="1"/>
    <col min="16" max="16" width="62" customWidth="1"/>
  </cols>
  <sheetData>
    <row r="2" ht="29" customHeight="1" spans="1:16">
      <c r="A2" s="1" t="s">
        <v>990</v>
      </c>
    </row>
    <row r="3" ht="16.5" spans="1:16">
      <c r="A3" s="5" t="s">
        <v>991</v>
      </c>
    </row>
    <row r="5" ht="36" customHeight="1" spans="1:16">
      <c r="A5" s="6" t="s">
        <v>992</v>
      </c>
      <c r="B5" s="7" t="s">
        <v>993</v>
      </c>
      <c r="C5" s="7" t="s">
        <v>994</v>
      </c>
      <c r="D5" s="7" t="s">
        <v>995</v>
      </c>
      <c r="E5" s="7" t="s">
        <v>996</v>
      </c>
      <c r="F5" s="7" t="s">
        <v>997</v>
      </c>
      <c r="G5" s="7" t="s">
        <v>998</v>
      </c>
      <c r="H5" s="7" t="s">
        <v>999</v>
      </c>
      <c r="I5" s="7" t="s">
        <v>1000</v>
      </c>
      <c r="J5" s="7" t="s">
        <v>1001</v>
      </c>
      <c r="K5" s="7" t="s">
        <v>1002</v>
      </c>
      <c r="L5" s="7" t="s">
        <v>1003</v>
      </c>
      <c r="M5" s="7" t="s">
        <v>1004</v>
      </c>
      <c r="N5" s="8" t="s">
        <v>1005</v>
      </c>
      <c r="O5" s="2" t="s">
        <v>1006</v>
      </c>
      <c r="P5" s="2" t="s">
        <v>1007</v>
      </c>
    </row>
    <row r="6" ht="46" customHeight="1" spans="1:16">
      <c r="A6" s="9">
        <v>1</v>
      </c>
      <c r="B6" s="9">
        <v>5</v>
      </c>
      <c r="C6" s="3" t="s">
        <v>623</v>
      </c>
      <c r="D6" s="3" t="s">
        <v>1008</v>
      </c>
      <c r="E6" s="3" t="s">
        <v>622</v>
      </c>
      <c r="F6" s="3" t="s">
        <v>1009</v>
      </c>
      <c r="G6" s="3" t="s">
        <v>1010</v>
      </c>
      <c r="H6" s="3" t="s">
        <v>1011</v>
      </c>
      <c r="I6" s="3" t="s">
        <v>1012</v>
      </c>
      <c r="J6" s="3" t="s">
        <v>155</v>
      </c>
      <c r="K6" s="3" t="s">
        <v>1013</v>
      </c>
      <c r="L6" s="3" t="s">
        <v>621</v>
      </c>
      <c r="M6" s="3" t="s">
        <v>1014</v>
      </c>
      <c r="N6" s="3" t="s">
        <v>1015</v>
      </c>
      <c r="O6" s="3" t="s">
        <v>1016</v>
      </c>
      <c r="P6" s="3" t="s">
        <v>1017</v>
      </c>
    </row>
    <row r="7" ht="46" customHeight="1" spans="1:16">
      <c r="A7" s="9">
        <v>2</v>
      </c>
      <c r="B7" s="9">
        <v>6</v>
      </c>
      <c r="C7" s="3" t="s">
        <v>623</v>
      </c>
      <c r="D7" s="3" t="s">
        <v>1018</v>
      </c>
      <c r="E7" s="3" t="s">
        <v>622</v>
      </c>
      <c r="F7" s="3" t="s">
        <v>1009</v>
      </c>
      <c r="G7" s="3" t="s">
        <v>1010</v>
      </c>
      <c r="H7" s="3" t="s">
        <v>1011</v>
      </c>
      <c r="I7" s="3" t="s">
        <v>1012</v>
      </c>
      <c r="J7" s="3" t="s">
        <v>155</v>
      </c>
      <c r="K7" s="3" t="s">
        <v>1019</v>
      </c>
      <c r="L7" s="3" t="s">
        <v>632</v>
      </c>
      <c r="M7" s="3" t="s">
        <v>1020</v>
      </c>
      <c r="N7" s="3" t="s">
        <v>1015</v>
      </c>
      <c r="O7" s="3" t="s">
        <v>1016</v>
      </c>
      <c r="P7" s="3" t="s">
        <v>1017</v>
      </c>
    </row>
    <row r="8" ht="46" customHeight="1" spans="1:16">
      <c r="A8" s="9">
        <v>3</v>
      </c>
      <c r="B8" s="9">
        <v>7</v>
      </c>
      <c r="C8" s="3" t="s">
        <v>623</v>
      </c>
      <c r="D8" s="3" t="s">
        <v>1021</v>
      </c>
      <c r="E8" s="3" t="s">
        <v>622</v>
      </c>
      <c r="F8" s="3" t="s">
        <v>1009</v>
      </c>
      <c r="G8" s="3" t="s">
        <v>1010</v>
      </c>
      <c r="H8" s="3" t="s">
        <v>1011</v>
      </c>
      <c r="I8" s="3" t="s">
        <v>1012</v>
      </c>
      <c r="J8" s="3" t="s">
        <v>158</v>
      </c>
      <c r="K8" s="3" t="s">
        <v>1022</v>
      </c>
      <c r="L8" s="3" t="s">
        <v>639</v>
      </c>
      <c r="M8" s="3" t="s">
        <v>1023</v>
      </c>
      <c r="N8" s="3" t="s">
        <v>1015</v>
      </c>
      <c r="O8" s="3" t="s">
        <v>1016</v>
      </c>
      <c r="P8" s="3" t="s">
        <v>1017</v>
      </c>
    </row>
    <row r="9" ht="46" customHeight="1" spans="1:16">
      <c r="A9" s="9">
        <v>4</v>
      </c>
      <c r="B9" s="9">
        <v>8</v>
      </c>
      <c r="C9" s="3" t="s">
        <v>623</v>
      </c>
      <c r="D9" s="3" t="s">
        <v>1024</v>
      </c>
      <c r="E9" s="3" t="s">
        <v>622</v>
      </c>
      <c r="F9" s="3" t="s">
        <v>1009</v>
      </c>
      <c r="G9" s="3" t="s">
        <v>1010</v>
      </c>
      <c r="H9" s="3" t="s">
        <v>1011</v>
      </c>
      <c r="I9" s="3" t="s">
        <v>1012</v>
      </c>
      <c r="J9" s="3" t="s">
        <v>1025</v>
      </c>
      <c r="K9" s="3" t="s">
        <v>1026</v>
      </c>
      <c r="L9" s="3" t="s">
        <v>646</v>
      </c>
      <c r="M9" s="3" t="s">
        <v>1027</v>
      </c>
      <c r="N9" s="3" t="s">
        <v>1015</v>
      </c>
      <c r="O9" s="3" t="s">
        <v>1016</v>
      </c>
      <c r="P9" s="3" t="s">
        <v>1017</v>
      </c>
    </row>
    <row r="10" ht="46" customHeight="1" spans="1:16">
      <c r="A10" s="9">
        <v>5</v>
      </c>
      <c r="B10" s="9">
        <v>9</v>
      </c>
      <c r="C10" s="3" t="s">
        <v>623</v>
      </c>
      <c r="D10" s="3" t="s">
        <v>1028</v>
      </c>
      <c r="E10" s="3" t="s">
        <v>622</v>
      </c>
      <c r="F10" s="3" t="s">
        <v>1009</v>
      </c>
      <c r="G10" s="3" t="s">
        <v>1010</v>
      </c>
      <c r="H10" s="3" t="s">
        <v>1011</v>
      </c>
      <c r="I10" s="3" t="s">
        <v>1012</v>
      </c>
      <c r="J10" s="3" t="s">
        <v>155</v>
      </c>
      <c r="K10" s="3" t="s">
        <v>1029</v>
      </c>
      <c r="L10" s="3" t="s">
        <v>653</v>
      </c>
      <c r="M10" s="3" t="s">
        <v>1030</v>
      </c>
      <c r="N10" s="3" t="s">
        <v>1015</v>
      </c>
      <c r="O10" s="3" t="s">
        <v>1016</v>
      </c>
      <c r="P10" s="3" t="s">
        <v>1017</v>
      </c>
    </row>
    <row r="11" ht="46" customHeight="1" spans="1:16">
      <c r="A11" s="9">
        <v>7</v>
      </c>
      <c r="B11" s="9">
        <v>11</v>
      </c>
      <c r="C11" s="3" t="s">
        <v>662</v>
      </c>
      <c r="D11" s="3" t="s">
        <v>1031</v>
      </c>
      <c r="E11" s="3" t="s">
        <v>622</v>
      </c>
      <c r="F11" s="3" t="s">
        <v>1009</v>
      </c>
      <c r="G11" s="3" t="s">
        <v>1010</v>
      </c>
      <c r="H11" s="3" t="s">
        <v>1011</v>
      </c>
      <c r="I11" s="3" t="s">
        <v>1032</v>
      </c>
      <c r="J11" s="3" t="s">
        <v>155</v>
      </c>
      <c r="K11" s="3" t="s">
        <v>1013</v>
      </c>
      <c r="L11" s="3" t="s">
        <v>661</v>
      </c>
      <c r="M11" s="3" t="s">
        <v>1033</v>
      </c>
      <c r="N11" s="3" t="s">
        <v>1015</v>
      </c>
      <c r="O11" s="3" t="s">
        <v>1016</v>
      </c>
      <c r="P11" s="3" t="s">
        <v>1017</v>
      </c>
    </row>
    <row r="12" ht="46" customHeight="1" spans="1:16">
      <c r="A12" s="9">
        <v>8</v>
      </c>
      <c r="B12" s="9">
        <v>12</v>
      </c>
      <c r="C12" s="3" t="s">
        <v>662</v>
      </c>
      <c r="D12" s="3" t="s">
        <v>1034</v>
      </c>
      <c r="E12" s="3" t="s">
        <v>622</v>
      </c>
      <c r="F12" s="3" t="s">
        <v>1009</v>
      </c>
      <c r="G12" s="3" t="s">
        <v>1010</v>
      </c>
      <c r="H12" s="3" t="s">
        <v>1011</v>
      </c>
      <c r="I12" s="3" t="s">
        <v>1032</v>
      </c>
      <c r="J12" s="3" t="s">
        <v>155</v>
      </c>
      <c r="K12" s="3" t="s">
        <v>1035</v>
      </c>
      <c r="L12" s="3" t="s">
        <v>670</v>
      </c>
      <c r="M12" s="3" t="s">
        <v>1036</v>
      </c>
      <c r="N12" s="3" t="s">
        <v>1015</v>
      </c>
      <c r="O12" s="3" t="s">
        <v>1016</v>
      </c>
      <c r="P12" s="3" t="s">
        <v>1017</v>
      </c>
    </row>
    <row r="13" ht="46" customHeight="1" spans="1:16">
      <c r="A13" s="9">
        <v>9</v>
      </c>
      <c r="B13" s="9">
        <v>13</v>
      </c>
      <c r="C13" s="3" t="s">
        <v>662</v>
      </c>
      <c r="D13" s="3" t="s">
        <v>1037</v>
      </c>
      <c r="E13" s="3" t="s">
        <v>622</v>
      </c>
      <c r="F13" s="3" t="s">
        <v>1009</v>
      </c>
      <c r="G13" s="3" t="s">
        <v>1010</v>
      </c>
      <c r="H13" s="3" t="s">
        <v>1011</v>
      </c>
      <c r="I13" s="3" t="s">
        <v>1032</v>
      </c>
      <c r="J13" s="3" t="s">
        <v>173</v>
      </c>
      <c r="K13" s="3" t="s">
        <v>1038</v>
      </c>
      <c r="L13" s="3" t="s">
        <v>678</v>
      </c>
      <c r="M13" s="3" t="s">
        <v>1039</v>
      </c>
      <c r="N13" s="3" t="s">
        <v>1015</v>
      </c>
      <c r="O13" s="3" t="s">
        <v>1016</v>
      </c>
      <c r="P13" s="3" t="s">
        <v>1017</v>
      </c>
    </row>
    <row r="14" ht="46" customHeight="1" spans="1:16">
      <c r="A14" s="9">
        <v>10</v>
      </c>
      <c r="B14" s="9">
        <v>14</v>
      </c>
      <c r="C14" s="3" t="s">
        <v>662</v>
      </c>
      <c r="D14" s="3" t="s">
        <v>1040</v>
      </c>
      <c r="E14" s="3" t="s">
        <v>622</v>
      </c>
      <c r="F14" s="3" t="s">
        <v>1009</v>
      </c>
      <c r="G14" s="3" t="s">
        <v>1010</v>
      </c>
      <c r="H14" s="3" t="s">
        <v>1011</v>
      </c>
      <c r="I14" s="3" t="s">
        <v>1032</v>
      </c>
      <c r="J14" s="3" t="s">
        <v>155</v>
      </c>
      <c r="K14" s="3" t="s">
        <v>1041</v>
      </c>
      <c r="L14" s="3" t="s">
        <v>685</v>
      </c>
      <c r="M14" s="3" t="s">
        <v>1042</v>
      </c>
      <c r="N14" s="3" t="s">
        <v>1015</v>
      </c>
      <c r="O14" s="3" t="s">
        <v>1016</v>
      </c>
      <c r="P14" s="3" t="s">
        <v>1017</v>
      </c>
    </row>
    <row r="15" ht="46" customHeight="1" spans="1:16">
      <c r="A15" s="9">
        <v>11</v>
      </c>
      <c r="B15" s="9">
        <v>15</v>
      </c>
      <c r="C15" s="3" t="s">
        <v>694</v>
      </c>
      <c r="D15" s="3" t="s">
        <v>1043</v>
      </c>
      <c r="E15" s="3" t="s">
        <v>622</v>
      </c>
      <c r="F15" s="3" t="s">
        <v>1009</v>
      </c>
      <c r="G15" s="3" t="s">
        <v>1010</v>
      </c>
      <c r="H15" s="3" t="s">
        <v>1011</v>
      </c>
      <c r="I15" s="3" t="s">
        <v>1012</v>
      </c>
      <c r="J15" s="3" t="s">
        <v>155</v>
      </c>
      <c r="K15" s="3" t="s">
        <v>1013</v>
      </c>
      <c r="L15" s="3" t="s">
        <v>693</v>
      </c>
      <c r="M15" s="3" t="s">
        <v>1044</v>
      </c>
      <c r="N15" s="3" t="s">
        <v>1015</v>
      </c>
      <c r="O15" s="3" t="s">
        <v>1016</v>
      </c>
      <c r="P15" s="3" t="s">
        <v>1017</v>
      </c>
    </row>
    <row r="16" ht="46" customHeight="1" spans="1:16">
      <c r="A16" s="9">
        <v>12</v>
      </c>
      <c r="B16" s="9">
        <v>16</v>
      </c>
      <c r="C16" s="3" t="s">
        <v>703</v>
      </c>
      <c r="D16" s="3" t="s">
        <v>1045</v>
      </c>
      <c r="E16" s="3" t="s">
        <v>12</v>
      </c>
      <c r="F16" s="3" t="s">
        <v>1009</v>
      </c>
      <c r="G16" s="3" t="s">
        <v>1010</v>
      </c>
      <c r="H16" s="3" t="s">
        <v>1046</v>
      </c>
      <c r="I16" s="3" t="s">
        <v>1012</v>
      </c>
      <c r="J16" s="3" t="s">
        <v>155</v>
      </c>
      <c r="K16" s="3" t="s">
        <v>1013</v>
      </c>
      <c r="L16" s="3" t="s">
        <v>702</v>
      </c>
      <c r="M16" s="3" t="s">
        <v>1047</v>
      </c>
      <c r="N16" s="3" t="s">
        <v>1015</v>
      </c>
      <c r="O16" s="3" t="s">
        <v>1016</v>
      </c>
      <c r="P16" s="3" t="s">
        <v>1017</v>
      </c>
    </row>
    <row r="17" ht="46" customHeight="1" spans="1:16">
      <c r="A17" s="9">
        <v>13</v>
      </c>
      <c r="B17" s="9">
        <v>17</v>
      </c>
      <c r="C17" s="3" t="s">
        <v>703</v>
      </c>
      <c r="D17" s="3" t="s">
        <v>1048</v>
      </c>
      <c r="E17" s="3" t="s">
        <v>12</v>
      </c>
      <c r="F17" s="3" t="s">
        <v>1009</v>
      </c>
      <c r="G17" s="3" t="s">
        <v>1010</v>
      </c>
      <c r="H17" s="3" t="s">
        <v>1046</v>
      </c>
      <c r="I17" s="3" t="s">
        <v>1012</v>
      </c>
      <c r="J17" s="3" t="s">
        <v>155</v>
      </c>
      <c r="K17" s="3" t="s">
        <v>1049</v>
      </c>
      <c r="L17" s="3" t="s">
        <v>711</v>
      </c>
      <c r="M17" s="3" t="s">
        <v>1050</v>
      </c>
      <c r="N17" s="3" t="s">
        <v>1015</v>
      </c>
      <c r="O17" s="3" t="s">
        <v>1016</v>
      </c>
      <c r="P17" s="3" t="s">
        <v>1017</v>
      </c>
    </row>
    <row r="18" ht="46" customHeight="1" spans="1:16">
      <c r="A18" s="9">
        <v>14</v>
      </c>
      <c r="B18" s="9">
        <v>18</v>
      </c>
      <c r="C18" s="3" t="s">
        <v>703</v>
      </c>
      <c r="D18" s="3" t="s">
        <v>1051</v>
      </c>
      <c r="E18" s="3" t="s">
        <v>12</v>
      </c>
      <c r="F18" s="3" t="s">
        <v>1009</v>
      </c>
      <c r="G18" s="3" t="s">
        <v>1010</v>
      </c>
      <c r="H18" s="3" t="s">
        <v>1046</v>
      </c>
      <c r="I18" s="3" t="s">
        <v>1012</v>
      </c>
      <c r="J18" s="3" t="s">
        <v>155</v>
      </c>
      <c r="K18" s="3" t="s">
        <v>1052</v>
      </c>
      <c r="L18" s="3" t="s">
        <v>719</v>
      </c>
      <c r="M18" s="3" t="s">
        <v>1053</v>
      </c>
      <c r="N18" s="3" t="s">
        <v>1015</v>
      </c>
      <c r="O18" s="3" t="s">
        <v>1016</v>
      </c>
      <c r="P18" s="3" t="s">
        <v>1017</v>
      </c>
    </row>
    <row r="19" ht="46" customHeight="1" spans="1:16">
      <c r="A19" s="9">
        <v>15</v>
      </c>
      <c r="B19" s="9">
        <v>19</v>
      </c>
      <c r="C19" s="3" t="s">
        <v>703</v>
      </c>
      <c r="D19" s="3" t="s">
        <v>1054</v>
      </c>
      <c r="E19" s="3" t="s">
        <v>12</v>
      </c>
      <c r="F19" s="3" t="s">
        <v>1009</v>
      </c>
      <c r="G19" s="3" t="s">
        <v>1010</v>
      </c>
      <c r="H19" s="3" t="s">
        <v>1046</v>
      </c>
      <c r="I19" s="3" t="s">
        <v>1012</v>
      </c>
      <c r="J19" s="3" t="s">
        <v>180</v>
      </c>
      <c r="K19" s="3" t="s">
        <v>1055</v>
      </c>
      <c r="L19" s="3" t="s">
        <v>727</v>
      </c>
      <c r="M19" s="3" t="s">
        <v>1056</v>
      </c>
      <c r="N19" s="3" t="s">
        <v>1015</v>
      </c>
      <c r="O19" s="3" t="s">
        <v>1016</v>
      </c>
      <c r="P19" s="3" t="s">
        <v>1017</v>
      </c>
    </row>
    <row r="20" ht="46" customHeight="1" spans="1:16">
      <c r="A20" s="9">
        <v>16</v>
      </c>
      <c r="B20" s="9">
        <v>20</v>
      </c>
      <c r="C20" s="3" t="s">
        <v>703</v>
      </c>
      <c r="D20" s="3" t="s">
        <v>1057</v>
      </c>
      <c r="E20" s="3" t="s">
        <v>12</v>
      </c>
      <c r="F20" s="3" t="s">
        <v>1009</v>
      </c>
      <c r="G20" s="3" t="s">
        <v>1010</v>
      </c>
      <c r="H20" s="3" t="s">
        <v>1046</v>
      </c>
      <c r="I20" s="3" t="s">
        <v>1012</v>
      </c>
      <c r="J20" s="3" t="s">
        <v>155</v>
      </c>
      <c r="K20" s="3" t="s">
        <v>544</v>
      </c>
      <c r="L20" s="3" t="s">
        <v>734</v>
      </c>
      <c r="M20" s="3" t="s">
        <v>1058</v>
      </c>
      <c r="N20" s="3" t="s">
        <v>1015</v>
      </c>
      <c r="O20" s="3" t="s">
        <v>1016</v>
      </c>
      <c r="P20" s="3" t="s">
        <v>1017</v>
      </c>
    </row>
    <row r="21" ht="46" customHeight="1" spans="1:16">
      <c r="A21" s="9">
        <v>17</v>
      </c>
      <c r="B21" s="9">
        <v>21</v>
      </c>
      <c r="C21" s="3" t="s">
        <v>703</v>
      </c>
      <c r="D21" s="3" t="s">
        <v>1059</v>
      </c>
      <c r="E21" s="3" t="s">
        <v>12</v>
      </c>
      <c r="F21" s="3" t="s">
        <v>1060</v>
      </c>
      <c r="G21" s="3" t="s">
        <v>1010</v>
      </c>
      <c r="H21" s="3" t="s">
        <v>1046</v>
      </c>
      <c r="I21" s="3" t="s">
        <v>1012</v>
      </c>
      <c r="J21" s="3" t="s">
        <v>210</v>
      </c>
      <c r="K21" s="3" t="s">
        <v>1061</v>
      </c>
      <c r="L21" s="3" t="s">
        <v>742</v>
      </c>
      <c r="M21" s="3" t="s">
        <v>1062</v>
      </c>
      <c r="N21" s="3" t="s">
        <v>1063</v>
      </c>
      <c r="O21" s="3" t="s">
        <v>1016</v>
      </c>
      <c r="P21" s="3" t="s">
        <v>1064</v>
      </c>
    </row>
    <row r="22" ht="46" customHeight="1" spans="1:16">
      <c r="A22" s="9">
        <v>18</v>
      </c>
      <c r="B22" s="9">
        <v>22</v>
      </c>
      <c r="C22" s="3" t="s">
        <v>703</v>
      </c>
      <c r="D22" s="3" t="s">
        <v>1065</v>
      </c>
      <c r="E22" s="3" t="s">
        <v>12</v>
      </c>
      <c r="F22" s="3" t="s">
        <v>1060</v>
      </c>
      <c r="G22" s="3" t="s">
        <v>1010</v>
      </c>
      <c r="H22" s="3" t="s">
        <v>1046</v>
      </c>
      <c r="I22" s="3" t="s">
        <v>1012</v>
      </c>
      <c r="J22" s="3" t="s">
        <v>210</v>
      </c>
      <c r="K22" s="3" t="s">
        <v>1066</v>
      </c>
      <c r="L22" s="3" t="s">
        <v>750</v>
      </c>
      <c r="M22" s="3" t="s">
        <v>1067</v>
      </c>
      <c r="N22" s="3" t="s">
        <v>1063</v>
      </c>
      <c r="O22" s="3" t="s">
        <v>1016</v>
      </c>
      <c r="P22" s="3" t="s">
        <v>1064</v>
      </c>
    </row>
    <row r="23" ht="46" customHeight="1" spans="1:16">
      <c r="A23" s="9">
        <v>19</v>
      </c>
      <c r="B23" s="9">
        <v>23</v>
      </c>
      <c r="C23" s="3" t="s">
        <v>703</v>
      </c>
      <c r="D23" s="3" t="s">
        <v>1068</v>
      </c>
      <c r="E23" s="3" t="s">
        <v>12</v>
      </c>
      <c r="F23" s="3" t="s">
        <v>1069</v>
      </c>
      <c r="G23" s="3" t="s">
        <v>1010</v>
      </c>
      <c r="H23" s="3" t="s">
        <v>1046</v>
      </c>
      <c r="I23" s="3" t="s">
        <v>1012</v>
      </c>
      <c r="J23" s="3" t="s">
        <v>210</v>
      </c>
      <c r="K23" s="3" t="s">
        <v>1070</v>
      </c>
      <c r="L23" s="3" t="s">
        <v>758</v>
      </c>
      <c r="M23" s="3" t="s">
        <v>1071</v>
      </c>
      <c r="N23" s="3" t="s">
        <v>1015</v>
      </c>
      <c r="O23" s="3" t="s">
        <v>1016</v>
      </c>
      <c r="P23" s="3" t="s">
        <v>1064</v>
      </c>
    </row>
    <row r="24" ht="46" customHeight="1" spans="1:16">
      <c r="A24" s="9">
        <v>20</v>
      </c>
      <c r="B24" s="9">
        <v>24</v>
      </c>
      <c r="C24" s="3" t="s">
        <v>703</v>
      </c>
      <c r="D24" s="3" t="s">
        <v>1072</v>
      </c>
      <c r="E24" s="3" t="s">
        <v>12</v>
      </c>
      <c r="F24" s="3" t="s">
        <v>1073</v>
      </c>
      <c r="G24" s="3" t="s">
        <v>1010</v>
      </c>
      <c r="H24" s="3" t="s">
        <v>1046</v>
      </c>
      <c r="I24" s="3" t="s">
        <v>1012</v>
      </c>
      <c r="J24" s="3" t="s">
        <v>210</v>
      </c>
      <c r="K24" s="3" t="s">
        <v>1061</v>
      </c>
      <c r="L24" s="3" t="s">
        <v>765</v>
      </c>
      <c r="M24" s="3" t="s">
        <v>1074</v>
      </c>
      <c r="N24" s="3" t="s">
        <v>1075</v>
      </c>
      <c r="O24" s="3" t="s">
        <v>1016</v>
      </c>
      <c r="P24" s="3" t="s">
        <v>1064</v>
      </c>
    </row>
    <row r="25" ht="46" customHeight="1" spans="1:16">
      <c r="A25" s="9">
        <v>21</v>
      </c>
      <c r="B25" s="9">
        <v>25</v>
      </c>
      <c r="C25" s="3" t="s">
        <v>703</v>
      </c>
      <c r="D25" s="3" t="s">
        <v>1076</v>
      </c>
      <c r="E25" s="3" t="s">
        <v>12</v>
      </c>
      <c r="F25" s="3" t="s">
        <v>1073</v>
      </c>
      <c r="G25" s="3" t="s">
        <v>1010</v>
      </c>
      <c r="H25" s="3" t="s">
        <v>1046</v>
      </c>
      <c r="I25" s="3" t="s">
        <v>1012</v>
      </c>
      <c r="J25" s="3" t="s">
        <v>210</v>
      </c>
      <c r="K25" s="3" t="s">
        <v>155</v>
      </c>
      <c r="L25" s="3" t="s">
        <v>773</v>
      </c>
      <c r="M25" s="3" t="s">
        <v>1077</v>
      </c>
      <c r="N25" s="3" t="s">
        <v>1078</v>
      </c>
      <c r="O25" s="3" t="s">
        <v>1016</v>
      </c>
      <c r="P25" s="3" t="s">
        <v>1064</v>
      </c>
    </row>
    <row r="26" ht="46" customHeight="1" spans="1:16">
      <c r="A26" s="9">
        <v>22</v>
      </c>
      <c r="B26" s="9">
        <v>26</v>
      </c>
      <c r="C26" s="3" t="s">
        <v>782</v>
      </c>
      <c r="D26" s="3" t="s">
        <v>1079</v>
      </c>
      <c r="E26" s="3" t="s">
        <v>12</v>
      </c>
      <c r="F26" s="3" t="s">
        <v>1009</v>
      </c>
      <c r="G26" s="3" t="s">
        <v>1010</v>
      </c>
      <c r="H26" s="3" t="s">
        <v>1046</v>
      </c>
      <c r="I26" s="3" t="s">
        <v>1032</v>
      </c>
      <c r="J26" s="3" t="s">
        <v>218</v>
      </c>
      <c r="K26" s="3" t="s">
        <v>1080</v>
      </c>
      <c r="L26" s="3" t="s">
        <v>781</v>
      </c>
      <c r="M26" s="3" t="s">
        <v>1081</v>
      </c>
      <c r="N26" s="3" t="s">
        <v>1015</v>
      </c>
      <c r="O26" s="3" t="s">
        <v>1016</v>
      </c>
      <c r="P26" s="3" t="s">
        <v>1017</v>
      </c>
    </row>
    <row r="27" ht="46" customHeight="1" spans="1:16">
      <c r="A27" s="9">
        <v>23</v>
      </c>
      <c r="B27" s="9">
        <v>27</v>
      </c>
      <c r="C27" s="3" t="s">
        <v>782</v>
      </c>
      <c r="D27" s="3" t="s">
        <v>1082</v>
      </c>
      <c r="E27" s="3" t="s">
        <v>12</v>
      </c>
      <c r="F27" s="3" t="s">
        <v>1009</v>
      </c>
      <c r="G27" s="3" t="s">
        <v>1010</v>
      </c>
      <c r="H27" s="3" t="s">
        <v>1046</v>
      </c>
      <c r="I27" s="3" t="s">
        <v>1032</v>
      </c>
      <c r="J27" s="3" t="s">
        <v>218</v>
      </c>
      <c r="K27" s="3" t="s">
        <v>1083</v>
      </c>
      <c r="L27" s="3" t="s">
        <v>790</v>
      </c>
      <c r="M27" s="3" t="s">
        <v>1084</v>
      </c>
      <c r="N27" s="3" t="s">
        <v>1015</v>
      </c>
      <c r="O27" s="3" t="s">
        <v>1016</v>
      </c>
      <c r="P27" s="3" t="s">
        <v>1017</v>
      </c>
    </row>
    <row r="28" ht="46" customHeight="1" spans="1:16">
      <c r="A28" s="9">
        <v>24</v>
      </c>
      <c r="B28" s="9">
        <v>28</v>
      </c>
      <c r="C28" s="3" t="s">
        <v>782</v>
      </c>
      <c r="D28" s="3" t="s">
        <v>1085</v>
      </c>
      <c r="E28" s="3" t="s">
        <v>12</v>
      </c>
      <c r="F28" s="3" t="s">
        <v>1009</v>
      </c>
      <c r="G28" s="3" t="s">
        <v>1010</v>
      </c>
      <c r="H28" s="3" t="s">
        <v>1046</v>
      </c>
      <c r="I28" s="3" t="s">
        <v>1032</v>
      </c>
      <c r="J28" s="3" t="s">
        <v>210</v>
      </c>
      <c r="K28" s="3" t="s">
        <v>1086</v>
      </c>
      <c r="L28" s="3" t="s">
        <v>798</v>
      </c>
      <c r="M28" s="3" t="s">
        <v>1087</v>
      </c>
      <c r="N28" s="3" t="s">
        <v>1015</v>
      </c>
      <c r="O28" s="3" t="s">
        <v>1016</v>
      </c>
      <c r="P28" s="3" t="s">
        <v>1064</v>
      </c>
    </row>
    <row r="29" ht="46" customHeight="1" spans="1:16">
      <c r="A29" s="9">
        <v>25</v>
      </c>
      <c r="B29" s="9">
        <v>29</v>
      </c>
      <c r="C29" s="3" t="s">
        <v>782</v>
      </c>
      <c r="D29" s="3" t="s">
        <v>1088</v>
      </c>
      <c r="E29" s="3" t="s">
        <v>12</v>
      </c>
      <c r="F29" s="3" t="s">
        <v>1069</v>
      </c>
      <c r="G29" s="3" t="s">
        <v>1010</v>
      </c>
      <c r="H29" s="3" t="s">
        <v>1046</v>
      </c>
      <c r="I29" s="3" t="s">
        <v>1032</v>
      </c>
      <c r="J29" s="3" t="s">
        <v>210</v>
      </c>
      <c r="K29" s="3" t="s">
        <v>1089</v>
      </c>
      <c r="L29" s="3" t="s">
        <v>806</v>
      </c>
      <c r="M29" s="3" t="s">
        <v>1090</v>
      </c>
      <c r="N29" s="3" t="s">
        <v>1091</v>
      </c>
      <c r="O29" s="3" t="s">
        <v>1016</v>
      </c>
      <c r="P29" s="3" t="s">
        <v>1064</v>
      </c>
    </row>
    <row r="30" ht="46" customHeight="1" spans="1:16">
      <c r="A30" s="9">
        <v>26</v>
      </c>
      <c r="B30" s="9">
        <v>30</v>
      </c>
      <c r="C30" s="3" t="s">
        <v>815</v>
      </c>
      <c r="D30" s="3" t="s">
        <v>1092</v>
      </c>
      <c r="E30" s="3" t="s">
        <v>12</v>
      </c>
      <c r="F30" s="3" t="s">
        <v>1009</v>
      </c>
      <c r="G30" s="3" t="s">
        <v>1010</v>
      </c>
      <c r="H30" s="3" t="s">
        <v>1046</v>
      </c>
      <c r="I30" s="3" t="s">
        <v>1012</v>
      </c>
      <c r="J30" s="3" t="s">
        <v>155</v>
      </c>
      <c r="K30" s="3" t="s">
        <v>1093</v>
      </c>
      <c r="L30" s="3" t="s">
        <v>814</v>
      </c>
      <c r="M30" s="3" t="s">
        <v>1094</v>
      </c>
      <c r="N30" s="3" t="s">
        <v>1015</v>
      </c>
      <c r="O30" s="3" t="s">
        <v>1016</v>
      </c>
      <c r="P30" s="3" t="s">
        <v>1017</v>
      </c>
    </row>
    <row r="31" ht="46" customHeight="1" spans="1:16">
      <c r="A31" s="9">
        <v>27</v>
      </c>
      <c r="B31" s="9">
        <v>31</v>
      </c>
      <c r="C31" s="3" t="s">
        <v>815</v>
      </c>
      <c r="D31" s="3" t="s">
        <v>1095</v>
      </c>
      <c r="E31" s="3" t="s">
        <v>12</v>
      </c>
      <c r="F31" s="3" t="s">
        <v>1009</v>
      </c>
      <c r="G31" s="3" t="s">
        <v>1010</v>
      </c>
      <c r="H31" s="3" t="s">
        <v>1046</v>
      </c>
      <c r="I31" s="3" t="s">
        <v>1012</v>
      </c>
      <c r="J31" s="3" t="s">
        <v>155</v>
      </c>
      <c r="K31" s="3" t="s">
        <v>1096</v>
      </c>
      <c r="L31" s="3" t="s">
        <v>823</v>
      </c>
      <c r="M31" s="3" t="s">
        <v>1097</v>
      </c>
      <c r="N31" s="3" t="s">
        <v>1015</v>
      </c>
      <c r="O31" s="3" t="s">
        <v>1016</v>
      </c>
      <c r="P31" s="3" t="s">
        <v>1017</v>
      </c>
    </row>
    <row r="32" ht="46" customHeight="1" spans="1:16">
      <c r="A32" s="9">
        <v>28</v>
      </c>
      <c r="B32" s="9">
        <v>32</v>
      </c>
      <c r="C32" s="3" t="s">
        <v>832</v>
      </c>
      <c r="D32" s="3" t="s">
        <v>1098</v>
      </c>
      <c r="E32" s="3" t="s">
        <v>12</v>
      </c>
      <c r="F32" s="3" t="s">
        <v>1069</v>
      </c>
      <c r="G32" s="3" t="s">
        <v>1010</v>
      </c>
      <c r="H32" s="3" t="s">
        <v>1011</v>
      </c>
      <c r="I32" s="3" t="s">
        <v>1012</v>
      </c>
      <c r="J32" s="3" t="s">
        <v>1099</v>
      </c>
      <c r="K32" s="3" t="s">
        <v>1100</v>
      </c>
      <c r="L32" s="3" t="s">
        <v>831</v>
      </c>
      <c r="M32" s="3" t="s">
        <v>1101</v>
      </c>
      <c r="N32" s="3" t="s">
        <v>1102</v>
      </c>
      <c r="O32" s="3" t="s">
        <v>1016</v>
      </c>
      <c r="P32" s="3" t="s">
        <v>1064</v>
      </c>
    </row>
    <row r="33" ht="46" customHeight="1" spans="1:16">
      <c r="A33" s="9">
        <v>29</v>
      </c>
      <c r="B33" s="9">
        <v>33</v>
      </c>
      <c r="C33" s="3" t="s">
        <v>832</v>
      </c>
      <c r="D33" s="3" t="s">
        <v>1103</v>
      </c>
      <c r="E33" s="3" t="s">
        <v>12</v>
      </c>
      <c r="F33" s="3" t="s">
        <v>1069</v>
      </c>
      <c r="G33" s="3" t="s">
        <v>1010</v>
      </c>
      <c r="H33" s="3" t="s">
        <v>1011</v>
      </c>
      <c r="I33" s="3" t="s">
        <v>1012</v>
      </c>
      <c r="J33" s="3" t="s">
        <v>210</v>
      </c>
      <c r="K33" s="3" t="s">
        <v>1013</v>
      </c>
      <c r="L33" s="3" t="s">
        <v>840</v>
      </c>
      <c r="M33" s="3" t="s">
        <v>1104</v>
      </c>
      <c r="N33" s="3" t="s">
        <v>1105</v>
      </c>
      <c r="O33" s="3" t="s">
        <v>1016</v>
      </c>
      <c r="P33" s="3" t="s">
        <v>1064</v>
      </c>
    </row>
    <row r="34" ht="46" customHeight="1" spans="1:16">
      <c r="A34" s="9">
        <v>50</v>
      </c>
      <c r="B34" s="9">
        <v>54</v>
      </c>
      <c r="C34" s="3" t="s">
        <v>850</v>
      </c>
      <c r="D34" s="3" t="s">
        <v>1106</v>
      </c>
      <c r="E34" s="3" t="s">
        <v>849</v>
      </c>
      <c r="F34" s="3" t="s">
        <v>1009</v>
      </c>
      <c r="G34" s="3" t="s">
        <v>1010</v>
      </c>
      <c r="H34" s="3" t="s">
        <v>1046</v>
      </c>
      <c r="I34" s="3" t="s">
        <v>1012</v>
      </c>
      <c r="J34" s="3" t="s">
        <v>1107</v>
      </c>
      <c r="K34" s="3" t="s">
        <v>1108</v>
      </c>
      <c r="L34" s="3" t="s">
        <v>848</v>
      </c>
      <c r="M34" s="3" t="s">
        <v>1109</v>
      </c>
      <c r="N34" s="3" t="s">
        <v>1015</v>
      </c>
      <c r="O34" s="3" t="s">
        <v>1110</v>
      </c>
      <c r="P34" s="3" t="s">
        <v>1111</v>
      </c>
    </row>
    <row r="35" ht="46" customHeight="1" spans="1:16">
      <c r="A35" s="9">
        <v>51</v>
      </c>
      <c r="B35" s="9">
        <v>55</v>
      </c>
      <c r="C35" s="3" t="s">
        <v>850</v>
      </c>
      <c r="D35" s="3" t="s">
        <v>1112</v>
      </c>
      <c r="E35" s="3" t="s">
        <v>849</v>
      </c>
      <c r="F35" s="3" t="s">
        <v>1009</v>
      </c>
      <c r="G35" s="3" t="s">
        <v>1010</v>
      </c>
      <c r="H35" s="3" t="s">
        <v>1046</v>
      </c>
      <c r="I35" s="3" t="s">
        <v>1012</v>
      </c>
      <c r="J35" s="3" t="s">
        <v>1113</v>
      </c>
      <c r="K35" s="3" t="s">
        <v>1114</v>
      </c>
      <c r="L35" s="3" t="s">
        <v>859</v>
      </c>
      <c r="M35" s="3" t="s">
        <v>1115</v>
      </c>
      <c r="N35" s="3" t="s">
        <v>1015</v>
      </c>
      <c r="O35" s="3" t="s">
        <v>1110</v>
      </c>
      <c r="P35" s="3" t="s">
        <v>1116</v>
      </c>
    </row>
    <row r="36" ht="46" customHeight="1" spans="1:16">
      <c r="A36" s="9">
        <v>52</v>
      </c>
      <c r="B36" s="9">
        <v>56</v>
      </c>
      <c r="C36" s="3" t="s">
        <v>850</v>
      </c>
      <c r="D36" s="3" t="s">
        <v>1117</v>
      </c>
      <c r="E36" s="3" t="s">
        <v>869</v>
      </c>
      <c r="F36" s="3" t="s">
        <v>1009</v>
      </c>
      <c r="G36" s="3" t="s">
        <v>1010</v>
      </c>
      <c r="H36" s="3" t="s">
        <v>1046</v>
      </c>
      <c r="I36" s="3" t="s">
        <v>1012</v>
      </c>
      <c r="J36" s="3" t="s">
        <v>155</v>
      </c>
      <c r="K36" s="3" t="s">
        <v>1118</v>
      </c>
      <c r="L36" s="3" t="s">
        <v>868</v>
      </c>
      <c r="M36" s="3" t="s">
        <v>1119</v>
      </c>
      <c r="N36" s="3" t="s">
        <v>1015</v>
      </c>
      <c r="O36" s="3" t="s">
        <v>1016</v>
      </c>
      <c r="P36" s="3" t="s">
        <v>1017</v>
      </c>
    </row>
    <row r="37" ht="46" customHeight="1" spans="1:16">
      <c r="A37" s="9">
        <v>53</v>
      </c>
      <c r="B37" s="9">
        <v>57</v>
      </c>
      <c r="C37" s="3" t="s">
        <v>850</v>
      </c>
      <c r="D37" s="3" t="s">
        <v>1120</v>
      </c>
      <c r="E37" s="3" t="s">
        <v>869</v>
      </c>
      <c r="F37" s="3" t="s">
        <v>1009</v>
      </c>
      <c r="G37" s="3" t="s">
        <v>1010</v>
      </c>
      <c r="H37" s="3" t="s">
        <v>1046</v>
      </c>
      <c r="I37" s="3" t="s">
        <v>1012</v>
      </c>
      <c r="J37" s="3" t="s">
        <v>155</v>
      </c>
      <c r="K37" s="3" t="s">
        <v>1118</v>
      </c>
      <c r="L37" s="3" t="s">
        <v>877</v>
      </c>
      <c r="M37" s="3" t="s">
        <v>1121</v>
      </c>
      <c r="N37" s="3" t="s">
        <v>1015</v>
      </c>
      <c r="O37" s="3" t="s">
        <v>1016</v>
      </c>
      <c r="P37" s="3" t="s">
        <v>1017</v>
      </c>
    </row>
    <row r="38" ht="46" customHeight="1" spans="1:16">
      <c r="A38" s="9">
        <v>54</v>
      </c>
      <c r="B38" s="9">
        <v>58</v>
      </c>
      <c r="C38" s="3" t="s">
        <v>850</v>
      </c>
      <c r="D38" s="3" t="s">
        <v>1122</v>
      </c>
      <c r="E38" s="3" t="s">
        <v>869</v>
      </c>
      <c r="F38" s="3" t="s">
        <v>1009</v>
      </c>
      <c r="G38" s="3" t="s">
        <v>1010</v>
      </c>
      <c r="H38" s="3" t="s">
        <v>1046</v>
      </c>
      <c r="I38" s="3" t="s">
        <v>1012</v>
      </c>
      <c r="J38" s="3" t="s">
        <v>1123</v>
      </c>
      <c r="K38" s="3" t="s">
        <v>1124</v>
      </c>
      <c r="L38" s="3" t="s">
        <v>884</v>
      </c>
      <c r="M38" s="3" t="s">
        <v>1125</v>
      </c>
      <c r="N38" s="3" t="s">
        <v>1015</v>
      </c>
      <c r="O38" s="3" t="s">
        <v>1016</v>
      </c>
      <c r="P38" s="3" t="s">
        <v>1017</v>
      </c>
    </row>
    <row r="39" ht="46" customHeight="1" spans="1:16">
      <c r="A39" s="9">
        <v>55</v>
      </c>
      <c r="B39" s="9">
        <v>59</v>
      </c>
      <c r="C39" s="3" t="s">
        <v>850</v>
      </c>
      <c r="D39" s="3" t="s">
        <v>1126</v>
      </c>
      <c r="E39" s="3" t="s">
        <v>869</v>
      </c>
      <c r="F39" s="3" t="s">
        <v>1009</v>
      </c>
      <c r="G39" s="3" t="s">
        <v>1010</v>
      </c>
      <c r="H39" s="3" t="s">
        <v>1046</v>
      </c>
      <c r="I39" s="3" t="s">
        <v>1032</v>
      </c>
      <c r="J39" s="3" t="s">
        <v>155</v>
      </c>
      <c r="K39" s="3" t="s">
        <v>1127</v>
      </c>
      <c r="L39" s="3" t="s">
        <v>891</v>
      </c>
      <c r="M39" s="3" t="s">
        <v>1128</v>
      </c>
      <c r="N39" s="3" t="s">
        <v>1015</v>
      </c>
      <c r="O39" s="3" t="s">
        <v>1016</v>
      </c>
      <c r="P39" s="3" t="s">
        <v>1017</v>
      </c>
    </row>
    <row r="40" ht="46" customHeight="1" spans="1:16">
      <c r="A40" s="9">
        <v>56</v>
      </c>
      <c r="B40" s="9">
        <v>60</v>
      </c>
      <c r="C40" s="3" t="s">
        <v>850</v>
      </c>
      <c r="D40" s="3" t="s">
        <v>1129</v>
      </c>
      <c r="E40" s="3" t="s">
        <v>849</v>
      </c>
      <c r="F40" s="3" t="s">
        <v>1069</v>
      </c>
      <c r="G40" s="3" t="s">
        <v>1010</v>
      </c>
      <c r="H40" s="3" t="s">
        <v>1046</v>
      </c>
      <c r="I40" s="3" t="s">
        <v>1032</v>
      </c>
      <c r="J40" s="3" t="s">
        <v>187</v>
      </c>
      <c r="K40" s="3" t="s">
        <v>1130</v>
      </c>
      <c r="L40" s="3" t="s">
        <v>899</v>
      </c>
      <c r="M40" s="3" t="s">
        <v>1131</v>
      </c>
      <c r="N40" s="3" t="s">
        <v>1015</v>
      </c>
      <c r="O40" s="3" t="s">
        <v>1110</v>
      </c>
      <c r="P40" s="3" t="s">
        <v>1132</v>
      </c>
    </row>
    <row r="41" ht="46" customHeight="1" spans="1:16">
      <c r="A41" s="9">
        <v>57</v>
      </c>
      <c r="B41" s="9">
        <v>61</v>
      </c>
      <c r="C41" s="3" t="s">
        <v>850</v>
      </c>
      <c r="D41" s="3" t="s">
        <v>1133</v>
      </c>
      <c r="E41" s="3" t="s">
        <v>869</v>
      </c>
      <c r="F41" s="3" t="s">
        <v>1069</v>
      </c>
      <c r="G41" s="3" t="s">
        <v>1010</v>
      </c>
      <c r="H41" s="3" t="s">
        <v>1046</v>
      </c>
      <c r="I41" s="3" t="s">
        <v>1032</v>
      </c>
      <c r="J41" s="3" t="s">
        <v>1134</v>
      </c>
      <c r="K41" s="3" t="s">
        <v>1127</v>
      </c>
      <c r="L41" s="3" t="s">
        <v>908</v>
      </c>
      <c r="M41" s="3" t="s">
        <v>1135</v>
      </c>
      <c r="N41" s="3" t="s">
        <v>1015</v>
      </c>
      <c r="O41" s="3" t="s">
        <v>1016</v>
      </c>
      <c r="P41" s="3" t="s">
        <v>1017</v>
      </c>
    </row>
    <row r="42" ht="46" customHeight="1" spans="1:16">
      <c r="A42" s="9">
        <v>58</v>
      </c>
      <c r="B42" s="9">
        <v>62</v>
      </c>
      <c r="C42" s="3" t="s">
        <v>850</v>
      </c>
      <c r="D42" s="3" t="s">
        <v>1136</v>
      </c>
      <c r="E42" s="3" t="s">
        <v>869</v>
      </c>
      <c r="F42" s="3" t="s">
        <v>1069</v>
      </c>
      <c r="G42" s="3" t="s">
        <v>1010</v>
      </c>
      <c r="H42" s="3" t="s">
        <v>1046</v>
      </c>
      <c r="I42" s="3" t="s">
        <v>1032</v>
      </c>
      <c r="J42" s="3" t="s">
        <v>1137</v>
      </c>
      <c r="K42" s="3" t="s">
        <v>1100</v>
      </c>
      <c r="L42" s="3" t="s">
        <v>916</v>
      </c>
      <c r="M42" s="3" t="s">
        <v>1138</v>
      </c>
      <c r="N42" s="3" t="s">
        <v>1015</v>
      </c>
      <c r="O42" s="3" t="s">
        <v>1016</v>
      </c>
      <c r="P42" s="3" t="s">
        <v>1064</v>
      </c>
    </row>
    <row r="43" ht="46" customHeight="1" spans="1:16">
      <c r="A43" s="9">
        <v>65</v>
      </c>
      <c r="B43" s="9">
        <v>69</v>
      </c>
      <c r="C43" s="3" t="s">
        <v>925</v>
      </c>
      <c r="D43" s="3" t="s">
        <v>925</v>
      </c>
      <c r="E43" s="3" t="s">
        <v>869</v>
      </c>
      <c r="F43" s="3" t="s">
        <v>1069</v>
      </c>
      <c r="G43" s="3" t="s">
        <v>1010</v>
      </c>
      <c r="H43" s="3" t="s">
        <v>1011</v>
      </c>
      <c r="I43" s="3" t="s">
        <v>1139</v>
      </c>
      <c r="J43" s="3" t="s">
        <v>210</v>
      </c>
      <c r="K43" s="3" t="s">
        <v>1013</v>
      </c>
      <c r="L43" s="3" t="s">
        <v>924</v>
      </c>
      <c r="M43" s="3" t="s">
        <v>1140</v>
      </c>
      <c r="N43" s="3" t="s">
        <v>1015</v>
      </c>
      <c r="O43" s="3" t="s">
        <v>1016</v>
      </c>
      <c r="P43" s="3" t="s">
        <v>1064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93A5"/>
  </sheetPr>
  <dimension ref="A2:G73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6"/>
  <cols>
    <col min="1" max="1" width="14" customWidth="1"/>
    <col min="2" max="2" width="24" customWidth="1"/>
    <col min="3" max="3" width="33" customWidth="1"/>
    <col min="4" max="4" width="36" customWidth="1"/>
    <col min="5" max="5" width="73" customWidth="1"/>
    <col min="6" max="6" width="87" customWidth="1"/>
    <col min="7" max="7" width="92" customWidth="1"/>
  </cols>
  <sheetData>
    <row r="2" ht="21.75" spans="1:7">
      <c r="A2" s="1" t="s">
        <v>1141</v>
      </c>
    </row>
    <row r="3" spans="1:7">
      <c r="A3" t="s">
        <v>1142</v>
      </c>
    </row>
    <row r="5" ht="36" customHeight="1" spans="1:7">
      <c r="A5" s="2" t="s">
        <v>1143</v>
      </c>
      <c r="B5" s="2" t="s">
        <v>1144</v>
      </c>
      <c r="C5" s="2" t="s">
        <v>1145</v>
      </c>
      <c r="D5" s="2" t="s">
        <v>1146</v>
      </c>
      <c r="E5" s="2" t="s">
        <v>1147</v>
      </c>
      <c r="F5" s="2" t="s">
        <v>1148</v>
      </c>
      <c r="G5" s="2" t="s">
        <v>1149</v>
      </c>
    </row>
    <row r="6" ht="46" customHeight="1" spans="1:7">
      <c r="A6" s="3" t="s">
        <v>144</v>
      </c>
      <c r="B6" s="3" t="s">
        <v>1150</v>
      </c>
      <c r="C6" s="3" t="s">
        <v>146</v>
      </c>
      <c r="D6" s="3" t="s">
        <v>146</v>
      </c>
      <c r="E6" s="3" t="s">
        <v>1151</v>
      </c>
      <c r="F6" s="3" t="s">
        <v>152</v>
      </c>
      <c r="G6" s="3" t="s">
        <v>156</v>
      </c>
    </row>
    <row r="7" ht="46" customHeight="1" spans="1:7">
      <c r="A7" s="3" t="s">
        <v>158</v>
      </c>
      <c r="B7" s="3" t="s">
        <v>1152</v>
      </c>
      <c r="C7" s="3" t="s">
        <v>159</v>
      </c>
      <c r="D7" s="3" t="s">
        <v>159</v>
      </c>
      <c r="E7" s="3" t="s">
        <v>1153</v>
      </c>
      <c r="F7" s="3" t="s">
        <v>164</v>
      </c>
      <c r="G7" s="3" t="s">
        <v>165</v>
      </c>
    </row>
    <row r="8" ht="46" customHeight="1" spans="1:7">
      <c r="A8" s="3" t="s">
        <v>166</v>
      </c>
      <c r="B8" s="3" t="s">
        <v>1152</v>
      </c>
      <c r="C8" s="3" t="s">
        <v>167</v>
      </c>
      <c r="D8" s="3" t="s">
        <v>167</v>
      </c>
      <c r="E8" s="3" t="s">
        <v>1153</v>
      </c>
      <c r="F8" s="3" t="s">
        <v>172</v>
      </c>
      <c r="G8" s="3" t="s">
        <v>165</v>
      </c>
    </row>
    <row r="9" ht="46" customHeight="1" spans="1:7">
      <c r="A9" s="3" t="s">
        <v>173</v>
      </c>
      <c r="B9" s="3" t="s">
        <v>1150</v>
      </c>
      <c r="C9" s="3" t="s">
        <v>174</v>
      </c>
      <c r="D9" s="3" t="s">
        <v>174</v>
      </c>
      <c r="E9" s="3" t="s">
        <v>1154</v>
      </c>
      <c r="F9" s="3" t="s">
        <v>179</v>
      </c>
      <c r="G9" s="3" t="s">
        <v>165</v>
      </c>
    </row>
    <row r="10" ht="46" customHeight="1" spans="1:7">
      <c r="A10" s="3" t="s">
        <v>180</v>
      </c>
      <c r="B10" s="3" t="s">
        <v>1152</v>
      </c>
      <c r="C10" s="3" t="s">
        <v>181</v>
      </c>
      <c r="D10" s="3" t="s">
        <v>181</v>
      </c>
      <c r="E10" s="3" t="s">
        <v>1153</v>
      </c>
      <c r="F10" s="3" t="s">
        <v>186</v>
      </c>
      <c r="G10" s="3" t="s">
        <v>165</v>
      </c>
    </row>
    <row r="11" ht="46" customHeight="1" spans="1:7">
      <c r="A11" s="3" t="s">
        <v>187</v>
      </c>
      <c r="B11" s="3" t="s">
        <v>1152</v>
      </c>
      <c r="C11" s="3" t="s">
        <v>188</v>
      </c>
      <c r="D11" s="3" t="s">
        <v>188</v>
      </c>
      <c r="E11" s="3" t="s">
        <v>1153</v>
      </c>
      <c r="F11" s="3" t="s">
        <v>193</v>
      </c>
      <c r="G11" s="3" t="s">
        <v>194</v>
      </c>
    </row>
    <row r="12" ht="46" customHeight="1" spans="1:7">
      <c r="A12" s="3" t="s">
        <v>195</v>
      </c>
      <c r="B12" s="3" t="s">
        <v>1152</v>
      </c>
      <c r="C12" s="3" t="s">
        <v>196</v>
      </c>
      <c r="D12" s="3" t="s">
        <v>196</v>
      </c>
      <c r="E12" s="3" t="s">
        <v>1153</v>
      </c>
      <c r="F12" s="3" t="s">
        <v>201</v>
      </c>
      <c r="G12" s="3" t="s">
        <v>165</v>
      </c>
    </row>
    <row r="13" ht="46" customHeight="1" spans="1:7">
      <c r="A13" s="3" t="s">
        <v>202</v>
      </c>
      <c r="B13" s="3" t="s">
        <v>1150</v>
      </c>
      <c r="C13" s="3" t="s">
        <v>1155</v>
      </c>
      <c r="D13" s="3" t="s">
        <v>203</v>
      </c>
      <c r="E13" s="3" t="s">
        <v>1156</v>
      </c>
      <c r="F13" s="3" t="s">
        <v>208</v>
      </c>
      <c r="G13" s="3" t="s">
        <v>209</v>
      </c>
    </row>
    <row r="14" ht="46" customHeight="1" spans="1:7">
      <c r="A14" s="3" t="s">
        <v>210</v>
      </c>
      <c r="B14" s="3" t="s">
        <v>1152</v>
      </c>
      <c r="C14" s="3" t="s">
        <v>211</v>
      </c>
      <c r="D14" s="3" t="s">
        <v>211</v>
      </c>
      <c r="E14" s="3" t="s">
        <v>1153</v>
      </c>
      <c r="F14" s="3" t="s">
        <v>216</v>
      </c>
      <c r="G14" s="3" t="s">
        <v>217</v>
      </c>
    </row>
    <row r="15" ht="46" customHeight="1" spans="1:7">
      <c r="A15" s="3" t="s">
        <v>218</v>
      </c>
      <c r="B15" s="3" t="s">
        <v>1152</v>
      </c>
      <c r="C15" s="3" t="s">
        <v>219</v>
      </c>
      <c r="D15" s="3" t="s">
        <v>219</v>
      </c>
      <c r="E15" s="3" t="s">
        <v>1153</v>
      </c>
      <c r="F15" s="3" t="s">
        <v>224</v>
      </c>
      <c r="G15" s="3" t="s">
        <v>217</v>
      </c>
    </row>
    <row r="16" ht="46" customHeight="1" spans="1:7">
      <c r="A16" s="3" t="s">
        <v>225</v>
      </c>
      <c r="B16" s="3" t="s">
        <v>1152</v>
      </c>
      <c r="C16" s="3" t="s">
        <v>146</v>
      </c>
      <c r="D16" s="3" t="s">
        <v>146</v>
      </c>
      <c r="E16" s="3" t="s">
        <v>1153</v>
      </c>
      <c r="F16" s="3" t="s">
        <v>230</v>
      </c>
      <c r="G16" s="3" t="s">
        <v>156</v>
      </c>
    </row>
    <row r="17" ht="46" customHeight="1" spans="1:7">
      <c r="A17" s="3" t="s">
        <v>231</v>
      </c>
      <c r="B17" s="3" t="s">
        <v>1150</v>
      </c>
      <c r="C17" s="3" t="s">
        <v>146</v>
      </c>
      <c r="D17" s="3" t="s">
        <v>146</v>
      </c>
      <c r="E17" s="3" t="s">
        <v>1157</v>
      </c>
      <c r="F17" s="3" t="s">
        <v>236</v>
      </c>
      <c r="G17" s="3" t="s">
        <v>156</v>
      </c>
    </row>
    <row r="18" ht="46" customHeight="1" spans="1:7">
      <c r="A18" s="3" t="s">
        <v>237</v>
      </c>
      <c r="B18" s="3" t="s">
        <v>1150</v>
      </c>
      <c r="C18" s="3" t="s">
        <v>146</v>
      </c>
      <c r="D18" s="3" t="s">
        <v>146</v>
      </c>
      <c r="E18" s="3" t="s">
        <v>1158</v>
      </c>
      <c r="F18" s="3" t="s">
        <v>245</v>
      </c>
      <c r="G18" s="3" t="s">
        <v>156</v>
      </c>
    </row>
    <row r="19" ht="46" customHeight="1" spans="1:7">
      <c r="A19" s="3" t="s">
        <v>249</v>
      </c>
      <c r="B19" s="3" t="s">
        <v>1152</v>
      </c>
      <c r="C19" s="3" t="s">
        <v>146</v>
      </c>
      <c r="D19" s="3" t="s">
        <v>146</v>
      </c>
      <c r="E19" s="3" t="s">
        <v>1153</v>
      </c>
      <c r="F19" s="3" t="s">
        <v>254</v>
      </c>
      <c r="G19" s="3" t="s">
        <v>156</v>
      </c>
    </row>
    <row r="20" ht="46" customHeight="1" spans="1:7">
      <c r="A20" s="3" t="s">
        <v>256</v>
      </c>
      <c r="B20" s="3" t="s">
        <v>1152</v>
      </c>
      <c r="C20" s="3" t="s">
        <v>146</v>
      </c>
      <c r="D20" s="3" t="s">
        <v>146</v>
      </c>
      <c r="E20" s="3" t="s">
        <v>1153</v>
      </c>
      <c r="F20" s="3" t="s">
        <v>261</v>
      </c>
      <c r="G20" s="3" t="s">
        <v>156</v>
      </c>
    </row>
    <row r="21" ht="46" customHeight="1" spans="1:7">
      <c r="A21" s="3" t="s">
        <v>263</v>
      </c>
      <c r="B21" s="3" t="s">
        <v>1150</v>
      </c>
      <c r="C21" s="3" t="s">
        <v>146</v>
      </c>
      <c r="D21" s="3" t="s">
        <v>146</v>
      </c>
      <c r="E21" s="3" t="s">
        <v>1159</v>
      </c>
      <c r="F21" s="3" t="s">
        <v>268</v>
      </c>
      <c r="G21" s="3" t="s">
        <v>156</v>
      </c>
    </row>
    <row r="22" ht="46" customHeight="1" spans="1:7">
      <c r="A22" s="3" t="s">
        <v>270</v>
      </c>
      <c r="B22" s="3" t="s">
        <v>1152</v>
      </c>
      <c r="C22" s="3" t="s">
        <v>146</v>
      </c>
      <c r="D22" s="3" t="s">
        <v>146</v>
      </c>
      <c r="E22" s="3" t="s">
        <v>1153</v>
      </c>
      <c r="F22" s="3" t="s">
        <v>276</v>
      </c>
      <c r="G22" s="3" t="s">
        <v>156</v>
      </c>
    </row>
    <row r="23" ht="46" customHeight="1" spans="1:7">
      <c r="A23" s="3" t="s">
        <v>278</v>
      </c>
      <c r="B23" s="3" t="s">
        <v>1152</v>
      </c>
      <c r="C23" s="3" t="s">
        <v>146</v>
      </c>
      <c r="D23" s="3" t="s">
        <v>146</v>
      </c>
      <c r="E23" s="3" t="s">
        <v>1153</v>
      </c>
      <c r="F23" s="3" t="s">
        <v>283</v>
      </c>
      <c r="G23" s="3" t="s">
        <v>156</v>
      </c>
    </row>
    <row r="24" ht="46" customHeight="1" spans="1:7">
      <c r="A24" s="3" t="s">
        <v>285</v>
      </c>
      <c r="B24" s="3" t="s">
        <v>1152</v>
      </c>
      <c r="C24" s="3" t="s">
        <v>146</v>
      </c>
      <c r="D24" s="3" t="s">
        <v>146</v>
      </c>
      <c r="E24" s="3" t="s">
        <v>1153</v>
      </c>
      <c r="F24" s="3" t="s">
        <v>291</v>
      </c>
      <c r="G24" s="3" t="s">
        <v>156</v>
      </c>
    </row>
    <row r="25" ht="46" customHeight="1" spans="1:7">
      <c r="A25" s="3" t="s">
        <v>293</v>
      </c>
      <c r="B25" s="3" t="s">
        <v>1152</v>
      </c>
      <c r="C25" s="3" t="s">
        <v>146</v>
      </c>
      <c r="D25" s="3" t="s">
        <v>146</v>
      </c>
      <c r="E25" s="3" t="s">
        <v>1153</v>
      </c>
      <c r="F25" s="3" t="s">
        <v>298</v>
      </c>
      <c r="G25" s="3" t="s">
        <v>156</v>
      </c>
    </row>
    <row r="26" ht="46" customHeight="1" spans="1:7">
      <c r="A26" s="3" t="s">
        <v>299</v>
      </c>
      <c r="B26" s="3" t="s">
        <v>1150</v>
      </c>
      <c r="C26" s="3" t="s">
        <v>146</v>
      </c>
      <c r="D26" s="3" t="s">
        <v>146</v>
      </c>
      <c r="E26" s="3" t="s">
        <v>1160</v>
      </c>
      <c r="F26" s="3" t="s">
        <v>305</v>
      </c>
      <c r="G26" s="3" t="s">
        <v>156</v>
      </c>
    </row>
    <row r="27" ht="46" customHeight="1" spans="1:7">
      <c r="A27" s="3" t="s">
        <v>307</v>
      </c>
      <c r="B27" s="3" t="s">
        <v>1150</v>
      </c>
      <c r="C27" s="3" t="s">
        <v>309</v>
      </c>
      <c r="D27" s="3" t="s">
        <v>309</v>
      </c>
      <c r="E27" s="3" t="s">
        <v>1161</v>
      </c>
      <c r="F27" s="3" t="s">
        <v>314</v>
      </c>
      <c r="G27" s="3" t="s">
        <v>316</v>
      </c>
    </row>
    <row r="28" ht="46" customHeight="1" spans="1:7">
      <c r="A28" s="3" t="s">
        <v>318</v>
      </c>
      <c r="B28" s="3" t="s">
        <v>1150</v>
      </c>
      <c r="C28" s="3" t="s">
        <v>320</v>
      </c>
      <c r="D28" s="3" t="s">
        <v>320</v>
      </c>
      <c r="E28" s="3" t="s">
        <v>1162</v>
      </c>
      <c r="F28" s="3" t="s">
        <v>325</v>
      </c>
      <c r="G28" s="3" t="s">
        <v>327</v>
      </c>
    </row>
    <row r="29" ht="56" customHeight="1" spans="1:7">
      <c r="A29" s="3" t="s">
        <v>328</v>
      </c>
      <c r="B29" s="3" t="s">
        <v>1152</v>
      </c>
      <c r="C29" s="3" t="s">
        <v>1163</v>
      </c>
      <c r="D29" s="3" t="s">
        <v>330</v>
      </c>
      <c r="E29" s="3" t="s">
        <v>1153</v>
      </c>
      <c r="F29" s="3" t="s">
        <v>335</v>
      </c>
      <c r="G29" s="3" t="s">
        <v>209</v>
      </c>
    </row>
    <row r="30" ht="56" customHeight="1" spans="1:7">
      <c r="A30" s="3" t="s">
        <v>337</v>
      </c>
      <c r="B30" s="3" t="s">
        <v>1150</v>
      </c>
      <c r="C30" s="3" t="s">
        <v>1163</v>
      </c>
      <c r="D30" s="3" t="s">
        <v>330</v>
      </c>
      <c r="E30" s="3" t="s">
        <v>1164</v>
      </c>
      <c r="F30" s="3" t="s">
        <v>342</v>
      </c>
      <c r="G30" s="3" t="s">
        <v>209</v>
      </c>
    </row>
    <row r="31" ht="56" customHeight="1" spans="1:7">
      <c r="A31" s="3" t="s">
        <v>344</v>
      </c>
      <c r="B31" s="3" t="s">
        <v>1152</v>
      </c>
      <c r="C31" s="3" t="s">
        <v>1163</v>
      </c>
      <c r="D31" s="3" t="s">
        <v>330</v>
      </c>
      <c r="E31" s="3" t="s">
        <v>1153</v>
      </c>
      <c r="F31" s="3" t="s">
        <v>349</v>
      </c>
      <c r="G31" s="3" t="s">
        <v>209</v>
      </c>
    </row>
    <row r="32" ht="56" customHeight="1" spans="1:7">
      <c r="A32" s="3" t="s">
        <v>351</v>
      </c>
      <c r="B32" s="3" t="s">
        <v>1150</v>
      </c>
      <c r="C32" s="3" t="s">
        <v>1163</v>
      </c>
      <c r="D32" s="3" t="s">
        <v>330</v>
      </c>
      <c r="E32" s="3" t="s">
        <v>1165</v>
      </c>
      <c r="F32" s="3" t="s">
        <v>357</v>
      </c>
      <c r="G32" s="3" t="s">
        <v>359</v>
      </c>
    </row>
    <row r="33" ht="56" customHeight="1" spans="1:7">
      <c r="A33" s="3" t="s">
        <v>360</v>
      </c>
      <c r="B33" s="3" t="s">
        <v>1150</v>
      </c>
      <c r="C33" s="3" t="s">
        <v>1163</v>
      </c>
      <c r="D33" s="3" t="s">
        <v>330</v>
      </c>
      <c r="E33" s="3" t="s">
        <v>1166</v>
      </c>
      <c r="F33" s="3" t="s">
        <v>365</v>
      </c>
      <c r="G33" s="3" t="s">
        <v>209</v>
      </c>
    </row>
    <row r="34" ht="56" customHeight="1" spans="1:7">
      <c r="A34" s="3" t="s">
        <v>367</v>
      </c>
      <c r="B34" s="3" t="s">
        <v>1150</v>
      </c>
      <c r="C34" s="3" t="s">
        <v>1163</v>
      </c>
      <c r="D34" s="3" t="s">
        <v>330</v>
      </c>
      <c r="E34" s="3" t="s">
        <v>1167</v>
      </c>
      <c r="F34" s="3" t="s">
        <v>373</v>
      </c>
      <c r="G34" s="3" t="s">
        <v>209</v>
      </c>
    </row>
    <row r="35" ht="56" customHeight="1" spans="1:7">
      <c r="A35" s="3" t="s">
        <v>375</v>
      </c>
      <c r="B35" s="3" t="s">
        <v>1150</v>
      </c>
      <c r="C35" s="3" t="s">
        <v>1163</v>
      </c>
      <c r="D35" s="3" t="s">
        <v>330</v>
      </c>
      <c r="E35" s="3" t="s">
        <v>1168</v>
      </c>
      <c r="F35" s="3" t="s">
        <v>380</v>
      </c>
      <c r="G35" s="3" t="s">
        <v>382</v>
      </c>
    </row>
    <row r="36" ht="56" customHeight="1" spans="1:7">
      <c r="A36" s="3" t="s">
        <v>383</v>
      </c>
      <c r="B36" s="3" t="s">
        <v>1152</v>
      </c>
      <c r="C36" s="3" t="s">
        <v>1163</v>
      </c>
      <c r="D36" s="3" t="s">
        <v>330</v>
      </c>
      <c r="E36" s="3" t="s">
        <v>1153</v>
      </c>
      <c r="F36" s="3" t="s">
        <v>388</v>
      </c>
      <c r="G36" s="3" t="s">
        <v>209</v>
      </c>
    </row>
    <row r="37" ht="56" customHeight="1" spans="1:7">
      <c r="A37" s="3" t="s">
        <v>390</v>
      </c>
      <c r="B37" s="3" t="s">
        <v>1152</v>
      </c>
      <c r="C37" s="3" t="s">
        <v>1163</v>
      </c>
      <c r="D37" s="3" t="s">
        <v>330</v>
      </c>
      <c r="E37" s="3" t="s">
        <v>1153</v>
      </c>
      <c r="F37" s="3" t="s">
        <v>396</v>
      </c>
      <c r="G37" s="3" t="s">
        <v>209</v>
      </c>
    </row>
    <row r="38" ht="56" customHeight="1" spans="1:7">
      <c r="A38" s="3" t="s">
        <v>398</v>
      </c>
      <c r="B38" s="3" t="s">
        <v>1152</v>
      </c>
      <c r="C38" s="3" t="s">
        <v>1163</v>
      </c>
      <c r="D38" s="3" t="s">
        <v>330</v>
      </c>
      <c r="E38" s="3" t="s">
        <v>1153</v>
      </c>
      <c r="F38" s="3" t="s">
        <v>403</v>
      </c>
      <c r="G38" s="3" t="s">
        <v>209</v>
      </c>
    </row>
    <row r="39" ht="46" customHeight="1" spans="1:7">
      <c r="A39" s="3" t="s">
        <v>405</v>
      </c>
      <c r="B39" s="3" t="s">
        <v>1150</v>
      </c>
      <c r="C39" s="3" t="s">
        <v>1163</v>
      </c>
      <c r="D39" s="3" t="s">
        <v>407</v>
      </c>
      <c r="E39" s="3" t="s">
        <v>1169</v>
      </c>
      <c r="F39" s="3" t="s">
        <v>412</v>
      </c>
      <c r="G39" s="3" t="s">
        <v>165</v>
      </c>
    </row>
    <row r="40" ht="46" customHeight="1" spans="1:7">
      <c r="A40" s="3" t="s">
        <v>415</v>
      </c>
      <c r="B40" s="3" t="s">
        <v>1152</v>
      </c>
      <c r="C40" s="3" t="s">
        <v>417</v>
      </c>
      <c r="D40" s="3" t="s">
        <v>417</v>
      </c>
      <c r="E40" s="3" t="s">
        <v>1153</v>
      </c>
      <c r="F40" s="3" t="s">
        <v>422</v>
      </c>
      <c r="G40" s="3" t="s">
        <v>165</v>
      </c>
    </row>
    <row r="41" ht="46" customHeight="1" spans="1:7">
      <c r="A41" s="3" t="s">
        <v>424</v>
      </c>
      <c r="B41" s="3" t="s">
        <v>1152</v>
      </c>
      <c r="C41" s="3" t="s">
        <v>417</v>
      </c>
      <c r="D41" s="3" t="s">
        <v>417</v>
      </c>
      <c r="E41" s="3" t="s">
        <v>1153</v>
      </c>
      <c r="F41" s="3" t="s">
        <v>429</v>
      </c>
      <c r="G41" s="3" t="s">
        <v>165</v>
      </c>
    </row>
    <row r="42" ht="46" customHeight="1" spans="1:7">
      <c r="A42" s="3" t="s">
        <v>431</v>
      </c>
      <c r="B42" s="3" t="s">
        <v>1152</v>
      </c>
      <c r="C42" s="3" t="s">
        <v>417</v>
      </c>
      <c r="D42" s="3" t="s">
        <v>417</v>
      </c>
      <c r="E42" s="3" t="s">
        <v>1153</v>
      </c>
      <c r="F42" s="3" t="s">
        <v>436</v>
      </c>
      <c r="G42" s="3" t="s">
        <v>165</v>
      </c>
    </row>
    <row r="43" ht="56" customHeight="1" spans="1:7">
      <c r="A43" s="3" t="s">
        <v>438</v>
      </c>
      <c r="B43" s="3" t="s">
        <v>1150</v>
      </c>
      <c r="C43" s="3" t="s">
        <v>1170</v>
      </c>
      <c r="D43" s="3" t="s">
        <v>440</v>
      </c>
      <c r="E43" s="3" t="s">
        <v>1171</v>
      </c>
      <c r="F43" s="3" t="s">
        <v>445</v>
      </c>
      <c r="G43" s="3" t="s">
        <v>447</v>
      </c>
    </row>
    <row r="44" ht="46" customHeight="1" spans="1:7">
      <c r="A44" s="3" t="s">
        <v>448</v>
      </c>
      <c r="B44" s="3" t="s">
        <v>1150</v>
      </c>
      <c r="C44" s="3" t="s">
        <v>1170</v>
      </c>
      <c r="D44" s="3" t="s">
        <v>449</v>
      </c>
      <c r="E44" s="3" t="s">
        <v>1172</v>
      </c>
      <c r="F44" s="3" t="s">
        <v>454</v>
      </c>
      <c r="G44" s="3" t="s">
        <v>209</v>
      </c>
    </row>
    <row r="45" ht="46" customHeight="1" spans="1:7">
      <c r="A45" s="3" t="s">
        <v>456</v>
      </c>
      <c r="B45" s="3" t="s">
        <v>1150</v>
      </c>
      <c r="C45" s="3" t="s">
        <v>1170</v>
      </c>
      <c r="D45" s="3" t="s">
        <v>449</v>
      </c>
      <c r="E45" s="3" t="s">
        <v>1173</v>
      </c>
      <c r="F45" s="3" t="s">
        <v>461</v>
      </c>
      <c r="G45" s="3" t="s">
        <v>209</v>
      </c>
    </row>
    <row r="46" ht="46" customHeight="1" spans="1:7">
      <c r="A46" s="3" t="s">
        <v>463</v>
      </c>
      <c r="B46" s="3" t="s">
        <v>1150</v>
      </c>
      <c r="C46" s="3" t="s">
        <v>1170</v>
      </c>
      <c r="D46" s="3" t="s">
        <v>464</v>
      </c>
      <c r="E46" s="3" t="s">
        <v>1174</v>
      </c>
      <c r="F46" s="3" t="s">
        <v>469</v>
      </c>
      <c r="G46" s="3" t="s">
        <v>471</v>
      </c>
    </row>
    <row r="47" ht="46" customHeight="1" spans="1:7">
      <c r="A47" s="3" t="s">
        <v>472</v>
      </c>
      <c r="B47" s="3" t="s">
        <v>1150</v>
      </c>
      <c r="C47" s="3" t="s">
        <v>1170</v>
      </c>
      <c r="D47" s="3" t="s">
        <v>449</v>
      </c>
      <c r="E47" s="3" t="s">
        <v>1175</v>
      </c>
      <c r="F47" s="3" t="s">
        <v>477</v>
      </c>
      <c r="G47" s="3" t="s">
        <v>479</v>
      </c>
    </row>
    <row r="48" ht="56" customHeight="1" spans="1:7">
      <c r="A48" s="3" t="s">
        <v>480</v>
      </c>
      <c r="B48" s="3" t="s">
        <v>1150</v>
      </c>
      <c r="C48" s="3" t="s">
        <v>1170</v>
      </c>
      <c r="D48" s="3" t="s">
        <v>482</v>
      </c>
      <c r="E48" s="3" t="s">
        <v>1176</v>
      </c>
      <c r="F48" s="3" t="s">
        <v>487</v>
      </c>
      <c r="G48" s="3" t="s">
        <v>209</v>
      </c>
    </row>
    <row r="49" ht="56" customHeight="1" spans="1:7">
      <c r="A49" s="3" t="s">
        <v>488</v>
      </c>
      <c r="B49" s="3" t="s">
        <v>1150</v>
      </c>
      <c r="C49" s="3" t="s">
        <v>1170</v>
      </c>
      <c r="D49" s="3" t="s">
        <v>482</v>
      </c>
      <c r="E49" s="3" t="s">
        <v>1177</v>
      </c>
      <c r="F49" s="3" t="s">
        <v>493</v>
      </c>
      <c r="G49" s="3" t="s">
        <v>209</v>
      </c>
    </row>
    <row r="50" ht="56" customHeight="1" spans="1:7">
      <c r="A50" s="3" t="s">
        <v>495</v>
      </c>
      <c r="B50" s="3" t="s">
        <v>1150</v>
      </c>
      <c r="C50" s="3" t="s">
        <v>1170</v>
      </c>
      <c r="D50" s="3" t="s">
        <v>482</v>
      </c>
      <c r="E50" s="3" t="s">
        <v>1178</v>
      </c>
      <c r="F50" s="3" t="s">
        <v>500</v>
      </c>
      <c r="G50" s="3" t="s">
        <v>209</v>
      </c>
    </row>
    <row r="51" ht="46" customHeight="1" spans="1:7">
      <c r="A51" s="3" t="s">
        <v>502</v>
      </c>
      <c r="B51" s="3" t="s">
        <v>1150</v>
      </c>
      <c r="C51" s="3" t="s">
        <v>504</v>
      </c>
      <c r="D51" s="3" t="s">
        <v>504</v>
      </c>
      <c r="E51" s="3" t="s">
        <v>1179</v>
      </c>
      <c r="F51" s="3" t="s">
        <v>509</v>
      </c>
      <c r="G51" s="3" t="s">
        <v>165</v>
      </c>
    </row>
    <row r="52" ht="46" customHeight="1" spans="1:7">
      <c r="A52" s="3" t="s">
        <v>511</v>
      </c>
      <c r="B52" s="3" t="s">
        <v>1152</v>
      </c>
      <c r="C52" s="3" t="s">
        <v>504</v>
      </c>
      <c r="D52" s="3" t="s">
        <v>504</v>
      </c>
      <c r="E52" s="3" t="s">
        <v>1153</v>
      </c>
      <c r="F52" s="3" t="s">
        <v>516</v>
      </c>
      <c r="G52" s="3" t="s">
        <v>165</v>
      </c>
    </row>
    <row r="53" ht="46" customHeight="1" spans="1:7">
      <c r="A53" s="3" t="s">
        <v>518</v>
      </c>
      <c r="B53" s="3" t="s">
        <v>1150</v>
      </c>
      <c r="C53" s="3" t="s">
        <v>174</v>
      </c>
      <c r="D53" s="3" t="s">
        <v>520</v>
      </c>
      <c r="E53" s="3" t="s">
        <v>1180</v>
      </c>
      <c r="F53" s="3" t="s">
        <v>525</v>
      </c>
      <c r="G53" s="3" t="s">
        <v>165</v>
      </c>
    </row>
    <row r="54" ht="46" customHeight="1" spans="1:7">
      <c r="A54" s="3" t="s">
        <v>527</v>
      </c>
      <c r="B54" s="3" t="s">
        <v>1152</v>
      </c>
      <c r="C54" s="3" t="s">
        <v>181</v>
      </c>
      <c r="D54" s="3" t="s">
        <v>181</v>
      </c>
      <c r="E54" s="3" t="s">
        <v>1153</v>
      </c>
      <c r="F54" s="3" t="s">
        <v>533</v>
      </c>
      <c r="G54" s="3" t="s">
        <v>165</v>
      </c>
    </row>
    <row r="55" ht="46" customHeight="1" spans="1:7">
      <c r="A55" s="3" t="s">
        <v>535</v>
      </c>
      <c r="B55" s="3" t="s">
        <v>1150</v>
      </c>
      <c r="C55" s="3" t="s">
        <v>537</v>
      </c>
      <c r="D55" s="3" t="s">
        <v>537</v>
      </c>
      <c r="E55" s="3" t="s">
        <v>1181</v>
      </c>
      <c r="F55" s="3" t="s">
        <v>542</v>
      </c>
      <c r="G55" s="3" t="s">
        <v>194</v>
      </c>
    </row>
    <row r="56" ht="46" customHeight="1" spans="1:7">
      <c r="A56" s="3" t="s">
        <v>544</v>
      </c>
      <c r="B56" s="3" t="s">
        <v>1150</v>
      </c>
      <c r="C56" s="3" t="s">
        <v>1182</v>
      </c>
      <c r="D56" s="3" t="s">
        <v>546</v>
      </c>
      <c r="E56" s="3" t="s">
        <v>1183</v>
      </c>
      <c r="F56" s="3" t="s">
        <v>551</v>
      </c>
      <c r="G56" s="3" t="s">
        <v>209</v>
      </c>
    </row>
    <row r="57" ht="46" customHeight="1" spans="1:7">
      <c r="A57" s="3" t="s">
        <v>553</v>
      </c>
      <c r="B57" s="3" t="s">
        <v>1150</v>
      </c>
      <c r="C57" s="3" t="s">
        <v>555</v>
      </c>
      <c r="D57" s="3" t="s">
        <v>555</v>
      </c>
      <c r="E57" s="3" t="s">
        <v>1184</v>
      </c>
      <c r="F57" s="3" t="s">
        <v>560</v>
      </c>
      <c r="G57" s="3" t="s">
        <v>562</v>
      </c>
    </row>
    <row r="58" ht="46" customHeight="1" spans="1:7">
      <c r="A58" s="3" t="s">
        <v>563</v>
      </c>
      <c r="B58" s="3" t="s">
        <v>1150</v>
      </c>
      <c r="C58" s="3" t="s">
        <v>146</v>
      </c>
      <c r="D58" s="3" t="s">
        <v>146</v>
      </c>
      <c r="E58" s="3" t="s">
        <v>1185</v>
      </c>
      <c r="F58" s="3" t="s">
        <v>569</v>
      </c>
      <c r="G58" s="3" t="s">
        <v>571</v>
      </c>
    </row>
    <row r="59" ht="46" customHeight="1" spans="1:7">
      <c r="A59" s="3" t="s">
        <v>572</v>
      </c>
      <c r="B59" s="3" t="s">
        <v>1152</v>
      </c>
      <c r="C59" s="3" t="s">
        <v>417</v>
      </c>
      <c r="D59" s="3" t="s">
        <v>417</v>
      </c>
      <c r="E59" s="3" t="s">
        <v>1153</v>
      </c>
      <c r="F59" s="3" t="s">
        <v>578</v>
      </c>
      <c r="G59" s="3" t="s">
        <v>165</v>
      </c>
    </row>
    <row r="60" ht="46" customHeight="1" spans="1:7">
      <c r="A60" s="3" t="s">
        <v>580</v>
      </c>
      <c r="B60" s="3" t="s">
        <v>1150</v>
      </c>
      <c r="C60" s="3" t="s">
        <v>582</v>
      </c>
      <c r="D60" s="3" t="s">
        <v>582</v>
      </c>
      <c r="E60" s="3" t="s">
        <v>1186</v>
      </c>
      <c r="F60" s="3" t="s">
        <v>587</v>
      </c>
      <c r="G60" s="3" t="s">
        <v>217</v>
      </c>
    </row>
    <row r="61" ht="46" customHeight="1" spans="1:7">
      <c r="A61" s="3" t="s">
        <v>589</v>
      </c>
      <c r="B61" s="3" t="s">
        <v>1152</v>
      </c>
      <c r="C61" s="3" t="s">
        <v>582</v>
      </c>
      <c r="D61" s="3" t="s">
        <v>582</v>
      </c>
      <c r="E61" s="3" t="s">
        <v>1153</v>
      </c>
      <c r="F61" s="3" t="s">
        <v>594</v>
      </c>
      <c r="G61" s="3" t="s">
        <v>217</v>
      </c>
    </row>
    <row r="62" ht="46" customHeight="1" spans="1:7">
      <c r="A62" s="3" t="s">
        <v>596</v>
      </c>
      <c r="B62" s="3" t="s">
        <v>1152</v>
      </c>
      <c r="C62" s="3" t="s">
        <v>598</v>
      </c>
      <c r="D62" s="3" t="s">
        <v>598</v>
      </c>
      <c r="E62" s="3" t="s">
        <v>1153</v>
      </c>
      <c r="F62" s="3" t="s">
        <v>603</v>
      </c>
      <c r="G62" s="3" t="s">
        <v>217</v>
      </c>
    </row>
    <row r="63" ht="46" customHeight="1" spans="1:7">
      <c r="A63" s="3" t="s">
        <v>605</v>
      </c>
      <c r="B63" s="3" t="s">
        <v>1152</v>
      </c>
      <c r="C63" s="3" t="s">
        <v>146</v>
      </c>
      <c r="D63" s="3" t="s">
        <v>146</v>
      </c>
      <c r="E63" s="3" t="s">
        <v>1153</v>
      </c>
      <c r="F63" s="3" t="s">
        <v>611</v>
      </c>
      <c r="G63" s="3" t="s">
        <v>156</v>
      </c>
    </row>
    <row r="64" ht="46" customHeight="1" spans="1:7">
      <c r="A64" s="3" t="s">
        <v>613</v>
      </c>
      <c r="B64" s="3" t="s">
        <v>1152</v>
      </c>
      <c r="C64" s="3" t="s">
        <v>146</v>
      </c>
      <c r="D64" s="3" t="s">
        <v>146</v>
      </c>
      <c r="E64" s="3" t="s">
        <v>1153</v>
      </c>
      <c r="F64" s="3" t="s">
        <v>619</v>
      </c>
      <c r="G64" s="3" t="s">
        <v>156</v>
      </c>
    </row>
    <row r="65" ht="46" customHeight="1" spans="1:7">
      <c r="A65" s="3" t="s">
        <v>621</v>
      </c>
      <c r="B65" s="3" t="s">
        <v>1150</v>
      </c>
      <c r="C65" s="3" t="s">
        <v>624</v>
      </c>
      <c r="D65" s="3" t="s">
        <v>624</v>
      </c>
      <c r="E65" s="3" t="s">
        <v>1187</v>
      </c>
      <c r="F65" s="3" t="s">
        <v>629</v>
      </c>
      <c r="G65" s="3" t="s">
        <v>165</v>
      </c>
    </row>
    <row r="66" ht="46" customHeight="1" spans="1:7">
      <c r="A66" s="3" t="s">
        <v>632</v>
      </c>
      <c r="B66" s="3" t="s">
        <v>1150</v>
      </c>
      <c r="C66" s="3" t="s">
        <v>417</v>
      </c>
      <c r="D66" s="3" t="s">
        <v>417</v>
      </c>
      <c r="E66" s="3" t="s">
        <v>1188</v>
      </c>
      <c r="F66" s="3" t="s">
        <v>637</v>
      </c>
      <c r="G66" s="3" t="s">
        <v>165</v>
      </c>
    </row>
    <row r="67" ht="46" customHeight="1" spans="1:7">
      <c r="A67" s="3" t="s">
        <v>639</v>
      </c>
      <c r="B67" s="3" t="s">
        <v>1150</v>
      </c>
      <c r="C67" s="3" t="s">
        <v>159</v>
      </c>
      <c r="D67" s="3" t="s">
        <v>159</v>
      </c>
      <c r="E67" s="3" t="s">
        <v>1189</v>
      </c>
      <c r="F67" s="3" t="s">
        <v>644</v>
      </c>
      <c r="G67" s="3" t="s">
        <v>165</v>
      </c>
    </row>
    <row r="68" ht="46" customHeight="1" spans="1:7">
      <c r="A68" s="3" t="s">
        <v>646</v>
      </c>
      <c r="B68" s="3" t="s">
        <v>1152</v>
      </c>
      <c r="C68" s="3" t="s">
        <v>167</v>
      </c>
      <c r="D68" s="3" t="s">
        <v>167</v>
      </c>
      <c r="E68" s="3" t="s">
        <v>1153</v>
      </c>
      <c r="F68" s="3" t="s">
        <v>651</v>
      </c>
      <c r="G68" s="3" t="s">
        <v>165</v>
      </c>
    </row>
    <row r="69" ht="46" customHeight="1" spans="1:7">
      <c r="A69" s="3" t="s">
        <v>653</v>
      </c>
      <c r="B69" s="3" t="s">
        <v>1152</v>
      </c>
      <c r="C69" s="3" t="s">
        <v>654</v>
      </c>
      <c r="D69" s="3" t="s">
        <v>654</v>
      </c>
      <c r="E69" s="3" t="s">
        <v>1153</v>
      </c>
      <c r="F69" s="3" t="s">
        <v>659</v>
      </c>
      <c r="G69" s="3" t="s">
        <v>165</v>
      </c>
    </row>
    <row r="70" ht="46" customHeight="1" spans="1:7">
      <c r="A70" s="3" t="s">
        <v>661</v>
      </c>
      <c r="B70" s="3" t="s">
        <v>1152</v>
      </c>
      <c r="C70" s="3" t="s">
        <v>663</v>
      </c>
      <c r="D70" s="3" t="s">
        <v>663</v>
      </c>
      <c r="E70" s="3" t="s">
        <v>1153</v>
      </c>
      <c r="F70" s="3" t="s">
        <v>668</v>
      </c>
      <c r="G70" s="3" t="s">
        <v>165</v>
      </c>
    </row>
    <row r="71" ht="46" customHeight="1" spans="1:7">
      <c r="A71" s="3" t="s">
        <v>670</v>
      </c>
      <c r="B71" s="3" t="s">
        <v>1150</v>
      </c>
      <c r="C71" s="3" t="s">
        <v>671</v>
      </c>
      <c r="D71" s="3" t="s">
        <v>671</v>
      </c>
      <c r="E71" s="3" t="s">
        <v>1190</v>
      </c>
      <c r="F71" s="3" t="s">
        <v>676</v>
      </c>
      <c r="G71" s="3" t="s">
        <v>165</v>
      </c>
    </row>
    <row r="72" ht="46" customHeight="1" spans="1:7">
      <c r="A72" s="3" t="s">
        <v>678</v>
      </c>
      <c r="B72" s="3" t="s">
        <v>1152</v>
      </c>
      <c r="C72" s="3" t="s">
        <v>520</v>
      </c>
      <c r="D72" s="3" t="s">
        <v>520</v>
      </c>
      <c r="E72" s="3" t="s">
        <v>1153</v>
      </c>
      <c r="F72" s="3" t="s">
        <v>683</v>
      </c>
      <c r="G72" s="3" t="s">
        <v>165</v>
      </c>
    </row>
    <row r="73" ht="46" customHeight="1" spans="1:7">
      <c r="A73" s="3" t="s">
        <v>685</v>
      </c>
      <c r="B73" s="3" t="s">
        <v>1152</v>
      </c>
      <c r="C73" s="3" t="s">
        <v>686</v>
      </c>
      <c r="D73" s="3" t="s">
        <v>686</v>
      </c>
      <c r="E73" s="3" t="s">
        <v>1153</v>
      </c>
      <c r="F73" s="3" t="s">
        <v>691</v>
      </c>
      <c r="G73" s="3" t="s">
        <v>165</v>
      </c>
    </row>
    <row r="74" ht="46" customHeight="1" spans="1:7">
      <c r="A74" s="3" t="s">
        <v>693</v>
      </c>
      <c r="B74" s="3" t="s">
        <v>1152</v>
      </c>
      <c r="C74" s="3" t="s">
        <v>695</v>
      </c>
      <c r="D74" s="3" t="s">
        <v>695</v>
      </c>
      <c r="E74" s="3" t="s">
        <v>1153</v>
      </c>
      <c r="F74" s="3" t="s">
        <v>700</v>
      </c>
      <c r="G74" s="3" t="s">
        <v>165</v>
      </c>
    </row>
    <row r="75" ht="46" customHeight="1" spans="1:7">
      <c r="A75" s="3" t="s">
        <v>702</v>
      </c>
      <c r="B75" s="3" t="s">
        <v>1152</v>
      </c>
      <c r="C75" s="3" t="s">
        <v>704</v>
      </c>
      <c r="D75" s="3" t="s">
        <v>704</v>
      </c>
      <c r="E75" s="3" t="s">
        <v>1153</v>
      </c>
      <c r="F75" s="3" t="s">
        <v>709</v>
      </c>
      <c r="G75" s="3" t="s">
        <v>165</v>
      </c>
    </row>
    <row r="76" ht="46" customHeight="1" spans="1:7">
      <c r="A76" s="3" t="s">
        <v>711</v>
      </c>
      <c r="B76" s="3" t="s">
        <v>1150</v>
      </c>
      <c r="C76" s="3" t="s">
        <v>712</v>
      </c>
      <c r="D76" s="3" t="s">
        <v>712</v>
      </c>
      <c r="E76" s="3" t="s">
        <v>1191</v>
      </c>
      <c r="F76" s="3" t="s">
        <v>717</v>
      </c>
      <c r="G76" s="3" t="s">
        <v>165</v>
      </c>
    </row>
    <row r="77" ht="46" customHeight="1" spans="1:7">
      <c r="A77" s="3" t="s">
        <v>719</v>
      </c>
      <c r="B77" s="3" t="s">
        <v>1152</v>
      </c>
      <c r="C77" s="3" t="s">
        <v>720</v>
      </c>
      <c r="D77" s="3" t="s">
        <v>720</v>
      </c>
      <c r="E77" s="3" t="s">
        <v>1153</v>
      </c>
      <c r="F77" s="3" t="s">
        <v>725</v>
      </c>
      <c r="G77" s="3" t="s">
        <v>165</v>
      </c>
    </row>
    <row r="78" ht="46" customHeight="1" spans="1:7">
      <c r="A78" s="3" t="s">
        <v>727</v>
      </c>
      <c r="B78" s="3" t="s">
        <v>1152</v>
      </c>
      <c r="C78" s="3" t="s">
        <v>181</v>
      </c>
      <c r="D78" s="3" t="s">
        <v>181</v>
      </c>
      <c r="E78" s="3" t="s">
        <v>1153</v>
      </c>
      <c r="F78" s="3" t="s">
        <v>732</v>
      </c>
      <c r="G78" s="3" t="s">
        <v>165</v>
      </c>
    </row>
    <row r="79" ht="46" customHeight="1" spans="1:7">
      <c r="A79" s="3" t="s">
        <v>734</v>
      </c>
      <c r="B79" s="3" t="s">
        <v>1152</v>
      </c>
      <c r="C79" s="3" t="s">
        <v>735</v>
      </c>
      <c r="D79" s="3" t="s">
        <v>735</v>
      </c>
      <c r="E79" s="3" t="s">
        <v>1153</v>
      </c>
      <c r="F79" s="3" t="s">
        <v>740</v>
      </c>
      <c r="G79" s="3" t="s">
        <v>165</v>
      </c>
    </row>
    <row r="80" ht="46" customHeight="1" spans="1:7">
      <c r="A80" s="3" t="s">
        <v>742</v>
      </c>
      <c r="B80" s="3" t="s">
        <v>1152</v>
      </c>
      <c r="C80" s="3" t="s">
        <v>743</v>
      </c>
      <c r="D80" s="3" t="s">
        <v>743</v>
      </c>
      <c r="E80" s="3" t="s">
        <v>1153</v>
      </c>
      <c r="F80" s="3" t="s">
        <v>748</v>
      </c>
      <c r="G80" s="3" t="s">
        <v>217</v>
      </c>
    </row>
    <row r="81" ht="46" customHeight="1" spans="1:7">
      <c r="A81" s="3" t="s">
        <v>750</v>
      </c>
      <c r="B81" s="3" t="s">
        <v>1152</v>
      </c>
      <c r="C81" s="3" t="s">
        <v>751</v>
      </c>
      <c r="D81" s="3" t="s">
        <v>751</v>
      </c>
      <c r="E81" s="3" t="s">
        <v>1153</v>
      </c>
      <c r="F81" s="3" t="s">
        <v>756</v>
      </c>
      <c r="G81" s="3" t="s">
        <v>217</v>
      </c>
    </row>
    <row r="82" ht="46" customHeight="1" spans="1:7">
      <c r="A82" s="3" t="s">
        <v>758</v>
      </c>
      <c r="B82" s="3" t="s">
        <v>1152</v>
      </c>
      <c r="C82" s="3" t="s">
        <v>598</v>
      </c>
      <c r="D82" s="3" t="s">
        <v>598</v>
      </c>
      <c r="E82" s="3" t="s">
        <v>1153</v>
      </c>
      <c r="F82" s="3" t="s">
        <v>763</v>
      </c>
      <c r="G82" s="3" t="s">
        <v>217</v>
      </c>
    </row>
    <row r="83" ht="46" customHeight="1" spans="1:7">
      <c r="A83" s="3" t="s">
        <v>765</v>
      </c>
      <c r="B83" s="3" t="s">
        <v>1152</v>
      </c>
      <c r="C83" s="3" t="s">
        <v>766</v>
      </c>
      <c r="D83" s="3" t="s">
        <v>766</v>
      </c>
      <c r="E83" s="3" t="s">
        <v>1153</v>
      </c>
      <c r="F83" s="3" t="s">
        <v>771</v>
      </c>
      <c r="G83" s="3" t="s">
        <v>217</v>
      </c>
    </row>
    <row r="84" ht="46" customHeight="1" spans="1:7">
      <c r="A84" s="3" t="s">
        <v>773</v>
      </c>
      <c r="B84" s="3" t="s">
        <v>1152</v>
      </c>
      <c r="C84" s="3" t="s">
        <v>774</v>
      </c>
      <c r="D84" s="3" t="s">
        <v>774</v>
      </c>
      <c r="E84" s="3" t="s">
        <v>1153</v>
      </c>
      <c r="F84" s="3" t="s">
        <v>779</v>
      </c>
      <c r="G84" s="3" t="s">
        <v>217</v>
      </c>
    </row>
    <row r="85" ht="46" customHeight="1" spans="1:7">
      <c r="A85" s="3" t="s">
        <v>781</v>
      </c>
      <c r="B85" s="3" t="s">
        <v>1152</v>
      </c>
      <c r="C85" s="3" t="s">
        <v>783</v>
      </c>
      <c r="D85" s="3" t="s">
        <v>783</v>
      </c>
      <c r="E85" s="3" t="s">
        <v>1153</v>
      </c>
      <c r="F85" s="3" t="s">
        <v>788</v>
      </c>
      <c r="G85" s="3" t="s">
        <v>165</v>
      </c>
    </row>
    <row r="86" ht="46" customHeight="1" spans="1:7">
      <c r="A86" s="3" t="s">
        <v>790</v>
      </c>
      <c r="B86" s="3" t="s">
        <v>1152</v>
      </c>
      <c r="C86" s="3" t="s">
        <v>791</v>
      </c>
      <c r="D86" s="3" t="s">
        <v>791</v>
      </c>
      <c r="E86" s="3" t="s">
        <v>1153</v>
      </c>
      <c r="F86" s="3" t="s">
        <v>796</v>
      </c>
      <c r="G86" s="3" t="s">
        <v>165</v>
      </c>
    </row>
    <row r="87" ht="46" customHeight="1" spans="1:7">
      <c r="A87" s="3" t="s">
        <v>798</v>
      </c>
      <c r="B87" s="3" t="s">
        <v>1152</v>
      </c>
      <c r="C87" s="3" t="s">
        <v>799</v>
      </c>
      <c r="D87" s="3" t="s">
        <v>799</v>
      </c>
      <c r="E87" s="3" t="s">
        <v>1153</v>
      </c>
      <c r="F87" s="3" t="s">
        <v>804</v>
      </c>
      <c r="G87" s="3" t="s">
        <v>217</v>
      </c>
    </row>
    <row r="88" ht="46" customHeight="1" spans="1:7">
      <c r="A88" s="3" t="s">
        <v>806</v>
      </c>
      <c r="B88" s="3" t="s">
        <v>1152</v>
      </c>
      <c r="C88" s="3" t="s">
        <v>807</v>
      </c>
      <c r="D88" s="3" t="s">
        <v>807</v>
      </c>
      <c r="E88" s="3" t="s">
        <v>1153</v>
      </c>
      <c r="F88" s="3" t="s">
        <v>812</v>
      </c>
      <c r="G88" s="3" t="s">
        <v>217</v>
      </c>
    </row>
    <row r="89" ht="46" customHeight="1" spans="1:7">
      <c r="A89" s="3" t="s">
        <v>814</v>
      </c>
      <c r="B89" s="3" t="s">
        <v>1152</v>
      </c>
      <c r="C89" s="3" t="s">
        <v>816</v>
      </c>
      <c r="D89" s="3" t="s">
        <v>816</v>
      </c>
      <c r="E89" s="3" t="s">
        <v>1153</v>
      </c>
      <c r="F89" s="3" t="s">
        <v>821</v>
      </c>
      <c r="G89" s="3" t="s">
        <v>165</v>
      </c>
    </row>
    <row r="90" ht="46" customHeight="1" spans="1:7">
      <c r="A90" s="3" t="s">
        <v>823</v>
      </c>
      <c r="B90" s="3" t="s">
        <v>1152</v>
      </c>
      <c r="C90" s="3" t="s">
        <v>824</v>
      </c>
      <c r="D90" s="3" t="s">
        <v>824</v>
      </c>
      <c r="E90" s="3" t="s">
        <v>1153</v>
      </c>
      <c r="F90" s="3" t="s">
        <v>829</v>
      </c>
      <c r="G90" s="3" t="s">
        <v>165</v>
      </c>
    </row>
    <row r="91" ht="46" customHeight="1" spans="1:7">
      <c r="A91" s="3" t="s">
        <v>831</v>
      </c>
      <c r="B91" s="3" t="s">
        <v>1152</v>
      </c>
      <c r="C91" s="3" t="s">
        <v>833</v>
      </c>
      <c r="D91" s="3" t="s">
        <v>833</v>
      </c>
      <c r="E91" s="3" t="s">
        <v>1153</v>
      </c>
      <c r="F91" s="3" t="s">
        <v>838</v>
      </c>
      <c r="G91" s="3" t="s">
        <v>217</v>
      </c>
    </row>
    <row r="92" ht="46" customHeight="1" spans="1:7">
      <c r="A92" s="3" t="s">
        <v>840</v>
      </c>
      <c r="B92" s="3" t="s">
        <v>1152</v>
      </c>
      <c r="C92" s="3" t="s">
        <v>841</v>
      </c>
      <c r="D92" s="3" t="s">
        <v>841</v>
      </c>
      <c r="E92" s="3" t="s">
        <v>1153</v>
      </c>
      <c r="F92" s="3" t="s">
        <v>846</v>
      </c>
      <c r="G92" s="3" t="s">
        <v>217</v>
      </c>
    </row>
    <row r="93" ht="56" customHeight="1" spans="1:7">
      <c r="A93" s="3" t="s">
        <v>848</v>
      </c>
      <c r="B93" s="3" t="s">
        <v>1150</v>
      </c>
      <c r="C93" s="3" t="s">
        <v>851</v>
      </c>
      <c r="D93" s="3" t="s">
        <v>851</v>
      </c>
      <c r="E93" s="3" t="s">
        <v>1192</v>
      </c>
      <c r="F93" s="3" t="s">
        <v>856</v>
      </c>
      <c r="G93" s="3" t="s">
        <v>858</v>
      </c>
    </row>
    <row r="94" ht="46" customHeight="1" spans="1:7">
      <c r="A94" s="3" t="s">
        <v>859</v>
      </c>
      <c r="B94" s="3" t="s">
        <v>1150</v>
      </c>
      <c r="C94" s="3" t="s">
        <v>860</v>
      </c>
      <c r="D94" s="3" t="s">
        <v>860</v>
      </c>
      <c r="E94" s="3" t="s">
        <v>1193</v>
      </c>
      <c r="F94" s="3" t="s">
        <v>865</v>
      </c>
      <c r="G94" s="3" t="s">
        <v>867</v>
      </c>
    </row>
    <row r="95" ht="46" customHeight="1" spans="1:7">
      <c r="A95" s="3" t="s">
        <v>868</v>
      </c>
      <c r="B95" s="3" t="s">
        <v>1150</v>
      </c>
      <c r="C95" s="3" t="s">
        <v>870</v>
      </c>
      <c r="D95" s="3" t="s">
        <v>870</v>
      </c>
      <c r="E95" s="3" t="s">
        <v>1194</v>
      </c>
      <c r="F95" s="3" t="s">
        <v>875</v>
      </c>
      <c r="G95" s="3" t="s">
        <v>165</v>
      </c>
    </row>
    <row r="96" ht="46" customHeight="1" spans="1:7">
      <c r="A96" s="3" t="s">
        <v>877</v>
      </c>
      <c r="B96" s="3" t="s">
        <v>1150</v>
      </c>
      <c r="C96" s="3" t="s">
        <v>878</v>
      </c>
      <c r="D96" s="3" t="s">
        <v>878</v>
      </c>
      <c r="E96" s="3" t="s">
        <v>1195</v>
      </c>
      <c r="F96" s="3" t="s">
        <v>883</v>
      </c>
      <c r="G96" s="3" t="s">
        <v>165</v>
      </c>
    </row>
    <row r="97" ht="46" customHeight="1" spans="1:7">
      <c r="A97" s="3" t="s">
        <v>884</v>
      </c>
      <c r="B97" s="3" t="s">
        <v>1150</v>
      </c>
      <c r="C97" s="3" t="s">
        <v>196</v>
      </c>
      <c r="D97" s="3" t="s">
        <v>196</v>
      </c>
      <c r="E97" s="3" t="s">
        <v>1196</v>
      </c>
      <c r="F97" s="3" t="s">
        <v>889</v>
      </c>
      <c r="G97" s="3" t="s">
        <v>165</v>
      </c>
    </row>
    <row r="98" ht="46" customHeight="1" spans="1:7">
      <c r="A98" s="3" t="s">
        <v>891</v>
      </c>
      <c r="B98" s="3" t="s">
        <v>1152</v>
      </c>
      <c r="C98" s="3" t="s">
        <v>892</v>
      </c>
      <c r="D98" s="3" t="s">
        <v>892</v>
      </c>
      <c r="E98" s="3" t="s">
        <v>1153</v>
      </c>
      <c r="F98" s="3" t="s">
        <v>897</v>
      </c>
      <c r="G98" s="3" t="s">
        <v>165</v>
      </c>
    </row>
    <row r="99" ht="56" customHeight="1" spans="1:7">
      <c r="A99" s="3" t="s">
        <v>899</v>
      </c>
      <c r="B99" s="3" t="s">
        <v>1150</v>
      </c>
      <c r="C99" s="3" t="s">
        <v>900</v>
      </c>
      <c r="D99" s="3" t="s">
        <v>900</v>
      </c>
      <c r="E99" s="3" t="s">
        <v>1197</v>
      </c>
      <c r="F99" s="3" t="s">
        <v>905</v>
      </c>
      <c r="G99" s="3" t="s">
        <v>907</v>
      </c>
    </row>
    <row r="100" ht="46" customHeight="1" spans="1:7">
      <c r="A100" s="3" t="s">
        <v>908</v>
      </c>
      <c r="B100" s="3" t="s">
        <v>1152</v>
      </c>
      <c r="C100" s="3" t="s">
        <v>909</v>
      </c>
      <c r="D100" s="3" t="s">
        <v>909</v>
      </c>
      <c r="E100" s="3" t="s">
        <v>1153</v>
      </c>
      <c r="F100" s="3" t="s">
        <v>914</v>
      </c>
      <c r="G100" s="3" t="s">
        <v>165</v>
      </c>
    </row>
    <row r="101" ht="46" customHeight="1" spans="1:7">
      <c r="A101" s="3" t="s">
        <v>916</v>
      </c>
      <c r="B101" s="3" t="s">
        <v>1152</v>
      </c>
      <c r="C101" s="3" t="s">
        <v>917</v>
      </c>
      <c r="D101" s="3" t="s">
        <v>917</v>
      </c>
      <c r="E101" s="3" t="s">
        <v>1153</v>
      </c>
      <c r="F101" s="3" t="s">
        <v>922</v>
      </c>
      <c r="G101" s="3" t="s">
        <v>217</v>
      </c>
    </row>
    <row r="102" ht="46" customHeight="1" spans="1:7">
      <c r="A102" s="3" t="s">
        <v>924</v>
      </c>
      <c r="B102" s="3" t="s">
        <v>1152</v>
      </c>
      <c r="C102" s="3" t="s">
        <v>926</v>
      </c>
      <c r="D102" s="3" t="s">
        <v>926</v>
      </c>
      <c r="E102" s="3" t="s">
        <v>1153</v>
      </c>
      <c r="F102" s="3" t="s">
        <v>931</v>
      </c>
      <c r="G102" s="3" t="s">
        <v>217</v>
      </c>
    </row>
    <row r="103" ht="46" customHeight="1" spans="1:7">
      <c r="A103" s="3" t="s">
        <v>933</v>
      </c>
      <c r="B103" s="3" t="s">
        <v>1198</v>
      </c>
      <c r="C103" s="3" t="s">
        <v>1199</v>
      </c>
      <c r="D103" s="3" t="s">
        <v>146</v>
      </c>
      <c r="E103" s="3" t="s">
        <v>1200</v>
      </c>
      <c r="F103" s="3" t="s">
        <v>938</v>
      </c>
      <c r="G103" s="3" t="s">
        <v>156</v>
      </c>
    </row>
    <row r="104" ht="46" customHeight="1" spans="1:7">
      <c r="A104" s="3" t="s">
        <v>939</v>
      </c>
      <c r="B104" s="3" t="s">
        <v>1198</v>
      </c>
      <c r="C104" s="3" t="s">
        <v>1199</v>
      </c>
      <c r="D104" s="3" t="s">
        <v>860</v>
      </c>
      <c r="E104" s="3" t="s">
        <v>1201</v>
      </c>
      <c r="F104" s="3" t="s">
        <v>944</v>
      </c>
      <c r="G104" s="3" t="s">
        <v>945</v>
      </c>
    </row>
    <row r="105" ht="46" customHeight="1" spans="1:7">
      <c r="A105" s="3" t="s">
        <v>946</v>
      </c>
      <c r="B105" s="3" t="s">
        <v>1198</v>
      </c>
      <c r="C105" s="3" t="s">
        <v>1199</v>
      </c>
      <c r="D105" s="3" t="s">
        <v>159</v>
      </c>
      <c r="E105" s="3" t="s">
        <v>1202</v>
      </c>
      <c r="F105" s="3" t="s">
        <v>953</v>
      </c>
      <c r="G105" s="3" t="s">
        <v>165</v>
      </c>
    </row>
    <row r="106" ht="56" customHeight="1" spans="1:7">
      <c r="A106" s="3" t="s">
        <v>954</v>
      </c>
      <c r="B106" s="3" t="s">
        <v>1198</v>
      </c>
      <c r="C106" s="3" t="s">
        <v>1199</v>
      </c>
      <c r="D106" s="3" t="s">
        <v>955</v>
      </c>
      <c r="E106" s="3" t="s">
        <v>1203</v>
      </c>
      <c r="F106" s="3" t="s">
        <v>960</v>
      </c>
      <c r="G106" s="3" t="s">
        <v>961</v>
      </c>
    </row>
    <row r="107" ht="46" customHeight="1" spans="1:7">
      <c r="A107" s="3" t="s">
        <v>962</v>
      </c>
      <c r="B107" s="3" t="s">
        <v>1198</v>
      </c>
      <c r="C107" s="3" t="s">
        <v>1199</v>
      </c>
      <c r="D107" s="3" t="s">
        <v>851</v>
      </c>
      <c r="E107" s="3" t="s">
        <v>1204</v>
      </c>
      <c r="F107" s="3" t="s">
        <v>967</v>
      </c>
      <c r="G107" s="3" t="s">
        <v>968</v>
      </c>
    </row>
    <row r="108" ht="46" customHeight="1" spans="1:7">
      <c r="A108" s="3" t="s">
        <v>969</v>
      </c>
      <c r="B108" s="3" t="s">
        <v>1198</v>
      </c>
      <c r="C108" s="3" t="s">
        <v>1199</v>
      </c>
      <c r="D108" s="3" t="s">
        <v>851</v>
      </c>
      <c r="E108" s="3" t="s">
        <v>1205</v>
      </c>
      <c r="F108" s="3" t="s">
        <v>974</v>
      </c>
      <c r="G108" s="3" t="s">
        <v>975</v>
      </c>
    </row>
    <row r="109" ht="46" customHeight="1" spans="1:7">
      <c r="A109" s="3" t="s">
        <v>976</v>
      </c>
      <c r="B109" s="3" t="s">
        <v>1198</v>
      </c>
      <c r="C109" s="3" t="s">
        <v>1199</v>
      </c>
      <c r="D109" s="3" t="s">
        <v>860</v>
      </c>
      <c r="E109" s="3" t="s">
        <v>1206</v>
      </c>
      <c r="F109" s="3" t="s">
        <v>981</v>
      </c>
      <c r="G109" s="3" t="s">
        <v>982</v>
      </c>
    </row>
    <row r="110" ht="46" customHeight="1" spans="1:7">
      <c r="A110" s="3" t="s">
        <v>983</v>
      </c>
      <c r="B110" s="3" t="s">
        <v>1198</v>
      </c>
      <c r="C110" s="3" t="s">
        <v>1199</v>
      </c>
      <c r="D110" s="3" t="s">
        <v>984</v>
      </c>
      <c r="E110" s="3" t="s">
        <v>1207</v>
      </c>
      <c r="F110" s="3" t="s">
        <v>989</v>
      </c>
      <c r="G110" s="3" t="s">
        <v>165</v>
      </c>
    </row>
    <row r="114" ht="36" customHeight="1" spans="1:5">
      <c r="A114" s="2" t="s">
        <v>1208</v>
      </c>
      <c r="B114" s="2" t="s">
        <v>1209</v>
      </c>
      <c r="C114" s="2" t="s">
        <v>1210</v>
      </c>
      <c r="D114" s="2" t="s">
        <v>1211</v>
      </c>
      <c r="E114" s="2" t="s">
        <v>1212</v>
      </c>
    </row>
    <row r="115" ht="56" customHeight="1" spans="1:5">
      <c r="A115" s="3" t="s">
        <v>1213</v>
      </c>
      <c r="B115" s="3" t="s">
        <v>1214</v>
      </c>
      <c r="C115" s="3" t="s">
        <v>1215</v>
      </c>
      <c r="D115" s="3" t="s">
        <v>86</v>
      </c>
      <c r="E115" s="3" t="s">
        <v>1216</v>
      </c>
    </row>
    <row r="116" ht="56" customHeight="1" spans="1:5">
      <c r="A116" s="3" t="s">
        <v>1217</v>
      </c>
      <c r="B116" s="3" t="s">
        <v>1218</v>
      </c>
      <c r="C116" s="3" t="s">
        <v>1219</v>
      </c>
      <c r="D116" s="3" t="s">
        <v>86</v>
      </c>
      <c r="E116" s="3" t="s">
        <v>1220</v>
      </c>
    </row>
    <row r="117" ht="56" customHeight="1" spans="1:5">
      <c r="A117" s="3" t="s">
        <v>1221</v>
      </c>
      <c r="B117" s="3" t="s">
        <v>1222</v>
      </c>
      <c r="C117" s="3" t="s">
        <v>1223</v>
      </c>
      <c r="D117" s="3" t="s">
        <v>86</v>
      </c>
      <c r="E117" s="3" t="s">
        <v>1224</v>
      </c>
    </row>
    <row r="118" ht="56" customHeight="1" spans="1:5">
      <c r="A118" s="3" t="s">
        <v>1225</v>
      </c>
      <c r="B118" s="3" t="s">
        <v>1226</v>
      </c>
      <c r="C118" s="3" t="s">
        <v>1227</v>
      </c>
      <c r="D118" s="3" t="s">
        <v>86</v>
      </c>
      <c r="E118" s="3" t="s">
        <v>1228</v>
      </c>
    </row>
    <row r="119" ht="56" customHeight="1" spans="1:5">
      <c r="A119" s="3" t="s">
        <v>1229</v>
      </c>
      <c r="B119" s="3" t="s">
        <v>1230</v>
      </c>
      <c r="C119" s="3" t="s">
        <v>1231</v>
      </c>
      <c r="D119" s="3" t="s">
        <v>1232</v>
      </c>
      <c r="E119" s="3" t="s">
        <v>1233</v>
      </c>
    </row>
    <row r="120" ht="56" customHeight="1" spans="1:5">
      <c r="A120" s="3" t="s">
        <v>1234</v>
      </c>
      <c r="B120" s="3" t="s">
        <v>1235</v>
      </c>
      <c r="C120" s="3" t="s">
        <v>1236</v>
      </c>
      <c r="D120" s="3" t="s">
        <v>1237</v>
      </c>
      <c r="E120" s="3" t="s">
        <v>1238</v>
      </c>
    </row>
    <row r="121" ht="56" customHeight="1" spans="1:5">
      <c r="A121" s="3" t="s">
        <v>1239</v>
      </c>
      <c r="B121" s="3" t="s">
        <v>1240</v>
      </c>
      <c r="C121" s="3" t="s">
        <v>1241</v>
      </c>
      <c r="D121" s="3" t="s">
        <v>1237</v>
      </c>
      <c r="E121" s="3" t="s">
        <v>1242</v>
      </c>
    </row>
    <row r="122" ht="56" customHeight="1" spans="1:5">
      <c r="A122" s="3" t="s">
        <v>1243</v>
      </c>
      <c r="B122" s="3" t="s">
        <v>1244</v>
      </c>
      <c r="C122" s="3" t="s">
        <v>1245</v>
      </c>
      <c r="D122" s="3" t="s">
        <v>1246</v>
      </c>
      <c r="E122" s="3" t="s">
        <v>1247</v>
      </c>
    </row>
    <row r="123" ht="70" customHeight="1" spans="1:5">
      <c r="A123" s="3" t="s">
        <v>1248</v>
      </c>
      <c r="B123" s="3" t="s">
        <v>1249</v>
      </c>
      <c r="C123" s="3" t="s">
        <v>1250</v>
      </c>
      <c r="D123" s="3" t="s">
        <v>1246</v>
      </c>
      <c r="E123" s="3" t="s">
        <v>1251</v>
      </c>
    </row>
    <row r="124" ht="56" customHeight="1" spans="1:5">
      <c r="A124" s="3" t="s">
        <v>1252</v>
      </c>
      <c r="B124" s="3" t="s">
        <v>1253</v>
      </c>
      <c r="C124" s="3" t="s">
        <v>1254</v>
      </c>
      <c r="D124" s="3" t="s">
        <v>1255</v>
      </c>
      <c r="E124" s="3" t="s">
        <v>1256</v>
      </c>
    </row>
    <row r="125" ht="56" customHeight="1" spans="1:5">
      <c r="A125" s="3" t="s">
        <v>1257</v>
      </c>
      <c r="B125" s="3" t="s">
        <v>1258</v>
      </c>
      <c r="C125" s="3" t="s">
        <v>1259</v>
      </c>
      <c r="D125" s="3" t="s">
        <v>1260</v>
      </c>
      <c r="E125" s="3" t="s">
        <v>1261</v>
      </c>
    </row>
    <row r="126" ht="56" customHeight="1" spans="1:5">
      <c r="A126" s="3" t="s">
        <v>1262</v>
      </c>
      <c r="B126" s="3" t="s">
        <v>1263</v>
      </c>
      <c r="C126" s="3" t="s">
        <v>1264</v>
      </c>
      <c r="D126" s="3" t="s">
        <v>1260</v>
      </c>
      <c r="E126" s="3" t="s">
        <v>1265</v>
      </c>
    </row>
    <row r="127" ht="56" customHeight="1" spans="1:5">
      <c r="A127" s="3" t="s">
        <v>1266</v>
      </c>
      <c r="B127" s="3" t="s">
        <v>1267</v>
      </c>
      <c r="C127" s="3" t="s">
        <v>1268</v>
      </c>
      <c r="D127" s="3" t="s">
        <v>1269</v>
      </c>
      <c r="E127" s="3" t="s">
        <v>1270</v>
      </c>
    </row>
    <row r="128" ht="56" customHeight="1" spans="1:5">
      <c r="A128" s="3" t="s">
        <v>1271</v>
      </c>
      <c r="B128" s="3" t="s">
        <v>1272</v>
      </c>
      <c r="C128" s="3" t="s">
        <v>1273</v>
      </c>
      <c r="D128" s="3" t="s">
        <v>1269</v>
      </c>
      <c r="E128" s="3" t="s">
        <v>1274</v>
      </c>
    </row>
    <row r="129" ht="56" customHeight="1" spans="1:5">
      <c r="A129" s="3" t="s">
        <v>1275</v>
      </c>
      <c r="B129" s="3" t="s">
        <v>1276</v>
      </c>
      <c r="C129" s="3" t="s">
        <v>1277</v>
      </c>
      <c r="D129" s="3" t="s">
        <v>1278</v>
      </c>
      <c r="E129" s="3" t="s">
        <v>1279</v>
      </c>
    </row>
    <row r="130" ht="56" customHeight="1" spans="1:5">
      <c r="A130" s="3" t="s">
        <v>1280</v>
      </c>
      <c r="B130" s="3" t="s">
        <v>1281</v>
      </c>
      <c r="C130" s="3" t="s">
        <v>1282</v>
      </c>
      <c r="D130" s="3" t="s">
        <v>1278</v>
      </c>
      <c r="E130" s="3" t="s">
        <v>1283</v>
      </c>
    </row>
    <row r="131" ht="56" customHeight="1" spans="1:5">
      <c r="A131" s="3" t="s">
        <v>1284</v>
      </c>
      <c r="B131" s="3" t="s">
        <v>1285</v>
      </c>
      <c r="C131" s="3" t="s">
        <v>1286</v>
      </c>
      <c r="D131" s="3" t="s">
        <v>1287</v>
      </c>
      <c r="E131" s="3" t="s">
        <v>1288</v>
      </c>
    </row>
    <row r="132" ht="56" customHeight="1" spans="1:5">
      <c r="A132" s="3" t="s">
        <v>1289</v>
      </c>
      <c r="B132" s="3" t="s">
        <v>1290</v>
      </c>
      <c r="C132" s="3" t="s">
        <v>1291</v>
      </c>
      <c r="D132" s="3" t="s">
        <v>1287</v>
      </c>
      <c r="E132" s="3" t="s">
        <v>1292</v>
      </c>
    </row>
    <row r="133" ht="56" customHeight="1" spans="1:5">
      <c r="A133" s="3" t="s">
        <v>1293</v>
      </c>
      <c r="B133" s="3" t="s">
        <v>1294</v>
      </c>
      <c r="C133" s="3" t="s">
        <v>1295</v>
      </c>
      <c r="D133" s="3" t="s">
        <v>1296</v>
      </c>
      <c r="E133" s="3" t="s">
        <v>1297</v>
      </c>
    </row>
    <row r="134" ht="56" customHeight="1" spans="1:5">
      <c r="A134" s="3" t="s">
        <v>1298</v>
      </c>
      <c r="B134" s="3" t="s">
        <v>1299</v>
      </c>
      <c r="C134" s="3" t="s">
        <v>1300</v>
      </c>
      <c r="D134" s="3" t="s">
        <v>1296</v>
      </c>
      <c r="E134" s="3" t="s">
        <v>1301</v>
      </c>
    </row>
    <row r="138" ht="25" customHeight="1" spans="1:5">
      <c r="A138" s="4" t="s">
        <v>1302</v>
      </c>
    </row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8" ht="25" customHeight="1" spans="1:1">
      <c r="A168" s="4" t="s">
        <v>1303</v>
      </c>
    </row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8" ht="25" customHeight="1" spans="1:1">
      <c r="A198" s="4" t="s">
        <v>1304</v>
      </c>
    </row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8" ht="25" customHeight="1" spans="1:1">
      <c r="A228" s="4" t="s">
        <v>1305</v>
      </c>
    </row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8" ht="25" customHeight="1" spans="1:1">
      <c r="A258" s="4" t="s">
        <v>1306</v>
      </c>
    </row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8" ht="25" customHeight="1" spans="1:1">
      <c r="A288" s="4" t="s">
        <v>1307</v>
      </c>
    </row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8" ht="25" customHeight="1" spans="1:1">
      <c r="A318" s="4" t="s">
        <v>1308</v>
      </c>
    </row>
    <row r="319" ht="20" customHeight="1"/>
    <row r="320" ht="20" customHeight="1"/>
    <row r="321" ht="20" customHeight="1"/>
    <row r="322" ht="20" customHeight="1"/>
    <row r="323" ht="20" customHeight="1"/>
    <row r="324" ht="20" customHeight="1"/>
    <row r="325" ht="20" customHeight="1"/>
    <row r="326" ht="20" customHeight="1"/>
    <row r="327" ht="20" customHeight="1"/>
    <row r="328" ht="20" customHeight="1"/>
    <row r="329" ht="20" customHeight="1"/>
    <row r="330" ht="20" customHeight="1"/>
    <row r="331" ht="20" customHeight="1"/>
    <row r="332" ht="20" customHeight="1"/>
    <row r="333" ht="20" customHeight="1"/>
    <row r="334" ht="20" customHeight="1"/>
    <row r="335" ht="20" customHeight="1"/>
    <row r="336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  <row r="344" ht="20" customHeight="1"/>
    <row r="345" ht="20" customHeight="1"/>
    <row r="348" ht="25" customHeight="1" spans="1:1">
      <c r="A348" s="4" t="s">
        <v>1309</v>
      </c>
    </row>
    <row r="349" ht="20" customHeight="1"/>
    <row r="350" ht="20" customHeight="1"/>
    <row r="351" ht="20" customHeight="1"/>
    <row r="352" ht="20" customHeight="1"/>
    <row r="353" ht="20" customHeight="1"/>
    <row r="354" ht="20" customHeight="1"/>
    <row r="355" ht="20" customHeight="1"/>
    <row r="356" ht="20" customHeight="1"/>
    <row r="357" ht="20" customHeight="1"/>
    <row r="358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8" ht="25" customHeight="1" spans="1:1">
      <c r="A378" s="4" t="s">
        <v>1310</v>
      </c>
    </row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ht="20" customHeight="1"/>
    <row r="386" ht="20" customHeight="1"/>
    <row r="387" ht="20" customHeight="1"/>
    <row r="388" ht="20" customHeight="1"/>
    <row r="389" ht="20" customHeight="1"/>
    <row r="390" ht="20" customHeight="1"/>
    <row r="391" ht="20" customHeight="1"/>
    <row r="392" ht="20" customHeight="1"/>
    <row r="393" ht="20" customHeight="1"/>
    <row r="394" ht="20" customHeight="1"/>
    <row r="395" ht="20" customHeight="1"/>
    <row r="396" ht="20" customHeight="1"/>
    <row r="397" ht="20" customHeight="1"/>
    <row r="398" ht="20" customHeight="1"/>
    <row r="399" ht="20" customHeight="1"/>
    <row r="400" ht="20" customHeight="1"/>
    <row r="401" ht="20" customHeight="1"/>
    <row r="402" ht="20" customHeight="1"/>
    <row r="403" ht="20" customHeight="1"/>
    <row r="404" ht="20" customHeight="1"/>
    <row r="405" ht="20" customHeight="1"/>
    <row r="408" ht="25" customHeight="1" spans="1:1">
      <c r="A408" s="4" t="s">
        <v>1311</v>
      </c>
    </row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ht="20" customHeight="1"/>
    <row r="418" ht="20" customHeight="1"/>
    <row r="419" ht="20" customHeight="1"/>
    <row r="420" ht="20" customHeight="1"/>
    <row r="421" ht="20" customHeight="1"/>
    <row r="422" ht="20" customHeight="1"/>
    <row r="423" ht="20" customHeight="1"/>
    <row r="424" ht="20" customHeight="1"/>
    <row r="425" ht="20" customHeight="1"/>
    <row r="426" ht="20" customHeight="1"/>
    <row r="427" ht="20" customHeight="1"/>
    <row r="428" ht="20" customHeight="1"/>
    <row r="429" ht="20" customHeight="1"/>
    <row r="430" ht="20" customHeight="1"/>
    <row r="431" ht="20" customHeight="1"/>
    <row r="432" ht="20" customHeight="1"/>
    <row r="433" ht="20" customHeight="1"/>
    <row r="434" ht="20" customHeight="1"/>
    <row r="435" ht="20" customHeight="1"/>
    <row r="438" ht="25" customHeight="1" spans="1:1">
      <c r="A438" s="4" t="s">
        <v>1312</v>
      </c>
    </row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6" ht="20" customHeight="1"/>
    <row r="447" ht="20" customHeight="1"/>
    <row r="448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ht="20" customHeight="1"/>
    <row r="468" ht="25" customHeight="1" spans="1:1">
      <c r="A468" s="4" t="s">
        <v>1313</v>
      </c>
    </row>
    <row r="469" ht="20" customHeight="1"/>
    <row r="470" ht="20" customHeight="1"/>
    <row r="471" ht="20" customHeight="1"/>
    <row r="472" ht="20" customHeight="1"/>
    <row r="473" ht="20" customHeight="1"/>
    <row r="474" ht="20" customHeight="1"/>
    <row r="475" ht="20" customHeight="1"/>
    <row r="476" ht="20" customHeight="1"/>
    <row r="477" ht="20" customHeight="1"/>
    <row r="478" ht="20" customHeight="1"/>
    <row r="479" ht="20" customHeight="1"/>
    <row r="480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8" ht="25" customHeight="1" spans="1:1">
      <c r="A498" s="4" t="s">
        <v>1314</v>
      </c>
    </row>
    <row r="499" ht="20" customHeight="1"/>
    <row r="500" ht="20" customHeight="1"/>
    <row r="501" ht="20" customHeight="1"/>
    <row r="502" ht="20" customHeight="1"/>
    <row r="503" ht="20" customHeight="1"/>
    <row r="504" ht="20" customHeight="1"/>
    <row r="505" ht="20" customHeight="1"/>
    <row r="506" ht="20" customHeight="1"/>
    <row r="507" ht="20" customHeight="1"/>
    <row r="508" ht="20" customHeight="1"/>
    <row r="509" ht="20" customHeight="1"/>
    <row r="510" ht="20" customHeight="1"/>
    <row r="511" ht="20" customHeight="1"/>
    <row r="512" ht="20" customHeight="1"/>
    <row r="513" ht="20" customHeight="1"/>
    <row r="514" ht="20" customHeight="1"/>
    <row r="515" ht="20" customHeight="1"/>
    <row r="516" ht="20" customHeight="1"/>
    <row r="517" ht="20" customHeight="1"/>
    <row r="518" ht="20" customHeight="1"/>
    <row r="519" ht="20" customHeight="1"/>
    <row r="520" ht="20" customHeight="1"/>
    <row r="521" ht="20" customHeight="1"/>
    <row r="522" ht="20" customHeight="1"/>
    <row r="523" ht="20" customHeight="1"/>
    <row r="524" ht="20" customHeight="1"/>
    <row r="525" ht="20" customHeight="1"/>
    <row r="528" ht="25" customHeight="1" spans="1:1">
      <c r="A528" s="4" t="s">
        <v>1315</v>
      </c>
    </row>
    <row r="529" ht="20" customHeight="1"/>
    <row r="530" ht="20" customHeight="1"/>
    <row r="531" ht="20" customHeight="1"/>
    <row r="532" ht="20" customHeight="1"/>
    <row r="533" ht="20" customHeight="1"/>
    <row r="534" ht="20" customHeight="1"/>
    <row r="535" ht="20" customHeight="1"/>
    <row r="536" ht="20" customHeight="1"/>
    <row r="537" ht="20" customHeight="1"/>
    <row r="538" ht="20" customHeight="1"/>
    <row r="539" ht="20" customHeight="1"/>
    <row r="540" ht="20" customHeight="1"/>
    <row r="541" ht="20" customHeight="1"/>
    <row r="542" ht="20" customHeight="1"/>
    <row r="543" ht="20" customHeight="1"/>
    <row r="544" ht="20" customHeight="1"/>
    <row r="545" ht="20" customHeight="1"/>
    <row r="546" ht="20" customHeight="1"/>
    <row r="547" ht="20" customHeight="1"/>
    <row r="548" ht="20" customHeight="1"/>
    <row r="549" ht="20" customHeight="1"/>
    <row r="550" ht="20" customHeight="1"/>
    <row r="551" ht="20" customHeight="1"/>
    <row r="552" ht="20" customHeight="1"/>
    <row r="553" ht="20" customHeight="1"/>
    <row r="554" ht="20" customHeight="1"/>
    <row r="555" ht="20" customHeight="1"/>
    <row r="558" ht="25" customHeight="1" spans="1:1">
      <c r="A558" s="4" t="s">
        <v>1316</v>
      </c>
    </row>
    <row r="559" ht="20" customHeight="1"/>
    <row r="560" ht="20" customHeight="1"/>
    <row r="561" ht="20" customHeight="1"/>
    <row r="562" ht="20" customHeight="1"/>
    <row r="563" ht="20" customHeight="1"/>
    <row r="564" ht="20" customHeight="1"/>
    <row r="565" ht="20" customHeight="1"/>
    <row r="566" ht="20" customHeight="1"/>
    <row r="567" ht="20" customHeight="1"/>
    <row r="568" ht="20" customHeight="1"/>
    <row r="569" ht="20" customHeight="1"/>
    <row r="570" ht="20" customHeight="1"/>
    <row r="571" ht="20" customHeight="1"/>
    <row r="572" ht="20" customHeight="1"/>
    <row r="573" ht="20" customHeight="1"/>
    <row r="574" ht="20" customHeight="1"/>
    <row r="575" ht="20" customHeight="1"/>
    <row r="576" ht="20" customHeight="1"/>
    <row r="577" ht="20" customHeight="1"/>
    <row r="578" ht="20" customHeight="1"/>
    <row r="579" ht="20" customHeight="1"/>
    <row r="580" ht="20" customHeight="1"/>
    <row r="581" ht="20" customHeight="1"/>
    <row r="582" ht="20" customHeight="1"/>
    <row r="583" ht="20" customHeight="1"/>
    <row r="584" ht="20" customHeight="1"/>
    <row r="585" ht="20" customHeight="1"/>
    <row r="588" ht="25" customHeight="1" spans="1:1">
      <c r="A588" s="4" t="s">
        <v>1317</v>
      </c>
    </row>
    <row r="589" ht="20" customHeight="1"/>
    <row r="590" ht="20" customHeight="1"/>
    <row r="591" ht="20" customHeight="1"/>
    <row r="592" ht="20" customHeight="1"/>
    <row r="593" ht="20" customHeight="1"/>
    <row r="594" ht="20" customHeight="1"/>
    <row r="595" ht="20" customHeight="1"/>
    <row r="596" ht="20" customHeight="1"/>
    <row r="597" ht="20" customHeight="1"/>
    <row r="598" ht="20" customHeight="1"/>
    <row r="599" ht="20" customHeight="1"/>
    <row r="600" ht="20" customHeight="1"/>
    <row r="601" ht="20" customHeight="1"/>
    <row r="602" ht="20" customHeight="1"/>
    <row r="603" ht="20" customHeight="1"/>
    <row r="604" ht="20" customHeight="1"/>
    <row r="605" ht="20" customHeight="1"/>
    <row r="606" ht="20" customHeight="1"/>
    <row r="607" ht="20" customHeight="1"/>
    <row r="608" ht="20" customHeight="1"/>
    <row r="609" ht="20" customHeight="1"/>
    <row r="610" ht="20" customHeight="1"/>
    <row r="611" ht="20" customHeight="1"/>
    <row r="612" ht="20" customHeight="1"/>
    <row r="613" ht="20" customHeight="1"/>
    <row r="614" ht="20" customHeight="1"/>
    <row r="615" ht="20" customHeight="1"/>
    <row r="618" ht="25" customHeight="1" spans="1:1">
      <c r="A618" s="4" t="s">
        <v>1318</v>
      </c>
    </row>
    <row r="619" ht="20" customHeight="1"/>
    <row r="620" ht="20" customHeight="1"/>
    <row r="621" ht="20" customHeight="1"/>
    <row r="622" ht="20" customHeight="1"/>
    <row r="623" ht="20" customHeight="1"/>
    <row r="624" ht="20" customHeight="1"/>
    <row r="625" ht="20" customHeight="1"/>
    <row r="626" ht="20" customHeight="1"/>
    <row r="627" ht="20" customHeight="1"/>
    <row r="628" ht="20" customHeight="1"/>
    <row r="629" ht="20" customHeight="1"/>
    <row r="630" ht="20" customHeight="1"/>
    <row r="631" ht="20" customHeight="1"/>
    <row r="632" ht="20" customHeight="1"/>
    <row r="633" ht="20" customHeight="1"/>
    <row r="634" ht="20" customHeight="1"/>
    <row r="635" ht="20" customHeight="1"/>
    <row r="636" ht="20" customHeight="1"/>
    <row r="637" ht="20" customHeight="1"/>
    <row r="638" ht="20" customHeight="1"/>
    <row r="639" ht="20" customHeight="1"/>
    <row r="640" ht="20" customHeight="1"/>
    <row r="641" ht="20" customHeight="1"/>
    <row r="642" ht="20" customHeight="1"/>
    <row r="643" ht="20" customHeight="1"/>
    <row r="644" ht="20" customHeight="1"/>
    <row r="645" ht="20" customHeight="1"/>
    <row r="648" ht="25" customHeight="1" spans="1:1">
      <c r="A648" s="4" t="s">
        <v>1319</v>
      </c>
    </row>
    <row r="649" ht="20" customHeight="1"/>
    <row r="650" ht="20" customHeight="1"/>
    <row r="651" ht="20" customHeight="1"/>
    <row r="652" ht="20" customHeight="1"/>
    <row r="653" ht="20" customHeight="1"/>
    <row r="654" ht="20" customHeight="1"/>
    <row r="655" ht="20" customHeight="1"/>
    <row r="656" ht="20" customHeight="1"/>
    <row r="657" ht="20" customHeight="1"/>
    <row r="658" ht="20" customHeight="1"/>
    <row r="659" ht="20" customHeight="1"/>
    <row r="660" ht="20" customHeight="1"/>
    <row r="661" ht="20" customHeight="1"/>
    <row r="662" ht="20" customHeight="1"/>
    <row r="663" ht="20" customHeight="1"/>
    <row r="664" ht="20" customHeight="1"/>
    <row r="665" ht="20" customHeight="1"/>
    <row r="666" ht="20" customHeight="1"/>
    <row r="667" ht="20" customHeight="1"/>
    <row r="668" ht="20" customHeight="1"/>
    <row r="669" ht="20" customHeight="1"/>
    <row r="670" ht="20" customHeight="1"/>
    <row r="671" ht="20" customHeight="1"/>
    <row r="672" ht="20" customHeight="1"/>
    <row r="673" ht="20" customHeight="1"/>
    <row r="674" ht="20" customHeight="1"/>
    <row r="675" ht="20" customHeight="1"/>
    <row r="678" ht="25" customHeight="1" spans="1:1">
      <c r="A678" s="4" t="s">
        <v>1320</v>
      </c>
    </row>
    <row r="679" ht="20" customHeight="1"/>
    <row r="680" ht="20" customHeight="1"/>
    <row r="681" ht="20" customHeight="1"/>
    <row r="682" ht="20" customHeight="1"/>
    <row r="683" ht="20" customHeight="1"/>
    <row r="684" ht="20" customHeight="1"/>
    <row r="685" ht="20" customHeight="1"/>
    <row r="686" ht="20" customHeight="1"/>
    <row r="687" ht="20" customHeight="1"/>
    <row r="688" ht="20" customHeight="1"/>
    <row r="689" ht="20" customHeight="1"/>
    <row r="690" ht="20" customHeight="1"/>
    <row r="691" ht="20" customHeight="1"/>
    <row r="692" ht="20" customHeight="1"/>
    <row r="693" ht="20" customHeight="1"/>
    <row r="694" ht="20" customHeight="1"/>
    <row r="695" ht="20" customHeight="1"/>
    <row r="696" ht="20" customHeight="1"/>
    <row r="697" ht="20" customHeight="1"/>
    <row r="698" ht="20" customHeight="1"/>
    <row r="699" ht="20" customHeight="1"/>
    <row r="700" ht="20" customHeight="1"/>
    <row r="701" ht="20" customHeight="1"/>
    <row r="702" ht="20" customHeight="1"/>
    <row r="703" ht="20" customHeight="1"/>
    <row r="704" ht="20" customHeight="1"/>
    <row r="705" ht="20" customHeight="1"/>
    <row r="708" ht="25" customHeight="1" spans="1:1">
      <c r="A708" s="4" t="s">
        <v>1321</v>
      </c>
    </row>
    <row r="709" ht="20" customHeight="1"/>
    <row r="710" ht="20" customHeight="1"/>
    <row r="711" ht="20" customHeight="1"/>
    <row r="712" ht="20" customHeight="1"/>
    <row r="713" ht="20" customHeight="1"/>
    <row r="714" ht="20" customHeight="1"/>
    <row r="715" ht="20" customHeight="1"/>
    <row r="716" ht="20" customHeight="1"/>
    <row r="717" ht="20" customHeight="1"/>
    <row r="718" ht="20" customHeight="1"/>
    <row r="719" ht="20" customHeight="1"/>
    <row r="720" ht="20" customHeight="1"/>
    <row r="721" ht="20" customHeight="1"/>
    <row r="722" ht="20" customHeight="1"/>
    <row r="723" ht="20" customHeight="1"/>
    <row r="724" ht="20" customHeight="1"/>
    <row r="725" ht="20" customHeight="1"/>
    <row r="726" ht="20" customHeight="1"/>
    <row r="727" ht="20" customHeight="1"/>
    <row r="728" ht="20" customHeight="1"/>
    <row r="729" ht="20" customHeight="1"/>
    <row r="730" ht="20" customHeight="1"/>
    <row r="731" ht="20" customHeight="1"/>
    <row r="732" ht="20" customHeight="1"/>
    <row r="733" ht="20" customHeight="1"/>
    <row r="734" ht="20" customHeight="1"/>
    <row r="735" ht="20" customHeight="1"/>
  </sheetData>
  <pageMargins left="0.7" right="0.7" top="0.75" bottom="0.75" header="0.3" footer="0.3"/>
  <headerFooter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本周执行</vt:lpstr>
      <vt:lpstr>前端用例</vt:lpstr>
      <vt:lpstr>工作包对应</vt:lpstr>
      <vt:lpstr>复核记录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2026-10-14T01:22:24Z</dcterms:created>
  <dcterms:modified xsi:type="dcterms:W3CDTF">2026-10-14T01:27:52Z</dcterms:modified>
</cp:coreProperties>
</file>