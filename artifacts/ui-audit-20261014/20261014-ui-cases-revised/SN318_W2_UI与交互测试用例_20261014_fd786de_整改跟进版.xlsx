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.\outputs\ui-audit-20261014\20261014-ui-cases-revised\"/>
    </mc:Choice>
  </mc:AlternateContent>
  <bookViews>
    <workbookView windowWidth="20745" windowHeight="9675" tabRatio="507" activeTab="3"/>
  </bookViews>
  <sheets>
    <sheet name="当前用例与补测" sheetId="5" r:id="rId1"/>
    <sheet name="整改跟进" sheetId="6" r:id="rId2"/>
    <sheet name="业务UI与交互用例" sheetId="1" r:id="rId3"/>
    <sheet name="通用模板UI与交互用例" sheetId="2" r:id="rId4"/>
    <sheet name="范围与依据" sheetId="3" r:id="rId5"/>
    <sheet name="修改清单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<sst xmlns="http://schemas.openxmlformats.org/spreadsheetml/2006/main" count="14128" uniqueCount="4010">
  <si>
    <t>SN318 W2 当前用例与补测</t>
  </si>
  <si>
    <t>整理日期</t>
  </si>
  <si>
    <t>2026-10-14</t>
  </si>
  <si>
    <t>工作周期</t>
  </si>
  <si>
    <t>W2 10/12–10/16</t>
  </si>
  <si>
    <t>记录总数</t>
  </si>
  <si>
    <t>主数据复核数</t>
  </si>
  <si>
    <t>通过</t>
  </si>
  <si>
    <t>不通过</t>
  </si>
  <si>
    <t>计数说明</t>
  </si>
  <si>
    <t>23条失败中20条关联R09，失败用例与独立问题分别统计。</t>
  </si>
  <si>
    <t>受阻</t>
  </si>
  <si>
    <t>其他业务未复核</t>
  </si>
  <si>
    <t>模板未重跑</t>
  </si>
  <si>
    <t>主数据确认问题数</t>
  </si>
  <si>
    <t>历史保留</t>
  </si>
  <si>
    <t>后四表原样保留；模板结果属于旧版本。</t>
  </si>
  <si>
    <t>主数据执行基线</t>
  </si>
  <si>
    <t>fd786de / dirty-8cdf1453</t>
  </si>
  <si>
    <t>模板历史基线</t>
  </si>
  <si>
    <t>b2efcdb / dirty-5c6bc530</t>
  </si>
  <si>
    <t>本版未新增页面执行</t>
  </si>
  <si>
    <t>黄色栏由人工填写</t>
  </si>
  <si>
    <t>证据入口</t>
  </si>
  <si>
    <t>打开证据索引</t>
  </si>
  <si>
    <t>执行环境</t>
  </si>
  <si>
    <t>本地Mock / demo</t>
  </si>
  <si>
    <t>规范来源</t>
  </si>
  <si>
    <t>沿用10/14快照，本次未刷新</t>
  </si>
  <si>
    <t>本周建议</t>
  </si>
  <si>
    <t>10/15补齐判据/样例</t>
  </si>
  <si>
    <t>10/16建议</t>
  </si>
  <si>
    <t>汇总整改及剩余缺口；日期待确认</t>
  </si>
  <si>
    <t>用例ID</t>
  </si>
  <si>
    <t>W2工作包</t>
  </si>
  <si>
    <t>用例名称</t>
  </si>
  <si>
    <t>最近执行结果</t>
  </si>
  <si>
    <t>主数据轮次覆盖</t>
  </si>
  <si>
    <t>最近执行基线</t>
  </si>
  <si>
    <t>变化或判定摘要</t>
  </si>
  <si>
    <t>关联问题ID</t>
  </si>
  <si>
    <t>步骤与补测入口</t>
  </si>
  <si>
    <t>原人工复核</t>
  </si>
  <si>
    <t>本轮人工复核</t>
  </si>
  <si>
    <t>复核人</t>
  </si>
  <si>
    <t>复核时间</t>
  </si>
  <si>
    <t>下一步</t>
  </si>
  <si>
    <t>UI-W2-50-1</t>
  </si>
  <si>
    <t>W2-50</t>
  </si>
  <si>
    <t>费用项新增操作归属当前基础配置列表</t>
  </si>
  <si>
    <t>本轮已复核</t>
  </si>
  <si>
    <t>产品确认费用类型、分组、默认币种字段映射及采纳设计；对应D01。</t>
  </si>
  <si>
    <t>W2-D01</t>
  </si>
  <si>
    <t>查看步骤/补测</t>
  </si>
  <si>
    <t/>
  </si>
  <si>
    <t>先补齐具体判据/样例，再复测</t>
  </si>
  <si>
    <t>UI-W2-50-2</t>
  </si>
  <si>
    <t>费用项长编码及重复提示不会丢失编辑内容</t>
  </si>
  <si>
    <t>重复FREIGHT只出现全局Toast“记录已存在，请检查编码或关联对象”，编码字段下没有对应重复错误，未满足本用例“提示关联编码字段”的预期；其他输入保留。</t>
  </si>
  <si>
    <t>W2-G04
W2-MR01</t>
  </si>
  <si>
    <t>整改后复测，并补齐受阻分支</t>
  </si>
  <si>
    <t>UI-W2-51-1</t>
  </si>
  <si>
    <t>W2-51</t>
  </si>
  <si>
    <t>币种与汇率视图切换后方向和单位明确</t>
  </si>
  <si>
    <t>汇率视图源币种/目标币种、直接倍率及生效日/结束日可识别，但7.1234实际内层左对齐，违反本步骤数值右对齐要求。</t>
  </si>
  <si>
    <t>W2-R11</t>
  </si>
  <si>
    <t>UI-W2-51-2</t>
  </si>
  <si>
    <t>极小汇率及空零值按批准精度显示</t>
  </si>
  <si>
    <t>批准的空/零显示口径及0、空样例。；批准显示精度及极值/超精度样例。；长币种名及全文读取样例。</t>
  </si>
  <si>
    <t>W2-D02
W2-G02</t>
  </si>
  <si>
    <t>UI-W2-56-1</t>
  </si>
  <si>
    <t>W2-56</t>
  </si>
  <si>
    <t>业务字典主分类和子列表的新增归属清楚</t>
  </si>
  <si>
    <t>补业务字典PRD映射及专项分类采纳稿；不阻塞已明确普通UI步骤。</t>
  </si>
  <si>
    <t>W2-G03</t>
  </si>
  <si>
    <t>UI-W2-56-2</t>
  </si>
  <si>
    <t>长字典分类和过量Tabs的替代承载可操作</t>
  </si>
  <si>
    <t>批准的&gt;7项/长类别替代承载设计及样例。；专项类别样例。；专项承载样例及批准键盘/ARIA判据。</t>
  </si>
  <si>
    <t>W2-G02</t>
  </si>
  <si>
    <t>UI-M1-001</t>
  </si>
  <si>
    <t>M1公共</t>
  </si>
  <si>
    <t>国家列表查询无结果与重置恢复</t>
  </si>
  <si>
    <t>筛选无结果显示“暂无国家数据”，没有“未找到相关结果/请调整筛选条件”的说明及清空筛选引导；工具栏重置仍可用。</t>
  </si>
  <si>
    <t>W2-R09</t>
  </si>
  <si>
    <t>UI-M1-002</t>
  </si>
  <si>
    <t>省/州列表查询无结果与重置恢复</t>
  </si>
  <si>
    <t>筛选无结果显示“暂无省 / 州数据”，没有“未找到相关结果/请调整筛选条件”的说明及清空筛选引导；工具栏重置仍可用。</t>
  </si>
  <si>
    <t>UI-M1-003</t>
  </si>
  <si>
    <t>城市列表查询无结果与重置恢复</t>
  </si>
  <si>
    <t>筛选无结果显示“暂无城市数据”，没有“未找到相关结果/请调整筛选条件”的说明及清空筛选引导；工具栏重置仍可用。</t>
  </si>
  <si>
    <t>UI-M1-004</t>
  </si>
  <si>
    <t>区县列表查询无结果与重置恢复</t>
  </si>
  <si>
    <t>筛选无结果显示“暂无区县数据”，没有“未找到相关结果/请调整筛选条件”的说明及清空筛选引导；工具栏重置仍可用。</t>
  </si>
  <si>
    <t>UI-M1-005</t>
  </si>
  <si>
    <t>邮编列表查询无结果与重置恢复</t>
  </si>
  <si>
    <t>筛选无结果显示“暂无邮编数据”，没有“未找到相关结果/请调整筛选条件”的说明及清空筛选引导；工具栏重置仍可用。</t>
  </si>
  <si>
    <t>UI-M1-006</t>
  </si>
  <si>
    <t>机场列表查询无结果与重置恢复</t>
  </si>
  <si>
    <t>筛选无结果显示“暂无机场数据”，没有“未找到相关结果/请调整筛选条件”的说明及清空筛选引导；工具栏重置仍可用。</t>
  </si>
  <si>
    <t>UI-M1-007</t>
  </si>
  <si>
    <t>港口列表查询无结果与重置恢复</t>
  </si>
  <si>
    <t>筛选无结果显示“暂无港口数据”，没有“未找到相关结果/请调整筛选条件”的说明及清空筛选引导；工具栏重置仍可用。</t>
  </si>
  <si>
    <t>UI-M1-008</t>
  </si>
  <si>
    <t>仓库列表查询无结果与重置恢复</t>
  </si>
  <si>
    <t>筛选无结果显示“暂无仓库数据”，没有“未找到相关结果/请调整筛选条件”的说明及清空筛选引导；工具栏重置仍可用。</t>
  </si>
  <si>
    <t>UI-M1-009</t>
  </si>
  <si>
    <t>航线区域列表查询无结果与重置恢复</t>
  </si>
  <si>
    <t>筛选无结果显示“暂无航线区域数据”，没有“未找到相关结果/请调整筛选条件”的说明及清空筛选引导；工具栏重置仍可用。</t>
  </si>
  <si>
    <t>UI-M1-010</t>
  </si>
  <si>
    <t>Zone列表查询无结果与重置恢复</t>
  </si>
  <si>
    <t>筛选无结果显示“暂无Zone数据”，没有“未找到相关结果/请调整筛选条件”的说明及清空筛选引导；工具栏重置仍可用。</t>
  </si>
  <si>
    <t>UI-M1-011</t>
  </si>
  <si>
    <t>航空公司列表查询无结果与重置恢复</t>
  </si>
  <si>
    <t>筛选无结果显示“暂无航空公司数据”，没有“未找到相关结果/请调整筛选条件”的说明及清空筛选引导；工具栏重置仍可用。</t>
  </si>
  <si>
    <t>UI-M1-012</t>
  </si>
  <si>
    <t>运输方式列表查询无结果与重置恢复</t>
  </si>
  <si>
    <t>筛选无结果显示“暂无运输方式数据”，没有“未找到相关结果/请调整筛选条件”的说明及清空筛选引导；工具栏重置仍可用。</t>
  </si>
  <si>
    <t>UI-M1-013</t>
  </si>
  <si>
    <t>货物类型列表查询无结果与重置恢复</t>
  </si>
  <si>
    <t>筛选无结果显示“暂无货物类型数据”，没有“未找到相关结果/请调整筛选条件”的说明及清空筛选引导；工具栏重置仍可用。</t>
  </si>
  <si>
    <t>UI-M1-014</t>
  </si>
  <si>
    <t>包装类型列表查询无结果与重置恢复</t>
  </si>
  <si>
    <t>筛选无结果显示“暂无包装类型数据”，没有“未找到相关结果/请调整筛选条件”的说明及清空筛选引导；工具栏重置仍可用。</t>
  </si>
  <si>
    <t>UI-M1-015</t>
  </si>
  <si>
    <t>监管方式列表查询无结果与重置恢复</t>
  </si>
  <si>
    <t>筛选无结果显示“暂无监管方式数据”，没有“未找到相关结果/请调整筛选条件”的说明及清空筛选引导；工具栏重置仍可用。</t>
  </si>
  <si>
    <t>UI-M1-016</t>
  </si>
  <si>
    <t>费用项列表查询无结果与重置恢复</t>
  </si>
  <si>
    <t>筛选无结果显示“暂无费用项数据”，没有“未找到相关结果/请调整筛选条件”的说明及清空筛选引导；工具栏重置仍可用。</t>
  </si>
  <si>
    <t>UI-M1-017</t>
  </si>
  <si>
    <t>币种列表查询无结果与重置恢复</t>
  </si>
  <si>
    <t>筛选无结果显示“暂无币种数据”，没有“未找到相关结果/请调整筛选条件”的说明及清空筛选引导；工具栏重置仍可用。</t>
  </si>
  <si>
    <t>UI-M1-018</t>
  </si>
  <si>
    <t>汇率列表查询无结果与重置恢复</t>
  </si>
  <si>
    <t>筛选无结果显示“暂无汇率数据”，没有“未找到相关结果/请调整筛选条件”的说明及清空筛选引导；工具栏重置仍可用。</t>
  </si>
  <si>
    <t>UI-M1-019</t>
  </si>
  <si>
    <t>航线区域国家关系页签查询与恢复</t>
  </si>
  <si>
    <t>筛选无结果显示“暂无国家关系数据
新增关系”，没有“未找到相关结果/请调整筛选条件”的说明及清空筛选引导；工具栏重置仍可用。</t>
  </si>
  <si>
    <t>UI-M1-020</t>
  </si>
  <si>
    <t>Zone成员页签查询与恢复</t>
  </si>
  <si>
    <t>筛选无结果显示“暂无成员数据
新增关系”，没有“未找到相关结果/请调整筛选条件”的说明及清空筛选引导；工具栏重置仍可用。</t>
  </si>
  <si>
    <t>UI-M1-021</t>
  </si>
  <si>
    <t>费用项编码只读及编辑取消保留原数据</t>
  </si>
  <si>
    <t>原步骤已验证；仅限记录的Mock范围</t>
  </si>
  <si>
    <t>变更影响时回归</t>
  </si>
  <si>
    <t>UI-M1-022</t>
  </si>
  <si>
    <t>费用项空提交及重复编码反馈</t>
  </si>
  <si>
    <t>受阻改为通过：本轮捕获完整重复反馈、输入保留与解锁；字段关联错误另见UI-W2-50-2。</t>
  </si>
  <si>
    <t>UI-M1-023</t>
  </si>
  <si>
    <t>币种编辑编码不可修改</t>
  </si>
  <si>
    <t>UI-M1-024</t>
  </si>
  <si>
    <t>已生效汇率版本维护按M1呈现</t>
  </si>
  <si>
    <t>M1只读/取消行为通过；产品版本、审批和删除口径仍待D02裁决。</t>
  </si>
  <si>
    <t>W2-D02</t>
  </si>
  <si>
    <t>UI-M1-025</t>
  </si>
  <si>
    <t>基础配置汇率公共视觉规范</t>
  </si>
  <si>
    <t>查询按钮32px高、圆角2px，预期8px。；正文#1A2130；ratio 7.1234的实际内层为left，操作内层居中、间距4px。预期正文#4B5564、数字右对齐、操作左对齐。</t>
  </si>
  <si>
    <t>W2-D03
W2-R01
W2-R03
W2-R04
W2-R11</t>
  </si>
  <si>
    <t>UI-W2-01-1</t>
  </si>
  <si>
    <t>W2-01</t>
  </si>
  <si>
    <t>服务单元列表筛选无结果后可重置恢复</t>
  </si>
  <si>
    <t>未执行</t>
  </si>
  <si>
    <t>本轮未复核</t>
  </si>
  <si>
    <t>尚无页面执行基线</t>
  </si>
  <si>
    <t>本轮未复核；后续先核对实际交付页面、原判据与样例</t>
  </si>
  <si>
    <t>按新版本与交付页面安排重测</t>
  </si>
  <si>
    <t>UI-W2-01-2</t>
  </si>
  <si>
    <t>服务单元长名称在宽表滚动后仍可识别</t>
  </si>
  <si>
    <t>UI-W2-02-1</t>
  </si>
  <si>
    <t>W2-02</t>
  </si>
  <si>
    <t>服务单元勾选与取消后批量栏状态一致</t>
  </si>
  <si>
    <t>UI-W2-02-2</t>
  </si>
  <si>
    <t>服务单元混合状态批量操作的失败反馈清楚</t>
  </si>
  <si>
    <t>UI-W2-03-1</t>
  </si>
  <si>
    <t>W2-03</t>
  </si>
  <si>
    <t>服务单元新建与编辑页面的操作归属清楚</t>
  </si>
  <si>
    <t>UI-W2-03-2</t>
  </si>
  <si>
    <t>服务单元长表单的错误提示与取消路径可用</t>
  </si>
  <si>
    <t>UI-W2-04-1</t>
  </si>
  <si>
    <t>W2-04</t>
  </si>
  <si>
    <t>服务单元详情的只读展示与返回路径明确</t>
  </si>
  <si>
    <t>UI-W2-04-2</t>
  </si>
  <si>
    <t>服务单元长详情切换对象后不残留旧内容</t>
  </si>
  <si>
    <t>UI-W2-05-1</t>
  </si>
  <si>
    <t>W2-05</t>
  </si>
  <si>
    <t>服务单元启停确认能够说明对象与风险</t>
  </si>
  <si>
    <t>UI-W2-05-2</t>
  </si>
  <si>
    <t>服务单元被引用或并发改变时能恢复操作</t>
  </si>
  <si>
    <t>UI-W2-07-1</t>
  </si>
  <si>
    <t>W2-07</t>
  </si>
  <si>
    <t>服务组合列表与详情入口的层级一致</t>
  </si>
  <si>
    <t>UI-W2-07-2</t>
  </si>
  <si>
    <t>服务组合零条及末页数据的分页展示正确</t>
  </si>
  <si>
    <t>UI-W2-08-1</t>
  </si>
  <si>
    <t>W2-08</t>
  </si>
  <si>
    <t>服务组合表单关联选择后能回到原编辑上下文</t>
  </si>
  <si>
    <t>UI-W2-08-2</t>
  </si>
  <si>
    <t>服务组合多关联和失效选项的反馈可理解</t>
  </si>
  <si>
    <t>UI-W2-09-1</t>
  </si>
  <si>
    <t>W2-09</t>
  </si>
  <si>
    <t>历史版本详情返回后仍定位原版本</t>
  </si>
  <si>
    <t>UI-W2-09-2</t>
  </si>
  <si>
    <t>历史为空和长快照内容的展示可读</t>
  </si>
  <si>
    <t>UI-W2-10-1</t>
  </si>
  <si>
    <t>W2-10</t>
  </si>
  <si>
    <t>服务组合删除确认取消后保留原列表</t>
  </si>
  <si>
    <t>UI-W2-10-2</t>
  </si>
  <si>
    <t>服务组合删除失败和超时后可以重新操作</t>
  </si>
  <si>
    <t>UI-W2-11-1</t>
  </si>
  <si>
    <t>W2-11</t>
  </si>
  <si>
    <t>策略列表与只读详情返回后信息一致</t>
  </si>
  <si>
    <t>UI-W2-11-2</t>
  </si>
  <si>
    <t>策略长条件与无权限视图不会混淆</t>
  </si>
  <si>
    <t>UI-W2-12-1</t>
  </si>
  <si>
    <t>W2-12</t>
  </si>
  <si>
    <t>成本价卡筛选后的有效期与状态展示清楚</t>
  </si>
  <si>
    <t>UI-W2-12-2</t>
  </si>
  <si>
    <t>成本价卡宽表能区分金额空值和零值</t>
  </si>
  <si>
    <t>UI-W2-13-1</t>
  </si>
  <si>
    <t>W2-13</t>
  </si>
  <si>
    <t>成本价卡头表单的必填单位和只读状态清楚</t>
  </si>
  <si>
    <t>UI-W2-13-2</t>
  </si>
  <si>
    <t>价卡头日期错误与保存失败后保留输入</t>
  </si>
  <si>
    <t>UI-W2-14-1</t>
  </si>
  <si>
    <t>W2-14</t>
  </si>
  <si>
    <t>价卡明细字段配置的预览与只读语义明确</t>
  </si>
  <si>
    <t>UI-W2-14-2</t>
  </si>
  <si>
    <t>价卡明细多列与长标题不会覆盖数据</t>
  </si>
  <si>
    <t>UI-W2-15-1</t>
  </si>
  <si>
    <t>W2-15</t>
  </si>
  <si>
    <t>价卡行内编辑的进入确认取消和键盘状态清楚</t>
  </si>
  <si>
    <t>UI-W2-15-2</t>
  </si>
  <si>
    <t>价卡多行编辑失败后能找到未保存内容</t>
  </si>
  <si>
    <t>UI-W2-16-1</t>
  </si>
  <si>
    <t>W2-16</t>
  </si>
  <si>
    <t>起终点分区选择确认后回到原价卡</t>
  </si>
  <si>
    <t>UI-W2-16-2</t>
  </si>
  <si>
    <t>分区选择器长树无候选和加载失败可区分</t>
  </si>
  <si>
    <t>UI-W2-17-1</t>
  </si>
  <si>
    <t>W2-17</t>
  </si>
  <si>
    <t>价卡批量生成五步可以返回并保留填写上下文</t>
  </si>
  <si>
    <t>UI-W2-17-2</t>
  </si>
  <si>
    <t>价卡批量生成中断与部分失败不会被显示为成功</t>
  </si>
  <si>
    <t>UI-W2-18-1</t>
  </si>
  <si>
    <t>W2-18</t>
  </si>
  <si>
    <t>计费要素模板的维护入口及对象归属明确</t>
  </si>
  <si>
    <t>UI-W2-18-2</t>
  </si>
  <si>
    <t>计费要素模板空态和超长字段仍可操作</t>
  </si>
  <si>
    <t>UI-W2-19-1</t>
  </si>
  <si>
    <t>W2-19</t>
  </si>
  <si>
    <t>价卡Excel与AI导入四步的确认边界明确</t>
  </si>
  <si>
    <t>UI-W2-19-2</t>
  </si>
  <si>
    <t>价卡导入超限文件和解析失败有明确处理入口</t>
  </si>
  <si>
    <t>UI-W2-20-1</t>
  </si>
  <si>
    <t>W2-20</t>
  </si>
  <si>
    <t>价卡高级复制覆盖前能确认来源与目标范围</t>
  </si>
  <si>
    <t>UI-W2-20-2</t>
  </si>
  <si>
    <t>价卡复制空范围和冲突反馈不会丢失选择</t>
  </si>
  <si>
    <t>UI-W2-21-1</t>
  </si>
  <si>
    <t>W2-21</t>
  </si>
  <si>
    <t>价卡校验结果摘要可定位到问题行</t>
  </si>
  <si>
    <t>UI-W2-21-2</t>
  </si>
  <si>
    <t>价卡无问题结果与校验请求失败明确区分</t>
  </si>
  <si>
    <t>UI-W2-22-1</t>
  </si>
  <si>
    <t>W2-22</t>
  </si>
  <si>
    <t>地点与邮编切换后新增操作属于当前页签</t>
  </si>
  <si>
    <t>UI-W2-22-2</t>
  </si>
  <si>
    <t>长地名与前导零邮编不会被截断或数值化</t>
  </si>
  <si>
    <t>UI-W2-23-1</t>
  </si>
  <si>
    <t>W2-23</t>
  </si>
  <si>
    <t>Zone列表查看详情后保留当前上下文</t>
  </si>
  <si>
    <t>UI-W2-23-2</t>
  </si>
  <si>
    <t>Zone大量记录与加载失败时仍能定位操作</t>
  </si>
  <si>
    <t>UI-W2-24-1</t>
  </si>
  <si>
    <t>W2-24</t>
  </si>
  <si>
    <t>地点邮编导入预览前的文件更换和取消可用</t>
  </si>
  <si>
    <t>UI-W2-24-2</t>
  </si>
  <si>
    <t>地点邮编导入无效文件和行错误能被定位</t>
  </si>
  <si>
    <t>UI-W2-25-1</t>
  </si>
  <si>
    <t>W2-25</t>
  </si>
  <si>
    <t>邮编组列表详情及编辑入口均可达</t>
  </si>
  <si>
    <t>UI-W2-25-2</t>
  </si>
  <si>
    <t>邮编组空成员和大量成员的浏览可用</t>
  </si>
  <si>
    <t>UI-W2-26-1</t>
  </si>
  <si>
    <t>W2-26</t>
  </si>
  <si>
    <t>燃油规则列表日期比例及启停语义一致</t>
  </si>
  <si>
    <t>UI-W2-26-2</t>
  </si>
  <si>
    <t>燃油比例零值空值和极值显示不混淆</t>
  </si>
  <si>
    <t>UI-W2-27-1</t>
  </si>
  <si>
    <t>W2-27</t>
  </si>
  <si>
    <t>燃油规则新增编辑的必填错误就地展示</t>
  </si>
  <si>
    <t>UI-W2-27-2</t>
  </si>
  <si>
    <t>燃油规则保存失败后保留日期及比例输入</t>
  </si>
  <si>
    <t>UI-W2-28-1</t>
  </si>
  <si>
    <t>W2-28</t>
  </si>
  <si>
    <t>独立分区维护页面无需猜URL即可进入</t>
  </si>
  <si>
    <t>UI-W2-28-2</t>
  </si>
  <si>
    <t>分区树长名称和局部失败保持选中上下文</t>
  </si>
  <si>
    <t>UI-W2-29-1</t>
  </si>
  <si>
    <t>W2-29</t>
  </si>
  <si>
    <t>分区价格表中的价卡引用有清楚的查看返回路径</t>
  </si>
  <si>
    <t>UI-W2-29-2</t>
  </si>
  <si>
    <t>分区超宽价格表和失效引用仍可阅读</t>
  </si>
  <si>
    <t>UI-W2-52-1</t>
  </si>
  <si>
    <t>W2-52</t>
  </si>
  <si>
    <t>服务段列表新增编辑与基础配置样式一致</t>
  </si>
  <si>
    <t>UI-W2-52-2</t>
  </si>
  <si>
    <t>长服务段名称停用项与失败态有明确说明</t>
  </si>
  <si>
    <t>UI-W2-53-1</t>
  </si>
  <si>
    <t>W2-53</t>
  </si>
  <si>
    <t>计费要素类型切换后字段分组对应</t>
  </si>
  <si>
    <t>UI-W2-53-2</t>
  </si>
  <si>
    <t>计费要素切换类型不残留旧字段错误</t>
  </si>
  <si>
    <t>UI-W2-54-1</t>
  </si>
  <si>
    <t>W2-54</t>
  </si>
  <si>
    <t>计费方式说明与相关字段随选择对应</t>
  </si>
  <si>
    <t>UI-W2-54-2</t>
  </si>
  <si>
    <t>计费方式候选为空禁用和失败时可区分</t>
  </si>
  <si>
    <t>UI-W2-55-1</t>
  </si>
  <si>
    <t>W2-55</t>
  </si>
  <si>
    <t>下单限制选择确认取消的反馈不重复堆叠</t>
  </si>
  <si>
    <t>UI-W2-55-2</t>
  </si>
  <si>
    <t>下单限制搜索过滤后已选项不会造成误解</t>
  </si>
  <si>
    <t>UI-W2-57-1</t>
  </si>
  <si>
    <t>W2-57</t>
  </si>
  <si>
    <t>可接货型的选择与业务限制说明分开呈现</t>
  </si>
  <si>
    <t>UI-W2-57-2</t>
  </si>
  <si>
    <t>货型无候选停用及加载失败有不同反馈</t>
  </si>
  <si>
    <t>UI-W2-58-1</t>
  </si>
  <si>
    <t>W2-58</t>
  </si>
  <si>
    <t>财务配置分组单位与敏感字段呈现清楚</t>
  </si>
  <si>
    <t>UI-W2-58-2</t>
  </si>
  <si>
    <t>财务配置金额展示及提交403失败可恢复</t>
  </si>
  <si>
    <t>UI-W2-65-1</t>
  </si>
  <si>
    <t>W2-65</t>
  </si>
  <si>
    <t>操作日志筛选和只读详情的阅读路径清楚</t>
  </si>
  <si>
    <t>UI-W2-65-2</t>
  </si>
  <si>
    <t>长日志无结果无权限和失败态的呈现不同</t>
  </si>
  <si>
    <t>UI-TPL-001</t>
  </si>
  <si>
    <t>通用模板</t>
  </si>
  <si>
    <t>列表标题按钮和卡片尺寸符合通用基线</t>
  </si>
  <si>
    <t>本轮未重跑</t>
  </si>
  <si>
    <t>本轮未重跑；沿用b2efcdb轮次结果，不作为fd786de模板结果。</t>
  </si>
  <si>
    <t>W2-R01</t>
  </si>
  <si>
    <t>UI-TPL-002</t>
  </si>
  <si>
    <t>标准页头高度和面包屑位置符合规范</t>
  </si>
  <si>
    <t>W2-R02</t>
  </si>
  <si>
    <t>UI-TPL-003</t>
  </si>
  <si>
    <t>列表操作列左对齐且文字按钮间距16px</t>
  </si>
  <si>
    <t>W2-R03</t>
  </si>
  <si>
    <t>UI-TPL-004</t>
  </si>
  <si>
    <t>普通表格正文颜色与标题及语义色区分</t>
  </si>
  <si>
    <t>W2-R04
W2-R05</t>
  </si>
  <si>
    <t>UI-TPL-005</t>
  </si>
  <si>
    <t>列表行高和数字内层对齐符合规范</t>
  </si>
  <si>
    <t>UI-TPL-006</t>
  </si>
  <si>
    <t>列表搜索无结果时保留条件并提供恢复引导</t>
  </si>
  <si>
    <t>UI-TPL-007</t>
  </si>
  <si>
    <t>重置筛选后退出无结果态</t>
  </si>
  <si>
    <t>UI-TPL-008</t>
  </si>
  <si>
    <t>单行选中后批量栏出现且取消可恢复默认工具栏</t>
  </si>
  <si>
    <t>UI-TPL-009</t>
  </si>
  <si>
    <t>选中底色覆盖左右固定列和主体单元格</t>
  </si>
  <si>
    <t>UI-TPL-010</t>
  </si>
  <si>
    <t>批量删除确认中的对象数量和取消语义明确</t>
  </si>
  <si>
    <t>UI-TPL-011</t>
  </si>
  <si>
    <t>详情抽屉的分组关闭和原列表上下文清楚</t>
  </si>
  <si>
    <t>UI-TPL-012</t>
  </si>
  <si>
    <t>新建表单必填错误显示在对应字段下并可纠正</t>
  </si>
  <si>
    <t>UI-TPL-013</t>
  </si>
  <si>
    <t>表单标签和错误说明能关联到实际控件</t>
  </si>
  <si>
    <t>UI-TPL-014</t>
  </si>
  <si>
    <t>空提交后能定位长表单中的首个错误</t>
  </si>
  <si>
    <t>UI-TPL-015</t>
  </si>
  <si>
    <t>模板备注达到200字上限后计数和布局一致</t>
  </si>
  <si>
    <t>UI-TPL-016</t>
  </si>
  <si>
    <t>批准离开二次确认后继续编辑和确认离开均可用</t>
  </si>
  <si>
    <t>UI-TPL-017</t>
  </si>
  <si>
    <t>分步表单第一步校验失败时保持当前步</t>
  </si>
  <si>
    <t>UI-TPL-018</t>
  </si>
  <si>
    <t>导入未选择文件时提示并保持弹窗</t>
  </si>
  <si>
    <t>UI-TPL-019</t>
  </si>
  <si>
    <t>浏览器刷新后保持当前列表路由</t>
  </si>
  <si>
    <t>W2-R08</t>
  </si>
  <si>
    <t>UI-TPL-020</t>
  </si>
  <si>
    <t>顶栏搜索通知入口有明确反馈或占位说明</t>
  </si>
  <si>
    <t>UI-TPL-021</t>
  </si>
  <si>
    <t>浮动助手与列表行操作重叠时登记可用性风险</t>
  </si>
  <si>
    <t>UI-TPL-022</t>
  </si>
  <si>
    <t>1024宽表单控件和固定底栏可达</t>
  </si>
  <si>
    <t>W2-R06</t>
  </si>
  <si>
    <t>UI-TPL-023</t>
  </si>
  <si>
    <t>启用Mobile后窄屏列表按规范采用卡片</t>
  </si>
  <si>
    <t>UI-TPL-024</t>
  </si>
  <si>
    <t>403展示页的原因和返回入口清楚</t>
  </si>
  <si>
    <t>UI-TPL-025</t>
  </si>
  <si>
    <t>500展示页有清楚的重试和返回动作</t>
  </si>
  <si>
    <t>UI-TPL-026</t>
  </si>
  <si>
    <t>Tabs专项示例覆盖页头列表及键盘状态</t>
  </si>
  <si>
    <t>UI-TPL-027</t>
  </si>
  <si>
    <t>多分类及三级菜单区分展开和选中行为</t>
  </si>
  <si>
    <t>UI-TPL-028</t>
  </si>
  <si>
    <t>列表加载超时断网及失败重试能够恢复</t>
  </si>
  <si>
    <t>W2-G01
W2-R07</t>
  </si>
  <si>
    <t>UI-TPL-029</t>
  </si>
  <si>
    <t>列表全选半选及跨页范围提示一致</t>
  </si>
  <si>
    <t>UI-TPL-030</t>
  </si>
  <si>
    <t>长文本零值极值及超大列表的专项可读性</t>
  </si>
  <si>
    <t>UI-TPL-031</t>
  </si>
  <si>
    <t>页面整体与组件状态逐项对照规范示例图</t>
  </si>
  <si>
    <t>UI-TPL-032</t>
  </si>
  <si>
    <t>按钮默认悬浮激活禁用加载状态均有反馈</t>
  </si>
  <si>
    <t>W2-G02
W2-R01</t>
  </si>
  <si>
    <t>UI-TPL-033</t>
  </si>
  <si>
    <t>输入框默认悬停聚焦填充错误和禁用六态明确</t>
  </si>
  <si>
    <t>UI-TPL-034</t>
  </si>
  <si>
    <t>首次空态筛选无结果和数据清空后的反馈可辨认</t>
  </si>
  <si>
    <t>UI-TPL-035</t>
  </si>
  <si>
    <t>表单提交返回403时就地提示并保留输入</t>
  </si>
  <si>
    <t>W2-G01</t>
  </si>
  <si>
    <t>UI-TPL-036</t>
  </si>
  <si>
    <t>弹窗尺寸底栏与提交中遮罩及重复点击符合规范</t>
  </si>
  <si>
    <t>UI-TPL-037</t>
  </si>
  <si>
    <t>Desktop与Tablet断点两侧布局和操作可达</t>
  </si>
  <si>
    <t>UI-TPL-038</t>
  </si>
  <si>
    <t>上传进度取消失败及重试各有明确反馈</t>
  </si>
  <si>
    <t>W2-G02
W2-R10</t>
  </si>
  <si>
    <t>UI-TPL-039</t>
  </si>
  <si>
    <t>页面初始化返回403后显示无权限页并可返回</t>
  </si>
  <si>
    <t>UI-TPL-040</t>
  </si>
  <si>
    <t>图片预览在Desktop和Tablet保留安全区并等比缩放</t>
  </si>
  <si>
    <t>步骤明细与补测准备</t>
  </si>
  <si>
    <t>前置条件</t>
  </si>
  <si>
    <t>原用例前置保留在历史用例表</t>
  </si>
  <si>
    <t>范围处理</t>
  </si>
  <si>
    <t>字典取消交互与范围前置分开记录；整条仍受阻</t>
  </si>
  <si>
    <t>步骤ID</t>
  </si>
  <si>
    <t>执行层次</t>
  </si>
  <si>
    <t>具体操作</t>
  </si>
  <si>
    <t>预期结果</t>
  </si>
  <si>
    <t>已有实际表现</t>
  </si>
  <si>
    <t>步骤结果</t>
  </si>
  <si>
    <t>缺判据或样例</t>
  </si>
  <si>
    <t>规范定位</t>
  </si>
  <si>
    <t>证据链接</t>
  </si>
  <si>
    <t>建议补齐角色</t>
  </si>
  <si>
    <t>补测数据要求</t>
  </si>
  <si>
    <t>准备责任人</t>
  </si>
  <si>
    <t>计划复测日</t>
  </si>
  <si>
    <t>人工步骤意见</t>
  </si>
  <si>
    <t>UI-W2-50-1-1</t>
  </si>
  <si>
    <t>主数据既有执行</t>
  </si>
  <si>
    <t>进入基础配置，选择费用项所在主分类及子项。</t>
  </si>
  <si>
    <t>页头主分类、内容区子项和当前列表层级清楚，不形成难辨的多层Tabs。</t>
  </si>
  <si>
    <t>主分类计价底座、费用项子类和费用项对象层级可识别，与RV01页头主Tab/子项/列表新增的通用分层建议一致。</t>
  </si>
  <si>
    <t>RV01/规范5.17</t>
  </si>
  <si>
    <t>查看 R18-loaded、C09-cards-and-tabs</t>
  </si>
  <si>
    <t>沿用原前置条件及原步骤样例；无新执行</t>
  </si>
  <si>
    <t>保留原轮次证据</t>
  </si>
  <si>
    <t>UI-W2-50-1-2</t>
  </si>
  <si>
    <t>查看费用项编码、名称及状态，再点击当前列表新增。</t>
  </si>
  <si>
    <t>编码/名称字段对齐；新增属于费用项列表而非整个主分类。</t>
  </si>
  <si>
    <t>编码/名称清楚，当前列表有新增费用项按钮，打开的是新增费用项表单。</t>
  </si>
  <si>
    <t>查看 R18-loaded、F04-fee-create</t>
  </si>
  <si>
    <t>UI-W2-50-1-3</t>
  </si>
  <si>
    <t>检查表单标题和字段，取消返回。</t>
  </si>
  <si>
    <t>新增费用项标题明确，字段/必填符合批准稿；返回仍选中费用项。</t>
  </si>
  <si>
    <t>已打开表单并取消回费用项；现有字段仍为分组编码及默认币种文本。本周产品PRD与M1字段映射、必填/选择控件采纳口径未取得，不能以能打开表单代替批准稿符合性。</t>
  </si>
  <si>
    <t>查看 F04-fee-create、F08-fee-create-cancel</t>
  </si>
  <si>
    <t>产品/设计确认；测试复测</t>
  </si>
  <si>
    <t>按原前置准备；产品确认费用类型、分组、默认币种字段映射及采纳设计；对应D01。</t>
  </si>
  <si>
    <t>先补齐条件再执行</t>
  </si>
  <si>
    <t>UI-W2-50-2-1</t>
  </si>
  <si>
    <t>新增费用项，分别输入L-1、L和L+1编码。</t>
  </si>
  <si>
    <t>边界限制按PRD呈现；计数或超限提示清楚，输入不撑破字段区域。</t>
  </si>
  <si>
    <t>当前新增入口可达，但原前置要求的编码上限L未明确，不能自定L再测试L-1/L/L+1。</t>
  </si>
  <si>
    <t>PRD明确编码长度L及边界判据。</t>
  </si>
  <si>
    <t>规范5.7、9.4</t>
  </si>
  <si>
    <t>查看 F04-fee-create</t>
  </si>
  <si>
    <t>待确认L后准备长度L-1/L/L+1的编码；L目前未知</t>
  </si>
  <si>
    <t>UI-W2-50-2-2</t>
  </si>
  <si>
    <t>用样例返回重复编码错误。</t>
  </si>
  <si>
    <t>重复提示关联编码字段；其他字段输入保留，不以笼统失败代替可定位原因。</t>
  </si>
  <si>
    <t>查看 F07-fee-duplicate-result</t>
  </si>
  <si>
    <t>已有FREIGHT＋有效名称/分组/币种</t>
  </si>
  <si>
    <t>整改后回归</t>
  </si>
  <si>
    <t>UI-W2-50-2-3</t>
  </si>
  <si>
    <t>修正编码后返回保存失败样例。</t>
  </si>
  <si>
    <t>旧字段错误清除；新失败提示明确，保存结束解锁并保留待修正输入。</t>
  </si>
  <si>
    <t>尚无不同于重复编码的可控保存失败响应；未制造新持久化记录来替代失败样例，字段错误纠正后的新失败链路未执行。</t>
  </si>
  <si>
    <t>非重复编码的可控保存失败响应及恢复样例。</t>
  </si>
  <si>
    <t>开发提供样例；测试复测</t>
  </si>
  <si>
    <t>开发提供非重复编码的保存失败响应；保存后可恢复</t>
  </si>
  <si>
    <t>UI-W2-51-1-1</t>
  </si>
  <si>
    <t>进入币种视图，查看编码、名称及状态。</t>
  </si>
  <si>
    <t>币种信息层级清楚，当前分类和列表新增归属对应。</t>
  </si>
  <si>
    <t>币种视图的编码、名称和状态可识别，子对象币种与列表工具栏一致。</t>
  </si>
  <si>
    <t>RV01/规范5.8</t>
  </si>
  <si>
    <t>查看 R19-loaded、C07-switch-currency</t>
  </si>
  <si>
    <t>UI-W2-51-1-2</t>
  </si>
  <si>
    <t>切换汇率视图，查看币种对、方向、数值和生效日期。</t>
  </si>
  <si>
    <t>来源币种、目标币种及方向可理解；数值右对齐，单位和日期没有遗漏。</t>
  </si>
  <si>
    <t>查看 C03-rate-metrics、C08-switch-rate</t>
  </si>
  <si>
    <t>UI-W2-51-1-3</t>
  </si>
  <si>
    <t>返回币种视图，再切回汇率。</t>
  </si>
  <si>
    <t>选中分类和内容始终一致，不残留另一个视图的工具栏或字段。</t>
  </si>
  <si>
    <t>从汇率切币种再切汇率，币种4条、汇率3条及各自字段/新增按钮与所选对象一致，未残留另一视图工具栏。</t>
  </si>
  <si>
    <t>查看 C07-switch-currency、C08-switch-rate</t>
  </si>
  <si>
    <t>UI-W2-51-2-1</t>
  </si>
  <si>
    <t>查看0和空汇率记录。</t>
  </si>
  <si>
    <t>两者按批准口径分别展示，空值不能被默认为数值0。</t>
  </si>
  <si>
    <t>当前3条倍率为7.1234/7.8123/0.9123；没有0和空倍率专项记录。</t>
  </si>
  <si>
    <t>批准的空/零显示口径及0、空样例。</t>
  </si>
  <si>
    <t>规范9.1、9.2</t>
  </si>
  <si>
    <t>查看 R20-loaded</t>
  </si>
  <si>
    <t>产品/设计确认；开发提供样例；测试复测</t>
  </si>
  <si>
    <t>准备0与空倍率各1条；显示口径待产品确认</t>
  </si>
  <si>
    <t>UI-W2-51-2-2</t>
  </si>
  <si>
    <t>查看极小、极大和超精度样例。</t>
  </si>
  <si>
    <t>显示精度与PRD一致，单位/币种方向保留；不为了布局擅自四舍五入到不同精度。</t>
  </si>
  <si>
    <t>当前没有极小、极大及超精度样例；产品精度及版本维护冲突仍待D02裁决，不能用普通4位倍率替代专项。</t>
  </si>
  <si>
    <t>批准显示精度及极值/超精度样例。</t>
  </si>
  <si>
    <t>准备极小、极大、超过批准精度各1条；阈值与精度待确认</t>
  </si>
  <si>
    <t>UI-W2-51-2-3</t>
  </si>
  <si>
    <t>查看长币种名并横向滚动或悬停。</t>
  </si>
  <si>
    <t>全文可读取，数值与名称不重叠，仍可识别换算方向；本用例不核验换算算法。</t>
  </si>
  <si>
    <t>当前为USD/EUR/HKD到CNY，未取得长币种名称样例；未将短编码样例的可读性当成本步骤通过。</t>
  </si>
  <si>
    <t>长币种名及全文读取样例。</t>
  </si>
  <si>
    <t>准备超出当前列宽的长币种名称；核验省略与全文读取</t>
  </si>
  <si>
    <t>UI-W2-56-1-PRE</t>
  </si>
  <si>
    <t>核对原前置中的业务字典PRD映射及专项分类采纳范围</t>
  </si>
  <si>
    <t>取得本周批准PRD/采纳稿，明确普通UI与专项范围</t>
  </si>
  <si>
    <t>原记录未取得上述批准材料；本版单列范围前置，未新增页面执行。</t>
  </si>
  <si>
    <t>RV01/排期60行 原型</t>
  </si>
  <si>
    <t>查看 D01-dictionary-create、D02-dictionary-cancel</t>
  </si>
  <si>
    <t>产品/设计提供采纳PRD及本周范围映射</t>
  </si>
  <si>
    <t>UI-W2-56-1-1</t>
  </si>
  <si>
    <t>进入基础配置，切换批准的主分类Tab。</t>
  </si>
  <si>
    <t>页头Tab表达同级分类，选中底条与当前主分类内容对应。</t>
  </si>
  <si>
    <t>通过主数据下的业务字典入口切换，当前监管方式位于字典子对象中；主/子分类分层符合已读取RV01通用建议。</t>
  </si>
  <si>
    <t>查看 R17-loaded、D01-dictionary-create</t>
  </si>
  <si>
    <t>UI-W2-56-1-2</t>
  </si>
  <si>
    <t>选择一个子类别，查看字典列表标题和工具栏。</t>
  </si>
  <si>
    <t>子项与主分类层级清楚，当前字典对象可识别，不形成多层难辨Tab。</t>
  </si>
  <si>
    <t>监管方式标题/列表字段及新增监管方式按钮可识别，属于当前字典对象。</t>
  </si>
  <si>
    <t>UI-W2-56-1-3</t>
  </si>
  <si>
    <t>点击当前字典列表新增，再取消。</t>
  </si>
  <si>
    <t>新增属于当前子列表；取消回到原主/子分类，未跳到另一个字典。</t>
  </si>
  <si>
    <t>新增监管方式后取消，仍回原监管方式对象。原步骤3的范围缺口移至PRE，按既有D01/D02证据整理；未新增执行。</t>
  </si>
  <si>
    <t>UI-W2-56-2-1</t>
  </si>
  <si>
    <t>展示长类别名及超过7个同级类别。</t>
  </si>
  <si>
    <t>使用批准的替代承载，避免堆叠多层Tabs；类别名称仍可完整识别。</t>
  </si>
  <si>
    <t>当前字典子对象5项；未取得长类别名及超过7项同级分类样例。</t>
  </si>
  <si>
    <t>批准的&gt;7项/长类别替代承载设计及样例。</t>
  </si>
  <si>
    <t>规范5.17</t>
  </si>
  <si>
    <t>查看 R13-loaded、R17-loaded</t>
  </si>
  <si>
    <t>准备至少8个同级类别、长类别名、首末项；控件/键盘方案先由产品设计确认</t>
  </si>
  <si>
    <t>UI-W2-56-2-2</t>
  </si>
  <si>
    <t>按批准方案切换或搜索首个、末个类别。</t>
  </si>
  <si>
    <t>所有类别可达，内容与当前选择一致，没有仅能看见却无法选中的末项。</t>
  </si>
  <si>
    <t>当前5项都能分别选择并恢复列表，但不代替原用例首末项搜索/长类别样例切换。</t>
  </si>
  <si>
    <t>专项类别样例。</t>
  </si>
  <si>
    <t>查看 R13-reset、R17-reset</t>
  </si>
  <si>
    <t>UI-W2-56-2-3</t>
  </si>
  <si>
    <t>对仍采用Tabs的区域使用Tab、方向键和Home/End。</t>
  </si>
  <si>
    <t>焦点、选中和内容按5.17一致，ARIA关系可识别；空间不足换行，不产生组件内横滚。</t>
  </si>
  <si>
    <t>本轮未在专项替代承载样例执行Tab/方向键/Home/End，未用DOM存在代替可访问性实测。</t>
  </si>
  <si>
    <t>专项承载样例及批准键盘/ARIA判据。</t>
  </si>
  <si>
    <t>查看 D02-dictionary-cancel</t>
  </si>
  <si>
    <t>UI-M1-001-1</t>
  </si>
  <si>
    <t>输入NO_UI_20261014_RECHECK并查询（本轮实际输入，原文本保留在历史表）</t>
  </si>
  <si>
    <t>筛选保留且0条，不保留旧结果</t>
  </si>
  <si>
    <t>查询词NO_UI_20261014_RECHECK保留，当前列表/子表完成态为0条。</t>
  </si>
  <si>
    <t>M1开发基线；V1.2 7.2</t>
  </si>
  <si>
    <t>查看 M02-country-empty</t>
  </si>
  <si>
    <t>无结果词：NO_UI_20261014_RECHECK；恢复数据：执行前当前对象的原列表/子表</t>
  </si>
  <si>
    <t>UI-M1-001-2</t>
  </si>
  <si>
    <t>阅读无结果说明和恢复入口</t>
  </si>
  <si>
    <t>搜索无结果说明调整筛选，区别首次无数据</t>
  </si>
  <si>
    <t>UI-M1-001-3</t>
  </si>
  <si>
    <t>点击重置</t>
  </si>
  <si>
    <t>清空测试词，恢复当前资源原列表</t>
  </si>
  <si>
    <t>点击重置后输入清空，原对象及原列表/子表记录恢复；当前证据中基线与恢复行内容一致。</t>
  </si>
  <si>
    <t>查看 M01-country-baseline、M03-country-reset</t>
  </si>
  <si>
    <t>UI-M1-002-1</t>
  </si>
  <si>
    <t>查看 R4-empty</t>
  </si>
  <si>
    <t>UI-M1-002-2</t>
  </si>
  <si>
    <t>UI-M1-002-3</t>
  </si>
  <si>
    <t>查看 R4-loaded、R4-reset</t>
  </si>
  <si>
    <t>UI-M1-003-1</t>
  </si>
  <si>
    <t>查看 R5-empty</t>
  </si>
  <si>
    <t>UI-M1-003-2</t>
  </si>
  <si>
    <t>UI-M1-003-3</t>
  </si>
  <si>
    <t>查看 R5-loaded、R5-reset</t>
  </si>
  <si>
    <t>UI-M1-004-1</t>
  </si>
  <si>
    <t>查看 R6-empty</t>
  </si>
  <si>
    <t>UI-M1-004-2</t>
  </si>
  <si>
    <t>UI-M1-004-3</t>
  </si>
  <si>
    <t>查看 R6-loaded、R6-reset</t>
  </si>
  <si>
    <t>UI-M1-005-1</t>
  </si>
  <si>
    <t>查看 R7-empty</t>
  </si>
  <si>
    <t>UI-M1-005-2</t>
  </si>
  <si>
    <t>UI-M1-005-3</t>
  </si>
  <si>
    <t>查看 R7-loaded、R7-reset</t>
  </si>
  <si>
    <t>UI-M1-006-1</t>
  </si>
  <si>
    <t>查看 R8-empty</t>
  </si>
  <si>
    <t>UI-M1-006-2</t>
  </si>
  <si>
    <t>UI-M1-006-3</t>
  </si>
  <si>
    <t>查看 R8-loaded、R8-reset</t>
  </si>
  <si>
    <t>UI-M1-007-1</t>
  </si>
  <si>
    <t>查看 R9-empty</t>
  </si>
  <si>
    <t>UI-M1-007-2</t>
  </si>
  <si>
    <t>UI-M1-007-3</t>
  </si>
  <si>
    <t>查看 R9-loaded、R9-reset</t>
  </si>
  <si>
    <t>UI-M1-008-1</t>
  </si>
  <si>
    <t>查看 R10-empty</t>
  </si>
  <si>
    <t>UI-M1-008-2</t>
  </si>
  <si>
    <t>UI-M1-008-3</t>
  </si>
  <si>
    <t>查看 R10-loaded、R10-reset</t>
  </si>
  <si>
    <t>UI-M1-009-1</t>
  </si>
  <si>
    <t>查看 R11-empty</t>
  </si>
  <si>
    <t>UI-M1-009-2</t>
  </si>
  <si>
    <t>UI-M1-009-3</t>
  </si>
  <si>
    <t>查看 R11-loaded、R11-reset</t>
  </si>
  <si>
    <t>UI-M1-010-1</t>
  </si>
  <si>
    <t>查看 R12-empty</t>
  </si>
  <si>
    <t>UI-M1-010-2</t>
  </si>
  <si>
    <t>UI-M1-010-3</t>
  </si>
  <si>
    <t>查看 R12-loaded、R12-reset</t>
  </si>
  <si>
    <t>UI-M1-011-1</t>
  </si>
  <si>
    <t>查看 R13-empty</t>
  </si>
  <si>
    <t>UI-M1-011-2</t>
  </si>
  <si>
    <t>UI-M1-011-3</t>
  </si>
  <si>
    <t>查看 R13-loaded、R13-reset</t>
  </si>
  <si>
    <t>UI-M1-012-1</t>
  </si>
  <si>
    <t>查看 R14-empty</t>
  </si>
  <si>
    <t>UI-M1-012-2</t>
  </si>
  <si>
    <t>UI-M1-012-3</t>
  </si>
  <si>
    <t>查看 R14-loaded、R14-reset</t>
  </si>
  <si>
    <t>UI-M1-013-1</t>
  </si>
  <si>
    <t>查看 R15-empty</t>
  </si>
  <si>
    <t>UI-M1-013-2</t>
  </si>
  <si>
    <t>UI-M1-013-3</t>
  </si>
  <si>
    <t>查看 R15-loaded、R15-reset</t>
  </si>
  <si>
    <t>UI-M1-014-1</t>
  </si>
  <si>
    <t>查看 R16-empty</t>
  </si>
  <si>
    <t>UI-M1-014-2</t>
  </si>
  <si>
    <t>UI-M1-014-3</t>
  </si>
  <si>
    <t>查看 R16-loaded、R16-reset</t>
  </si>
  <si>
    <t>UI-M1-015-1</t>
  </si>
  <si>
    <t>查看 R17-empty</t>
  </si>
  <si>
    <t>UI-M1-015-2</t>
  </si>
  <si>
    <t>UI-M1-015-3</t>
  </si>
  <si>
    <t>查看 R17-loaded、R17-reset</t>
  </si>
  <si>
    <t>UI-M1-016-1</t>
  </si>
  <si>
    <t>查看 R18-empty</t>
  </si>
  <si>
    <t>UI-M1-016-2</t>
  </si>
  <si>
    <t>UI-M1-016-3</t>
  </si>
  <si>
    <t>查看 R18-loaded、R18-reset</t>
  </si>
  <si>
    <t>UI-M1-017-1</t>
  </si>
  <si>
    <t>查看 R19-empty</t>
  </si>
  <si>
    <t>UI-M1-017-2</t>
  </si>
  <si>
    <t>UI-M1-017-3</t>
  </si>
  <si>
    <t>查看 R19-loaded、R19-reset</t>
  </si>
  <si>
    <t>UI-M1-018-1</t>
  </si>
  <si>
    <t>查看 R20-empty</t>
  </si>
  <si>
    <t>UI-M1-018-2</t>
  </si>
  <si>
    <t>UI-M1-018-3</t>
  </si>
  <si>
    <t>查看 R20-loaded、R20-reset</t>
  </si>
  <si>
    <t>UI-M1-019-1</t>
  </si>
  <si>
    <t>查询只影响关联子表，父列表和对象保留</t>
  </si>
  <si>
    <t>查看 S19-relation-empty</t>
  </si>
  <si>
    <t>UI-M1-019-2</t>
  </si>
  <si>
    <t>查看关联子表空结果</t>
  </si>
  <si>
    <t>搜索无结果有调整筛选引导</t>
  </si>
  <si>
    <t>UI-M1-019-3</t>
  </si>
  <si>
    <t>点击子表重置</t>
  </si>
  <si>
    <t>恢复原父对象关系数据</t>
  </si>
  <si>
    <t>查看 S19-relation-loaded、S19-relation-reset</t>
  </si>
  <si>
    <t>UI-M1-020-1</t>
  </si>
  <si>
    <t>查看 S20-relation-empty</t>
  </si>
  <si>
    <t>UI-M1-020-2</t>
  </si>
  <si>
    <t>UI-M1-020-3</t>
  </si>
  <si>
    <t>查看 S20-relation-loaded、S20-relation-reset</t>
  </si>
  <si>
    <t>UI-M1-021-1</t>
  </si>
  <si>
    <t>打开FREIGHT编辑</t>
  </si>
  <si>
    <t>既有编码不可编辑</t>
  </si>
  <si>
    <t>FREIGHT编码控件存在且disabled；名称运费可编辑。</t>
  </si>
  <si>
    <t>M1字段不可变/取消语义</t>
  </si>
  <si>
    <t>查看 F01-fee-edit</t>
  </si>
  <si>
    <t>FREIGHT原名称运费；临时名称UI临时修改_取消验证；取消后应仍为运费</t>
  </si>
  <si>
    <t>UI-M1-021-2</t>
  </si>
  <si>
    <t>将名称改成UI临时修改_取消验证后取消</t>
  </si>
  <si>
    <t>取消不保存，原记录未改</t>
  </si>
  <si>
    <t>名称改为UI临时修改_取消验证后点击取消，FREIGHT仍显示运费，没有提交临时名称。</t>
  </si>
  <si>
    <t>查看 F02-fee-edit-unsaved、F03-fee-edit-cancel</t>
  </si>
  <si>
    <t>UI-M1-022-1</t>
  </si>
  <si>
    <t>新增空表单保存</t>
  </si>
  <si>
    <t>必填字段下提示且保持表单</t>
  </si>
  <si>
    <t>空表单保存后费用项编码、名称、分组编码、默认币种分别有字段下必填提示，表单保持打开。</t>
  </si>
  <si>
    <t>M1必填/重复编码；规范7.3字段错误</t>
  </si>
  <si>
    <t>查看 F05-fee-empty-submit</t>
  </si>
  <si>
    <t>空表单；重复编码FREIGHT；其余必填字段使用有效样例；不得创建新持久化对象</t>
  </si>
  <si>
    <t>UI-M1-022-2</t>
  </si>
  <si>
    <t>填写已有FREIGHT与有效其他字段保存</t>
  </si>
  <si>
    <t>重复编码明确错误且输入保留、按钮解除loading</t>
  </si>
  <si>
    <t>提交重复FREIGHT后捕获“记录已存在，请检查编码或关联对象”；各输入保留，保存按钮恢复可用，取消后列表仍3条。只判本条要求的明确重复反馈，不等同于字段错误映射通过。</t>
  </si>
  <si>
    <t>查看 F06-fee-duplicate-ready、F07-fee-duplicate-result、F08-fee-create-cancel</t>
  </si>
  <si>
    <t>UI-M1-023-1</t>
  </si>
  <si>
    <t>打开币种编辑</t>
  </si>
  <si>
    <t>已有code只读</t>
  </si>
  <si>
    <t>实际控件名称为“请输入ISO 4217 编码”，存在且disabled，当前CNY不可编辑；本条仅判编码只读。</t>
  </si>
  <si>
    <t>M1编码不可变</t>
  </si>
  <si>
    <t>查看 C01-currency-edit</t>
  </si>
  <si>
    <t>已有CNY；核验ISO 4217编码控件只读</t>
  </si>
  <si>
    <t>UI-M1-024-1</t>
  </si>
  <si>
    <t>打开已生效USD/CNY汇率编辑</t>
  </si>
  <si>
    <t>源/目标/汇率/生效日不可改，调整结束区间；无普通删除</t>
  </si>
  <si>
    <t>已生效USD/CNY的源币种、目标币种、倍率7.1234、生效日2026-10-01均disabled；通过日历将结束日临时改为2026-10-30后取消，原结束日2026-10-31保留；当前无普通删除按钮。仅按原用例明确的M1呈现判定，D02产品规则裁决仍保留。</t>
  </si>
  <si>
    <t>M1已生效汇率版本规则；PRD正文/待确认项冲突另登记</t>
  </si>
  <si>
    <t>查看 C04-rate-edit、C05-rate-end-unsaved、C06-rate-cancel</t>
  </si>
  <si>
    <t>已生效USD/CNY，倍率7.1234；结束日10/31临时改10/30后取消，应恢复10/31</t>
  </si>
  <si>
    <t>UI-M1-025-1</t>
  </si>
  <si>
    <t>量测查询按钮</t>
  </si>
  <si>
    <t>按钮圆角8px</t>
  </si>
  <si>
    <t>查询按钮32px高、圆角2px，预期8px。</t>
  </si>
  <si>
    <t>V1.2 3.1/5.1/5.8/5.9</t>
  </si>
  <si>
    <t>查看 C03-rate-visual</t>
  </si>
  <si>
    <t>UI-M1-025-2</t>
  </si>
  <si>
    <t>量测表格正文与数字</t>
  </si>
  <si>
    <t>正文#4B5564，数字右对齐，操作左对齐</t>
  </si>
  <si>
    <t>正文#1A2130；ratio 7.1234的实际内层为left，操作内层居中、间距4px。预期正文#4B5564、数字右对齐、操作左对齐。</t>
  </si>
  <si>
    <t>查看 C03-rate-visual、C03-rate-metrics</t>
  </si>
  <si>
    <t>UI-M1-025-3</t>
  </si>
  <si>
    <t>量测卡片</t>
  </si>
  <si>
    <t>圆角12px、padding24px</t>
  </si>
  <si>
    <t>实际表格卡片.by-card--default为圆角12px、padding24px；量测真实卡片祖先，未用表格容器8px替代。</t>
  </si>
  <si>
    <t>查看 C09-cards-and-tabs、C09-card-measurement</t>
  </si>
  <si>
    <t>UI-W2-01-1-1</t>
  </si>
  <si>
    <t>未执行计划</t>
  </si>
  <si>
    <t>从菜单进入服务单元列表，查看页头、筛选区和主操作。</t>
  </si>
  <si>
    <t>页面标题、面包屑及当前菜单一致；主操作属于当前列表，筛选控件未被强行拉伸。</t>
  </si>
  <si>
    <t>RV12/RV13/RV14/RV23</t>
  </si>
  <si>
    <t>按原前置安排执行</t>
  </si>
  <si>
    <t>UI-W2-01-1-2</t>
  </si>
  <si>
    <t>填写有效条件，点击“查询”，观察列表刷新过程。</t>
  </si>
  <si>
    <t>查询过程中有局部刷新反馈；完成后显示对应样例数据，输入条件仍可查看。</t>
  </si>
  <si>
    <t>UI-W2-01-1-3</t>
  </si>
  <si>
    <t>改为无结果条件，再次点击“查询”。</t>
  </si>
  <si>
    <t>显示“未找到相关结果”及调整/清空筛选引导；筛选区保留，不能显示为首次无数据。</t>
  </si>
  <si>
    <t>UI-W2-01-1-4</t>
  </si>
  <si>
    <t>点击“重置”，重新查看列表及筛选控件。</t>
  </si>
  <si>
    <t>筛选恢复批准的初始值，列表退出无结果态；页码、总数及当前数据相互对应。</t>
  </si>
  <si>
    <t>UI-W2-01-2-1</t>
  </si>
  <si>
    <t>打开服务单元列表，查看长名称和业务标识列。</t>
  </si>
  <si>
    <t>长名称单行省略显示；核心业务标识未被无关字段挤出可视区域。</t>
  </si>
  <si>
    <t>RV16/规范5.8、9.4</t>
  </si>
  <si>
    <t>UI-W2-01-2-2</t>
  </si>
  <si>
    <t>悬停被省略的名称，再用键盘定位同一条记录。</t>
  </si>
  <si>
    <t>可通过规范规定的全文提示读取名称；键盘焦点不被截断容器遮挡。</t>
  </si>
  <si>
    <t>UI-W2-01-2-3</t>
  </si>
  <si>
    <t>将表格向右滚动到最末列，再向左滚回。</t>
  </si>
  <si>
    <t>左侧勾选/识别列、右侧操作列固定且内容完整；主体列未覆盖固定列。</t>
  </si>
  <si>
    <t>UI-W2-01-2-4</t>
  </si>
  <si>
    <t>分别在1440和1024宽度下重复横向滚动。</t>
  </si>
  <si>
    <t>滚动发生在表格容器内部；页面不产生额外横向溢出，操作按钮仍可达。</t>
  </si>
  <si>
    <t>UI-W2-02-1-1</t>
  </si>
  <si>
    <t>进入服务单元列表，查看未选中时的顶部工具栏。</t>
  </si>
  <si>
    <t>默认工具栏可见，批量栏未出现，3行均未选中。</t>
  </si>
  <si>
    <t>RV17/RV18</t>
  </si>
  <si>
    <t>UI-W2-02-1-2</t>
  </si>
  <si>
    <t>勾选第1条记录，查看批量栏及整行背景。</t>
  </si>
  <si>
    <t>表格顶部显示已选择1项；主体和固定列的选中背景一致。</t>
  </si>
  <si>
    <t>UI-W2-02-1-3</t>
  </si>
  <si>
    <t>点击表头全选，再取消其中1行。</t>
  </si>
  <si>
    <t>3行全选后显示已选择3项；取消1行后显示已选择2项，表头呈半选态，行勾选与数量对应。</t>
  </si>
  <si>
    <t>UI-W2-02-1-4</t>
  </si>
  <si>
    <t>点击取消选择。</t>
  </si>
  <si>
    <t>3行勾选及选中背景清空，批量栏消失，默认工具栏恢复。</t>
  </si>
  <si>
    <t>UI-W2-02-2-1</t>
  </si>
  <si>
    <t>选中混合状态记录，查看批量按钮及禁用说明。</t>
  </si>
  <si>
    <t>按钮按批准策略显示可用状态；不可操作项的原因可理解，不只用颜色区分。</t>
  </si>
  <si>
    <t>阶段共识19/规范7.3</t>
  </si>
  <si>
    <t>UI-W2-02-2-2</t>
  </si>
  <si>
    <t>切换到下一页并修改筛选条件，查看选中对象与数量。</t>
  </si>
  <si>
    <t>跨页和筛选后的保留/清空表现符合已批准策略；数量与可操作对象范围一致。</t>
  </si>
  <si>
    <t>UI-W2-02-2-3</t>
  </si>
  <si>
    <t>打开批量操作确认，核对对象范围后用前端样例返回部分失败。</t>
  </si>
  <si>
    <t>确认展示的范围与勾选一致；结果分别说明成功数和失败数，不把部分失败报成全部成功。</t>
  </si>
  <si>
    <t>UI-W2-02-2-4</t>
  </si>
  <si>
    <t>定位失败记录，取消选择或按提供入口重试。</t>
  </si>
  <si>
    <t>失败对象及原因可定位；结束后按钮解除loading，用户能清空选择或继续处理。</t>
  </si>
  <si>
    <t>UI-W2-03-1-1</t>
  </si>
  <si>
    <t>从列表点击“新增服务单元”，查看容器、标题和字段组。</t>
  </si>
  <si>
    <t>承载方式与批准稿一致；标题明确为新增，必填/可选字段及分组清楚。</t>
  </si>
  <si>
    <t>RV06/规范内容承载决策</t>
  </si>
  <si>
    <t>UI-W2-03-1-2</t>
  </si>
  <si>
    <t>滚动到末尾，再返回顶部，查看保存/取消入口。</t>
  </si>
  <si>
    <t>操作区按该容器规范固定或可达；长表单不需要嵌套多层弹窗。</t>
  </si>
  <si>
    <t>UI-W2-03-1-3</t>
  </si>
  <si>
    <t>取消新增，打开已有记录的“编辑”。</t>
  </si>
  <si>
    <t>回到原列表后可打开编辑；标题明确为编辑，回显字段与当前对象一致。</t>
  </si>
  <si>
    <t>UI-W2-03-1-4</t>
  </si>
  <si>
    <t>比较新增和编辑的公共字段、帮助文字与主操作位置。</t>
  </si>
  <si>
    <t>相同含义的字段、控件和文案保持一致；只读字段有明确展示，不伪装为可输入。</t>
  </si>
  <si>
    <t>UI-W2-03-2-1</t>
  </si>
  <si>
    <t>打开新增表单，清空一个必填字段，点击“保存”。</t>
  </si>
  <si>
    <t>相关字段下显示明确必填提示；表单仍保留，错误不会遮盖下一字段或操作区。</t>
  </si>
  <si>
    <t>规范5.7/阶段共识22</t>
  </si>
  <si>
    <t>UI-W2-03-2-2</t>
  </si>
  <si>
    <t>修正该字段，分别输入L-1、L和L+1字符，检查计数及超限反馈。</t>
  </si>
  <si>
    <t>有效长度按批准规则可输入；超限被限制或明确提示，具体表现与PRD一致，文本不撑破布局。</t>
  </si>
  <si>
    <t>UI-W2-03-2-3</t>
  </si>
  <si>
    <t>填写其他重要输入，再点击“取消”或浏览器返回。</t>
  </si>
  <si>
    <t>离开行为按已确认策略处理；如设计要求确认，明确提供离开/继续编辑两个动作。</t>
  </si>
  <si>
    <t>UI-W2-03-2-4</t>
  </si>
  <si>
    <t>按批准策略选择保留编辑或确认离开，再次进入该表单。</t>
  </si>
  <si>
    <t>保留编辑时内容不丢失；确认离开后的重入内容符合批准策略，不把旧对象输入带入新对象。</t>
  </si>
  <si>
    <t>UI-W2-04-1-1</t>
  </si>
  <si>
    <t>从服务单元列表打开一条详情，查看容器和标题。</t>
  </si>
  <si>
    <t>采用本入口已裁决的承载方式；标题及对象标识清楚，没有同时出现两套冲突入口。</t>
  </si>
  <si>
    <t>RV07/RV22</t>
  </si>
  <si>
    <t>UI-W2-04-1-2</t>
  </si>
  <si>
    <t>逐组查看字段、状态及关联信息。</t>
  </si>
  <si>
    <t>只读信息按分组展示；只读值不显示误导性输入框、保存按钮或可编辑暗示。</t>
  </si>
  <si>
    <t>UI-W2-04-1-3</t>
  </si>
  <si>
    <t>使用详情提供的关闭/返回入口回到列表。</t>
  </si>
  <si>
    <t>返回原列表上下文；筛选、定位及滚动的表现符合批准设计，不跳到无关页面。</t>
  </si>
  <si>
    <t>UI-W2-04-2-1</t>
  </si>
  <si>
    <t>打开记录A详情，查看空值、长地址和长备注。</t>
  </si>
  <si>
    <t>空值按批准口径显示；超过规范行数的长文本提供展开，未无提示丢失内容。</t>
  </si>
  <si>
    <t>规范5.11、9.1、9.4</t>
  </si>
  <si>
    <t>UI-W2-04-2-2</t>
  </si>
  <si>
    <t>展开长文本，滚动到末尾，再收起。</t>
  </si>
  <si>
    <t>可完整阅读内容；标题/操作及内容滚动关系符合批准容器，不出现叠层遮挡。</t>
  </si>
  <si>
    <t>UI-W2-04-2-3</t>
  </si>
  <si>
    <t>关闭A详情，立即打开记录B。</t>
  </si>
  <si>
    <t>标题、状态、字段值和关联信息均属于B；不短暂或持续显示A的旧详情。</t>
  </si>
  <si>
    <t>UI-W2-04-2-4</t>
  </si>
  <si>
    <t>关闭B详情，查看列表当前定位。</t>
  </si>
  <si>
    <t>列表上下文按批准稿保留，仍能定位刚查看的对象。</t>
  </si>
  <si>
    <t>UI-W2-05-1-1</t>
  </si>
  <si>
    <t>打开禁用确认，阅读图标、标题、对象名称和影响说明。</t>
  </si>
  <si>
    <t>采用批准的风险语义；对象和影响具体可读，不混用不可恢复删除文案。</t>
  </si>
  <si>
    <t>RV09/规范7.3</t>
  </si>
  <si>
    <t>UI-W2-05-1-2</t>
  </si>
  <si>
    <t>点击“取消”，返回列表查看当前记录。</t>
  </si>
  <si>
    <t>确认关闭；页面状态标签与按钮未提前改变。</t>
  </si>
  <si>
    <t>UI-W2-05-1-3</t>
  </si>
  <si>
    <t>打开启用确认，对比标题、影响说明及确认按钮。</t>
  </si>
  <si>
    <t>启用与禁用的动作语义明确不同，确认对象准确；按钮名称能说明将执行的动作。</t>
  </si>
  <si>
    <t>UI-W2-05-1-4</t>
  </si>
  <si>
    <t>关闭确认，再次打开同一动作。</t>
  </si>
  <si>
    <t>再次打开时为当前对象和当前动作，不残留上一次另一动作的文案。</t>
  </si>
  <si>
    <t>UI-W2-05-2-1</t>
  </si>
  <si>
    <t>打开启停确认，选用“被引用不可操作”样例并确认。</t>
  </si>
  <si>
    <t>出现明确的引用限制原因；未成功前列表不显示为已完成目标状态。</t>
  </si>
  <si>
    <t>阶段共识19/PRD业务规则另测</t>
  </si>
  <si>
    <t>UI-W2-05-2-2</t>
  </si>
  <si>
    <t>关闭错误提示，切换“状态已被其他用户改变”样例再次操作。</t>
  </si>
  <si>
    <t>提示当前对象状态已变化，并提供刷新/返回等批准的后续动作。</t>
  </si>
  <si>
    <t>UI-W2-05-2-3</t>
  </si>
  <si>
    <t>切换并发冲突样例，检查确认按钮结束状态。</t>
  </si>
  <si>
    <t>冲突说明可理解；loading结束，按钮可按批准路径重新操作。</t>
  </si>
  <si>
    <t>UI-W2-05-2-4</t>
  </si>
  <si>
    <t>返回列表并重新打开详情或确认。</t>
  </si>
  <si>
    <t>对象和状态呈现一致，没有遗留遮罩、失效按钮或错误成功提示。</t>
  </si>
  <si>
    <t>UI-W2-07-1-1</t>
  </si>
  <si>
    <t>进入服务组合列表，查看页头、筛选区、状态及主操作。</t>
  </si>
  <si>
    <t>布局层级与同类列表一致；仅显示实际需要的筛选字段，状态有文字含义。</t>
  </si>
  <si>
    <t>RV12-RV19</t>
  </si>
  <si>
    <t>UI-W2-07-1-2</t>
  </si>
  <si>
    <t>点击一条记录的详情链接。</t>
  </si>
  <si>
    <t>详情入口可发现且可点击；打开所选服务组合，标题和对象标识一致。</t>
  </si>
  <si>
    <t>UI-W2-07-1-3</t>
  </si>
  <si>
    <t>返回列表，切换状态筛选并观察刷新。</t>
  </si>
  <si>
    <t>返回和筛选操作有可见反馈，当前菜单及列表工具栏归属未发生错位。</t>
  </si>
  <si>
    <t>UI-W2-07-2-1</t>
  </si>
  <si>
    <t>切换0条样例，并分别展示首次无数据与筛选无结果。</t>
  </si>
  <si>
    <t>两种空态使用相应说明和操作引导；不能统一显示为相同原因。</t>
  </si>
  <si>
    <t>RV15/规范7.2</t>
  </si>
  <si>
    <t>UI-W2-07-2-2</t>
  </si>
  <si>
    <t>依次切换1、N及N+1条样例，查看总数与页码。</t>
  </si>
  <si>
    <t>总数对应样例；N+1条可进入第二页，末页条数与总数可对应。</t>
  </si>
  <si>
    <t>UI-W2-07-2-3</t>
  </si>
  <si>
    <t>进入末页，查看行操作与分页条。</t>
  </si>
  <si>
    <t>末页记录不足N条时布局正常，行操作及分页入口仍可点击。</t>
  </si>
  <si>
    <t>UI-W2-07-2-4</t>
  </si>
  <si>
    <t>通过前端样例使当前末页变为空，观察页码恢复。</t>
  </si>
  <si>
    <t>不会停在无法返回的空末页；按批准策略退回可用页，页码与总数一致。</t>
  </si>
  <si>
    <t>UI-W2-08-1-1</t>
  </si>
  <si>
    <t>打开新增服务组合，查看分组、必填标识和关联入口。</t>
  </si>
  <si>
    <t>组合字段与关联关系分层清楚，新增对象及主操作明确。</t>
  </si>
  <si>
    <t>规范5.7/内容承载决策</t>
  </si>
  <si>
    <t>UI-W2-08-1-2</t>
  </si>
  <si>
    <t>展开服务单元选择，搜索并勾选一条候选项。</t>
  </si>
  <si>
    <t>搜索及选中状态清楚；当前选择与候选项对应，没有重复弹出容器。</t>
  </si>
  <si>
    <t>UI-W2-08-1-3</t>
  </si>
  <si>
    <t>点击选择区“确认”，返回表单查看关联信息。</t>
  </si>
  <si>
    <t>返回原表单编辑上下文；显示确认的对象，其他已录内容保留。</t>
  </si>
  <si>
    <t>UI-W2-08-1-4</t>
  </si>
  <si>
    <t>取消表单，再打开已有组合编辑。</t>
  </si>
  <si>
    <t>新增与编辑对象区分；已有组合的关联项回显正确，未提交的新建选择不串入已有组合。</t>
  </si>
  <si>
    <t>UI-W2-08-2-1</t>
  </si>
  <si>
    <t>打开无候选样例的关联选择区。</t>
  </si>
  <si>
    <t>显示无可选项说明，不伪装成加载中，也不允许无意义确认。</t>
  </si>
  <si>
    <t>阶段共识13、19</t>
  </si>
  <si>
    <t>UI-W2-08-2-2</t>
  </si>
  <si>
    <t>切换多候选样例，选择多个长名称对象，查看已选区。</t>
  </si>
  <si>
    <t>名称可完整查看，已选项和计数一致；删除/确认入口未被文本挤出。</t>
  </si>
  <si>
    <t>UI-W2-08-2-3</t>
  </si>
  <si>
    <t>将一条候选或已选对象切换为失效样例。</t>
  </si>
  <si>
    <t>失效状态有文字或说明；是否允许保留/替换按批准规则呈现。</t>
  </si>
  <si>
    <t>UI-W2-08-2-4</t>
  </si>
  <si>
    <t>取消本次选择，重新打开选择区。</t>
  </si>
  <si>
    <t>未确认的改动按批准策略撤销；表单上原有已确认关联未被误清除。</t>
  </si>
  <si>
    <t>UI-W2-09-1-1</t>
  </si>
  <si>
    <t>从服务组合打开历史版本，选择其中一个版本查看详情。</t>
  </si>
  <si>
    <t>抽屉内由版本列表切换为所选版本详情；顶部有明确返回入口和版本标识。</t>
  </si>
  <si>
    <t>RV08/规范5.11</t>
  </si>
  <si>
    <t>UI-W2-09-1-2</t>
  </si>
  <si>
    <t>查看快照字段分组和只读状态。</t>
  </si>
  <si>
    <t>版本信息按组展示，当前/历史语义清楚，没有可修改历史的误导性控件。</t>
  </si>
  <si>
    <t>UI-W2-09-1-3</t>
  </si>
  <si>
    <t>点击抽屉内部“返回”。</t>
  </si>
  <si>
    <t>回到历史版本列表，仍能识别刚查看版本；不直接关闭整个历史容器。</t>
  </si>
  <si>
    <t>UI-W2-09-1-4</t>
  </si>
  <si>
    <t>关闭抽屉，返回服务组合列表。</t>
  </si>
  <si>
    <t>回到原列表上下文，不出现残留遮罩或丢失当前对象定位。</t>
  </si>
  <si>
    <t>UI-W2-09-2-1</t>
  </si>
  <si>
    <t>打开无历史样例。</t>
  </si>
  <si>
    <t>显示无历史版本的空态，不显示空白详情或误导性保存按钮。</t>
  </si>
  <si>
    <t>RV08/规范7.2、9.4</t>
  </si>
  <si>
    <t>UI-W2-09-2-2</t>
  </si>
  <si>
    <t>切换单版本和多版本样例，查看当前/历史标识。</t>
  </si>
  <si>
    <t>版本列表可区分当前和历史，版本信息与所选对象一致。</t>
  </si>
  <si>
    <t>UI-W2-09-2-3</t>
  </si>
  <si>
    <t>打开长快照，展开超长字段并滚动到末尾。</t>
  </si>
  <si>
    <t>字段可完整阅读，内容不会撑破抽屉；返回/关闭入口可达。</t>
  </si>
  <si>
    <t>UI-W2-09-2-4</t>
  </si>
  <si>
    <t>关闭后重新打开历史列表，再进入另一个版本。</t>
  </si>
  <si>
    <t>无上一次展开内容或对象残留；当前版本详情与新选择一致。</t>
  </si>
  <si>
    <t>UI-W2-10-1-1</t>
  </si>
  <si>
    <t>在服务组合列表点击该记录“删除”。</t>
  </si>
  <si>
    <t>打开危险确认，显示正确对象名称、风险图标及不可恢复影响说明。</t>
  </si>
  <si>
    <t>规范7.3、8.2</t>
  </si>
  <si>
    <t>UI-W2-10-1-2</t>
  </si>
  <si>
    <t>检查“取消”和“确认删除”的位置与文案。</t>
  </si>
  <si>
    <t>取消在左、确认在右，确认按钮动作明确；不使用含糊“确定”掩盖删除含义。</t>
  </si>
  <si>
    <t>UI-W2-10-1-3</t>
  </si>
  <si>
    <t>点击“取消”，查看记录和列表上下文。</t>
  </si>
  <si>
    <t>确认关闭；记录仍在，列表定位保留，未出现删除成功提示。</t>
  </si>
  <si>
    <t>UI-W2-10-2-1</t>
  </si>
  <si>
    <t>打开删除确认，用“存在引用”前端样例返回失败。</t>
  </si>
  <si>
    <t>提示引用导致不可删除的具体原因；当前记录不提前从列表消失。</t>
  </si>
  <si>
    <t>阶段共识19</t>
  </si>
  <si>
    <t>UI-W2-10-2-2</t>
  </si>
  <si>
    <t>切换“已被他人删除”或409样例再次操作。</t>
  </si>
  <si>
    <t>提示对象已变化，给出刷新/返回入口；没有叠加多个错误弹窗。</t>
  </si>
  <si>
    <t>UI-W2-10-2-3</t>
  </si>
  <si>
    <t>切换超时样例，观察loading结束后确认按钮与遮罩。</t>
  </si>
  <si>
    <t>超时原因及下一步清楚；loading结束后可取消或按批准策略重试，遮罩不永久锁住。</t>
  </si>
  <si>
    <t>UI-W2-10-2-4</t>
  </si>
  <si>
    <t>关闭失败提示并返回列表。</t>
  </si>
  <si>
    <t>筛选和定位保留；失败未被显示为成功，用户可继续选择其他记录。</t>
  </si>
  <si>
    <t>UI-W2-11-1-1</t>
  </si>
  <si>
    <t>进入策略列表，查看当前菜单及记录名称、状态。</t>
  </si>
  <si>
    <t>菜单、页头及策略名称对应，关键状态可见且兼有文字。</t>
  </si>
  <si>
    <t>规范6.1、6.2</t>
  </si>
  <si>
    <t>UI-W2-11-1-2</t>
  </si>
  <si>
    <t>点击记录详情，查看名称、状态和条件组。</t>
  </si>
  <si>
    <t>打开同一策略；列表与详情的可见名称/状态一致，条件按组可读。</t>
  </si>
  <si>
    <t>UI-W2-11-1-3</t>
  </si>
  <si>
    <t>关闭或返回详情。</t>
  </si>
  <si>
    <t>回到原策略列表，能定位刚查看的记录，当前导航未跳到无关模块。</t>
  </si>
  <si>
    <t>UI-W2-11-2-1</t>
  </si>
  <si>
    <t>展示长策略名和多条件样例，查看列表及详情。</t>
  </si>
  <si>
    <t>省略文本有全文读取入口；详情长内容可展开，不遮挡操作区。</t>
  </si>
  <si>
    <t>规范7.3、9.4</t>
  </si>
  <si>
    <t>UI-W2-11-2-2</t>
  </si>
  <si>
    <t>将页面或详情切换为无权限样例。</t>
  </si>
  <si>
    <t>出现无权限说明；不以“暂无数据”掩盖权限原因，受限内容按批准策略隐藏。</t>
  </si>
  <si>
    <t>UI-W2-11-2-3</t>
  </si>
  <si>
    <t>点击允许的返回入口，回到有权限区域。</t>
  </si>
  <si>
    <t>返回路径可用，未形成反复跳回无权限页的循环。</t>
  </si>
  <si>
    <t>UI-W2-12-1-1</t>
  </si>
  <si>
    <t>进入成本价卡列表，查看有效期、状态、币种及页头。</t>
  </si>
  <si>
    <t>日期范围、状态文字及币种单位可识别；主操作属于当前价卡列表。</t>
  </si>
  <si>
    <t>RV13-RV18</t>
  </si>
  <si>
    <t>UI-W2-12-1-2</t>
  </si>
  <si>
    <t>选择批准的有效期/状态条件，点击“查询”。</t>
  </si>
  <si>
    <t>有局部刷新反馈；条件和样例结果可对应，分页与工具栏保持一致。</t>
  </si>
  <si>
    <t>UI-W2-12-1-3</t>
  </si>
  <si>
    <t>切换为无匹配条件，查看空态，再点击“重置”。</t>
  </si>
  <si>
    <t>无匹配说明及清空引导清楚；重置恢复初始筛选与样例列表。</t>
  </si>
  <si>
    <t>UI-W2-12-2-1</t>
  </si>
  <si>
    <t>打开宽表，查看金额0值、空值及币种单位。</t>
  </si>
  <si>
    <t>0与空值按批准口径分别显示；币种/单位保留，金额采用批准精度且右对齐。</t>
  </si>
  <si>
    <t>规范4.5、9.1-9.4</t>
  </si>
  <si>
    <t>UI-W2-12-2-2</t>
  </si>
  <si>
    <t>查看极大金额和长价卡名称，悬停省略文本。</t>
  </si>
  <si>
    <t>数值不与相邻列重叠；长名称可读全文，禁止为了容纳数值擅自改变业务精度。</t>
  </si>
  <si>
    <t>UI-W2-12-2-3</t>
  </si>
  <si>
    <t>水平滚动到末列，点击或聚焦行操作。</t>
  </si>
  <si>
    <t>业务识别及操作列固定且完整；主体单元格不覆盖固定列，行操作可达。</t>
  </si>
  <si>
    <t>UI-W2-13-1-1</t>
  </si>
  <si>
    <t>打开新增价卡，查看头信息字段、必填和帮助文字。</t>
  </si>
  <si>
    <t>字段按批准分组展示；必填、币种/单位及必要业务说明清楚。</t>
  </si>
  <si>
    <t>规范5.7/阶段共识17</t>
  </si>
  <si>
    <t>UI-W2-13-1-2</t>
  </si>
  <si>
    <t>滚动表单并查看保存/取消位置。</t>
  </si>
  <si>
    <t>字段及底部操作区可达；输入框32px，字段标签与控件关系清晰。</t>
  </si>
  <si>
    <t>UI-W2-13-1-3</t>
  </si>
  <si>
    <t>取消新增，打开已有价卡编辑。</t>
  </si>
  <si>
    <t>标题明确为编辑；回显当前价卡头信息，只读/禁用字段有明确视觉区别。</t>
  </si>
  <si>
    <t>UI-W2-13-2-1</t>
  </si>
  <si>
    <t>未选必填日期点击保存。</t>
  </si>
  <si>
    <t>日期字段下显示就地错误，标签和相邻控件未被提示遮挡，已有输入保留。</t>
  </si>
  <si>
    <t>规范5.3日期选择限制；5.7字段提示；7.3 topMRc</t>
  </si>
  <si>
    <t>UI-W2-13-2-2</t>
  </si>
  <si>
    <t>尝试选择结束日期早于开始日期；如支持文本输入，再输入该倒置范围。</t>
  </si>
  <si>
    <t>选择器按5.3限制倒置日期；文本倒置输入触发当前日期范围的错误提示，不能仅显示笼统系统失败。同日是否合法另由原功能用例判定。</t>
  </si>
  <si>
    <t>UI-W2-13-2-3</t>
  </si>
  <si>
    <t>修正日期，填入接近已确认长度上限L的名称，返回提交失败样例。</t>
  </si>
  <si>
    <t>保存中显示loading；失败后Toast说明错误并保留日期/名称，按钮解除loading，可重试或取消。</t>
  </si>
  <si>
    <t>UI-W2-13-2-4</t>
  </si>
  <si>
    <t>修正错误后重新查看字段。</t>
  </si>
  <si>
    <t>已修正字段不残留旧错误，表单不因失败变为无输入；此用例只验证错误呈现和恢复。</t>
  </si>
  <si>
    <t>UI-W2-14-1-1</t>
  </si>
  <si>
    <t>打开价卡计费明细字段配置区。</t>
  </si>
  <si>
    <t>配置入口、字段名称、单位及当前启用状态清楚，配置对象属于当前价卡。</t>
  </si>
  <si>
    <t>规范5.8/排期18行</t>
  </si>
  <si>
    <t>UI-W2-14-1-2</t>
  </si>
  <si>
    <t>显示一个可配置列，查看明细表预览。</t>
  </si>
  <si>
    <t>预览中出现对应列，列名/单位与配置一致；不会展示成另一个业务字段。</t>
  </si>
  <si>
    <t>UI-W2-14-1-3</t>
  </si>
  <si>
    <t>隐藏该列，再查看只读字段。</t>
  </si>
  <si>
    <t>预览按配置恢复；只读字段不显示可编辑暗示，不允许误操作。</t>
  </si>
  <si>
    <t>UI-W2-14-2-1</t>
  </si>
  <si>
    <t>打开多字段明细，查看长列名与单位。</t>
  </si>
  <si>
    <t>表头和数据区有清楚边界；长标题按批准方式可完整读取，不覆盖首行数据。</t>
  </si>
  <si>
    <t>RV16/规范9.4</t>
  </si>
  <si>
    <t>UI-W2-14-2-2</t>
  </si>
  <si>
    <t>水平滚动到首列和末列，查看业务标识及操作。</t>
  </si>
  <si>
    <t>滚动锚点与固定列完整，编辑/操作入口未被宽表遮挡。</t>
  </si>
  <si>
    <t>UI-W2-14-2-3</t>
  </si>
  <si>
    <t>切换为无可配置字段样例，打开配置区。</t>
  </si>
  <si>
    <t>显示明确无可配置项说明，不展示空白选择器或可提交的无意义操作。</t>
  </si>
  <si>
    <t>UI-W2-15-1-1</t>
  </si>
  <si>
    <t>点击可编辑单元格，查看编辑态。</t>
  </si>
  <si>
    <t>按批准方式进入编辑；原值和编辑边界清楚，非编辑单元格保持原布局。</t>
  </si>
  <si>
    <t>RV03 修改中</t>
  </si>
  <si>
    <t>UI-W2-15-1-2</t>
  </si>
  <si>
    <t>输入无效样例，执行批准的确认动作。</t>
  </si>
  <si>
    <t>字段/单元格内显示可定位错误；错误不会挤乱行高或覆盖相邻行。</t>
  </si>
  <si>
    <t>UI-W2-15-1-3</t>
  </si>
  <si>
    <t>修正输入，返回保存中及成功样例。</t>
  </si>
  <si>
    <t>保存中显示loading及禁用反馈；成功后退出编辑态并显示确认值。</t>
  </si>
  <si>
    <t>UI-W2-15-1-4</t>
  </si>
  <si>
    <t>再次编辑后执行取消，再用批准键盘操作重复确认/取消。</t>
  </si>
  <si>
    <t>取消回到原确认值；键位行为、焦点与单元格切换按批准规范一致。</t>
  </si>
  <si>
    <t>UI-W2-15-2-1</t>
  </si>
  <si>
    <t>连续编辑两行，分别输入明显不同的未保存值。</t>
  </si>
  <si>
    <t>各行的编辑对象和未保存值可区分，不串行、不覆盖另一行输入。</t>
  </si>
  <si>
    <t>RV03/阶段共识19</t>
  </si>
  <si>
    <t>UI-W2-15-2-2</t>
  </si>
  <si>
    <t>对第一行返回保存失败，对第二行返回并发冲突。</t>
  </si>
  <si>
    <t>失败/冲突各自定位到行和字段；提示不会把两行合并成一个无法定位的错误。</t>
  </si>
  <si>
    <t>UI-W2-15-2-3</t>
  </si>
  <si>
    <t>修正第一行，按提供入口重试，查看第二行。</t>
  </si>
  <si>
    <t>第一行反馈单独恢复；第二行未处理的冲突仍可识别，输入按批准策略保留。</t>
  </si>
  <si>
    <t>UI-W2-15-2-4</t>
  </si>
  <si>
    <t>尝试切页或离开编辑区。</t>
  </si>
  <si>
    <t>未保存内容按批准策略确认或恢复；不能静默吞掉未处理输入。</t>
  </si>
  <si>
    <t>UI-W2-16-1-1</t>
  </si>
  <si>
    <t>打开起点分区选择，搜索并勾选一项。</t>
  </si>
  <si>
    <t>标题及当前字段明确为起点；搜索结果、选中状态及数量一致。</t>
  </si>
  <si>
    <t>规范5.3、5.5</t>
  </si>
  <si>
    <t>UI-W2-16-1-2</t>
  </si>
  <si>
    <t>确认选择，回到价卡查看起点字段。</t>
  </si>
  <si>
    <t>显示确认对象，回到原价卡；其他已录内容保留，无重复选中标签。</t>
  </si>
  <si>
    <t>UI-W2-16-1-3</t>
  </si>
  <si>
    <t>打开终点选择，改变选择后取消。</t>
  </si>
  <si>
    <t>明确为终点选择；取消按批准策略保留原终点，不能误改起点。</t>
  </si>
  <si>
    <t>UI-W2-16-2-1</t>
  </si>
  <si>
    <t>打开多层级长名称样例，展开节点并滚动。</t>
  </si>
  <si>
    <t>层级与缩进清楚，长名称可完整阅读；选中节点和确认入口可达。</t>
  </si>
  <si>
    <t>UI-W2-16-2-2</t>
  </si>
  <si>
    <t>输入无匹配关键词。</t>
  </si>
  <si>
    <t>显示搜索无结果及清空引导，已选项的保留表现按批准策略清楚呈现。</t>
  </si>
  <si>
    <t>UI-W2-16-2-3</t>
  </si>
  <si>
    <t>切换加载失败样例，再按重试入口恢复候选。</t>
  </si>
  <si>
    <t>失败有原因和重试入口；重试作用于候选区域，不误清空整个价卡。</t>
  </si>
  <si>
    <t>UI-W2-16-2-4</t>
  </si>
  <si>
    <t>切换一项已选分区为失效状态。</t>
  </si>
  <si>
    <t>失效状态和可采取动作有说明；不悄悄显示成有效候选。</t>
  </si>
  <si>
    <t>UI-W2-17-1-1</t>
  </si>
  <si>
    <t>进入批量生成，查看五个步骤名称和当前步。</t>
  </si>
  <si>
    <t>名称和顺序与批准稿一致；当前步明确，未完成步骤不呈现为已成功。</t>
  </si>
  <si>
    <t>排期21行 原型待确认</t>
  </si>
  <si>
    <t>UI-W2-17-1-2</t>
  </si>
  <si>
    <t>第一步保留必填为空，点击“下一步”。</t>
  </si>
  <si>
    <t>停在当前步，就地提示必填；不能在错误状态进入下一步。</t>
  </si>
  <si>
    <t>UI-W2-17-1-3</t>
  </si>
  <si>
    <t>填有效样例进入下一步，再点击“上一步”。</t>
  </si>
  <si>
    <t>按批准规则前进/返回；已录信息回显，用户无需重复填写。</t>
  </si>
  <si>
    <t>UI-W2-17-1-4</t>
  </si>
  <si>
    <t>逐步进入确认页，查看汇总和最终动作。</t>
  </si>
  <si>
    <t>确认页能说明生成对象和范围；最终动作与普通下一步明显区分，不核验生成算法。</t>
  </si>
  <si>
    <t>UI-W2-17-2-1</t>
  </si>
  <si>
    <t>进入生成中样例，查看进度、对象数量和停止入口。</t>
  </si>
  <si>
    <t>进度及任务对象清楚，状态不是只有无说明的转圈；停止入口可达。</t>
  </si>
  <si>
    <t>规范7.1/阶段共识19</t>
  </si>
  <si>
    <t>UI-W2-17-2-2</t>
  </si>
  <si>
    <t>点击停止，用样例返回主动停止状态。</t>
  </si>
  <si>
    <t>显示中性的已停止，不把用户主动停止显示为红色失败。</t>
  </si>
  <si>
    <t>UI-W2-17-2-3</t>
  </si>
  <si>
    <t>重新开始，依次展示部分失败和全部失败。</t>
  </si>
  <si>
    <t>成功/失败数量、对象及原因分别呈现；未完成对象不能误显示为已可用。</t>
  </si>
  <si>
    <t>UI-W2-17-2-4</t>
  </si>
  <si>
    <t>使用失败重试或返回入口。</t>
  </si>
  <si>
    <t>可定位和处理失败项，原任务上下文保留；按钮不会永久停留loading。</t>
  </si>
  <si>
    <t>UI-W2-18-1-1</t>
  </si>
  <si>
    <t>从批准菜单进入计费要素模板列表。</t>
  </si>
  <si>
    <t>入口实际可达，菜单、面包屑与标题一致，无需猜测URL。</t>
  </si>
  <si>
    <t>排期22行 原型待确认</t>
  </si>
  <si>
    <t>UI-W2-18-1-2</t>
  </si>
  <si>
    <t>打开新增模板，查看模板说明和字段组。</t>
  </si>
  <si>
    <t>模板用途、必填及适用范围可理解；说明不会占据主要操作区域。</t>
  </si>
  <si>
    <t>UI-W2-18-1-3</t>
  </si>
  <si>
    <t>取消新增，打开已有模板编辑。</t>
  </si>
  <si>
    <t>标题和对象明确为当前模板；新增/编辑公共字段保持一致。</t>
  </si>
  <si>
    <t>UI-W2-18-2-1</t>
  </si>
  <si>
    <t>展示无模板列表。</t>
  </si>
  <si>
    <t>空态说明当前无模板，并提供用户有权限执行的新增引导。</t>
  </si>
  <si>
    <t>规范7.2、9.4</t>
  </si>
  <si>
    <t>UI-W2-18-2-2</t>
  </si>
  <si>
    <t>展示长模板名和多要素记录，打开详情或编辑。</t>
  </si>
  <si>
    <t>名称可看全文，字段及分组可读；操作不被长文本或要素列表遮挡。</t>
  </si>
  <si>
    <t>UI-W2-18-2-3</t>
  </si>
  <si>
    <t>展示失效模板，查看状态和操作入口。</t>
  </si>
  <si>
    <t>失效及禁用原因有文字说明；允许的下一步明确，不仅改变标签颜色。</t>
  </si>
  <si>
    <t>UI-W2-19-1-1</t>
  </si>
  <si>
    <t>进入导入，查看上传区和四步名称。</t>
  </si>
  <si>
    <t>上传、解析、预览确认、结果的顺序清楚；限制条件在选文件前可见。</t>
  </si>
  <si>
    <t>排期23行 原型/规范2.2、5.6</t>
  </si>
  <si>
    <t>UI-W2-19-1-2</t>
  </si>
  <si>
    <t>选择允许文件，切换解析中及解析完成样例。</t>
  </si>
  <si>
    <t>文件信息及解析反馈明确；AI参与时有生成/建议标识，不冒充已确认数据。</t>
  </si>
  <si>
    <t>UI-W2-19-1-3</t>
  </si>
  <si>
    <t>进入预览确认页，查看来源值、待确认值及确认动作。</t>
  </si>
  <si>
    <t>原始内容与AI建议分层；用户可审核或修改，未确认不展示为已正式导入。</t>
  </si>
  <si>
    <t>UI-W2-19-1-4</t>
  </si>
  <si>
    <t>在确认前取消并重新进入流程。</t>
  </si>
  <si>
    <t>取消路径清楚；返回或重入状态按批准策略呈现，不遗留上一文件的未确认结果。</t>
  </si>
  <si>
    <t>UI-W2-19-2-1</t>
  </si>
  <si>
    <t>依次选择大小B-1、B及B+1的允许格式文件。</t>
  </si>
  <si>
    <t>不超限文件可进入上传列表；超限文件明确指出大小原因，未被显示为可正常继续。</t>
  </si>
  <si>
    <t>规范5.6/阶段共识22</t>
  </si>
  <si>
    <t>UI-W2-19-2-2</t>
  </si>
  <si>
    <t>选择0字节、错误格式及超K个文件。</t>
  </si>
  <si>
    <t>分别指出空文件、格式及数量原因；无效项与可用项可区分。</t>
  </si>
  <si>
    <t>UI-W2-19-2-3</t>
  </si>
  <si>
    <t>切换解析失败或行级错误样例，查看结果区。</t>
  </si>
  <si>
    <t>错误定位到文件或行；有效/无效内容分开，有明确重试/修正入口。</t>
  </si>
  <si>
    <t>UI-W2-19-2-4</t>
  </si>
  <si>
    <t>取消、重选文件或在超时后重试。</t>
  </si>
  <si>
    <t>保留必要上传上下文；取消与失败语义不同，loading解除，不把空文件或失败报成成功。</t>
  </si>
  <si>
    <t>UI-W2-20-1-1</t>
  </si>
  <si>
    <t>从批准入口打开高级复制，查看来源/目标范围。</t>
  </si>
  <si>
    <t>来源和目标标签清楚，当前操作的价卡及范围可识别，不依赖说明才能区分方向。</t>
  </si>
  <si>
    <t>排期24行 无入口</t>
  </si>
  <si>
    <t>UI-W2-20-1-2</t>
  </si>
  <si>
    <t>选择来源与目标，打开复制预览。</t>
  </si>
  <si>
    <t>预览明确本次将处理的对象和范围；没有在用户确认前显示为复制成功。</t>
  </si>
  <si>
    <t>UI-W2-20-1-3</t>
  </si>
  <si>
    <t>打开覆盖确认，阅读风险文案与按钮。</t>
  </si>
  <si>
    <t>覆盖已有内容的风险明确，确认与普通复制的动作有区别。</t>
  </si>
  <si>
    <t>UI-W2-20-1-4</t>
  </si>
  <si>
    <t>点击“取消”，返回范围选择区。</t>
  </si>
  <si>
    <t>范围选择按批准策略保留，用户可以调整；不出现覆盖完成提示。</t>
  </si>
  <si>
    <t>UI-W2-20-2-1</t>
  </si>
  <si>
    <t>不选择来源或目标，尝试进入预览/确认。</t>
  </si>
  <si>
    <t>按批准策略禁用操作或就地提示缺少范围，不能给出虚假可执行预览。</t>
  </si>
  <si>
    <t>阶段共识12、19</t>
  </si>
  <si>
    <t>UI-W2-20-2-2</t>
  </si>
  <si>
    <t>切换空目标及有已有内容目标，查看提示变化。</t>
  </si>
  <si>
    <t>当前目标状态与风险说明对应，不残留另一个目标的覆盖提示。</t>
  </si>
  <si>
    <t>UI-W2-20-2-3</t>
  </si>
  <si>
    <t>返回冲突样例，查看错误位置及结束状态。</t>
  </si>
  <si>
    <t>冲突原因清楚，提示不遮挡范围；操作解除loading，失败未显示成成功。</t>
  </si>
  <si>
    <t>UI-W2-20-2-4</t>
  </si>
  <si>
    <t>修正选择或按重试入口重新预览。</t>
  </si>
  <si>
    <t>之前选择按批准策略保留；预览使用修正后的对象，没有旧范围残留。</t>
  </si>
  <si>
    <t>UI-W2-21-1-1</t>
  </si>
  <si>
    <t>从价卡批准入口进入校验，查看结果摘要。</t>
  </si>
  <si>
    <t>摘要属于当前价卡；错误/警告使用文字及语义色区分，不只用颜色编码。</t>
  </si>
  <si>
    <t>排期25行 无入口</t>
  </si>
  <si>
    <t>UI-W2-21-1-2</t>
  </si>
  <si>
    <t>点击一条问题摘要或定位入口。</t>
  </si>
  <si>
    <t>定位到关联问题行或明细区，能够理解摘要与具体问题的关系。</t>
  </si>
  <si>
    <t>UI-W2-21-1-3</t>
  </si>
  <si>
    <t>从明细返回摘要或价卡编辑区。</t>
  </si>
  <si>
    <t>返回入口明确，用户可继续查其他问题；不丢失当前校验上下文。</t>
  </si>
  <si>
    <t>UI-W2-21-2-1</t>
  </si>
  <si>
    <t>展示0问题样例，再切换为请求失败。</t>
  </si>
  <si>
    <t>0问题显示有效完成结果；请求失败说明尚未完成，不能显示“校验通过”。</t>
  </si>
  <si>
    <t>规范7.2、7.3、9.4</t>
  </si>
  <si>
    <t>UI-W2-21-2-2</t>
  </si>
  <si>
    <t>切换1条及多条结果，分别定位第一条和最后一条。</t>
  </si>
  <si>
    <t>结果数量与样例一致；分页或滚动入口可达，首末问题均能定位。</t>
  </si>
  <si>
    <t>UI-W2-21-2-3</t>
  </si>
  <si>
    <t>展示超长错误内容，展开查看全文。</t>
  </si>
  <si>
    <t>长错误可完整阅读，不覆盖修正、返回或重试入口。</t>
  </si>
  <si>
    <t>UI-W2-21-2-4</t>
  </si>
  <si>
    <t>从失败样例点击重试。</t>
  </si>
  <si>
    <t>有刷新反馈；成功样例可替换错误状态，不残留失效遮罩。</t>
  </si>
  <si>
    <t>UI-W2-22-1-1</t>
  </si>
  <si>
    <t>进入地点与邮编页面，查看当前Tab、列表标题和新增按钮。</t>
  </si>
  <si>
    <t>Tab选中标识与当前内容对应；页头及列表层级清楚。</t>
  </si>
  <si>
    <t>UI-W2-22-1-2</t>
  </si>
  <si>
    <t>点击另一Tab，查看内容区及工具栏。</t>
  </si>
  <si>
    <t>切换同级内容，有对应选中底条；没有用跨模块导航替代Tabs。</t>
  </si>
  <si>
    <t>UI-W2-22-1-3</t>
  </si>
  <si>
    <t>点击当前列表“新增”，查看表单标题后取消。</t>
  </si>
  <si>
    <t>打开当前Tab所对应对象的新增表单；取消返回同一Tab，不误进入另一类新增。</t>
  </si>
  <si>
    <t>UI-W2-22-1-4</t>
  </si>
  <si>
    <t>用方向键或Home/End切换已聚焦的Tabs。</t>
  </si>
  <si>
    <t>键盘切换及焦点按照5.17的批准模式执行，选中Tab与内容始终对应。</t>
  </si>
  <si>
    <t>UI-W2-22-2-1</t>
  </si>
  <si>
    <t>展示长英文地名和邮编“00123”。</t>
  </si>
  <si>
    <t>长地名省略但可读取全文；邮编保留前导零，不能显示为123。</t>
  </si>
  <si>
    <t>规范9.1、9.4</t>
  </si>
  <si>
    <t>UI-W2-22-2-2</t>
  </si>
  <si>
    <t>展示空邮编与包含数字0的邮编，查看字段。</t>
  </si>
  <si>
    <t>空值使用批准的空值表达；文本标识中的0不被误替换为空。</t>
  </si>
  <si>
    <t>UI-W2-22-2-3</t>
  </si>
  <si>
    <t>查询无结果，切换地点/邮编Tab。</t>
  </si>
  <si>
    <t>无结果有清空引导；切换后显示当前Tab的数据或状态，不能残留另一个Tab的结果。</t>
  </si>
  <si>
    <t>UI-W2-23-1-1</t>
  </si>
  <si>
    <t>进入Zone清单，查看名称、类型与详情入口。</t>
  </si>
  <si>
    <t>Zone信息层级清楚，入口与当前对象对应。</t>
  </si>
  <si>
    <t>UI-W2-23-1-2</t>
  </si>
  <si>
    <t>打开详情，查看引用和只读/编辑区域。</t>
  </si>
  <si>
    <t>详情属于所选Zone；引用信息可理解，只读与可编辑内容视觉明确。</t>
  </si>
  <si>
    <t>UI-W2-23-1-3</t>
  </si>
  <si>
    <t>回到原列表上下文，当前筛选/定位按批准设计保留。</t>
  </si>
  <si>
    <t>UI-W2-23-2-1</t>
  </si>
  <si>
    <t>展示大量Zone，翻页或滚动至最后一条。</t>
  </si>
  <si>
    <t>页码/滚动与总数清楚，记录及操作均可达，不产生页面级横向溢出。</t>
  </si>
  <si>
    <t>阶段共识13、22</t>
  </si>
  <si>
    <t>UI-W2-23-2-2</t>
  </si>
  <si>
    <t>查看长名称及空关联记录，读取全文。</t>
  </si>
  <si>
    <t>长名称有全文入口；空关联与实际有关联记录可区分，字段未错位。</t>
  </si>
  <si>
    <t>UI-W2-23-2-3</t>
  </si>
  <si>
    <t>切换加载失败样例，再点击重试。</t>
  </si>
  <si>
    <t>失败有明确说明和重试，不以空清单伪装；恢复后当前对象和选中反馈一致。</t>
  </si>
  <si>
    <t>UI-W2-24-1-1</t>
  </si>
  <si>
    <t>打开地点邮编导入，查看模板说明和文件限制。</t>
  </si>
  <si>
    <t>模板入口可用；格式、大小、数量限制在选择文件前清楚展示。</t>
  </si>
  <si>
    <t>规范5.6</t>
  </si>
  <si>
    <t>UI-W2-24-1-2</t>
  </si>
  <si>
    <t>选择允许文件，查看文件名、大小及移除入口。</t>
  </si>
  <si>
    <t>文件信息可识别，移除/更换动作明确，长文件名不遮挡操作。</t>
  </si>
  <si>
    <t>UI-W2-24-1-3</t>
  </si>
  <si>
    <t>移除该文件，选择另一个文件并进入预览。</t>
  </si>
  <si>
    <t>旧文件从列表消失；预览属于新文件，不残留旧文件内容。</t>
  </si>
  <si>
    <t>UI-W2-24-1-4</t>
  </si>
  <si>
    <t>在正式确认前取消导入。</t>
  </si>
  <si>
    <t>关闭或返回路径清楚；不会把取消显示为导入成功。</t>
  </si>
  <si>
    <t>UI-W2-24-2-1</t>
  </si>
  <si>
    <t>分别选择错扩展、空文件和超B文件。</t>
  </si>
  <si>
    <t>提示指出具体文件及原因；无效文件不会被标成可继续导入。</t>
  </si>
  <si>
    <t>规范5.6、7.3</t>
  </si>
  <si>
    <t>UI-W2-24-2-2</t>
  </si>
  <si>
    <t>选择重复文件，观察文件列表和确认按钮。</t>
  </si>
  <si>
    <t>重复项的保留/拒绝及提示符合批准策略，不允许测试人员任选一种结果判断通过。</t>
  </si>
  <si>
    <t>UI-W2-24-2-3</t>
  </si>
  <si>
    <t>切换部分行错误预览，查看有效行和失败行。</t>
  </si>
  <si>
    <t>错误能定位到文件/行，原因可理解；有效与失败内容分开呈现。</t>
  </si>
  <si>
    <t>UI-W2-24-2-4</t>
  </si>
  <si>
    <t>移除错误文件或修正后重试，查看预览状态。</t>
  </si>
  <si>
    <t>错误状态随修正恢复；上传上下文保留，不出现失效确认按钮或旧错误残留。</t>
  </si>
  <si>
    <t>UI-W2-25-1-1</t>
  </si>
  <si>
    <t>从批准菜单进入邮编组列表。</t>
  </si>
  <si>
    <t>菜单、页头及面包屑对应，页面可通过入口到达。</t>
  </si>
  <si>
    <t>排期29行 无入口</t>
  </si>
  <si>
    <t>UI-W2-25-1-2</t>
  </si>
  <si>
    <t>打开一个组详情，查看组名和成员。</t>
  </si>
  <si>
    <t>组与成员层级清楚，当前操作对象明确，不把成员名称误作组名。</t>
  </si>
  <si>
    <t>UI-W2-25-1-3</t>
  </si>
  <si>
    <t>进入批准的编辑入口，随后取消返回。</t>
  </si>
  <si>
    <t>编辑对象是所选组；取消返回路径清楚，列表和详情上下文未错位。</t>
  </si>
  <si>
    <t>UI-W2-25-2-1</t>
  </si>
  <si>
    <t>依次打开空组和单成员组。</t>
  </si>
  <si>
    <t>空成员有适合该场景的说明/引导；单成员显示完整，数量与内容一致。</t>
  </si>
  <si>
    <t>UI-W2-25-2-2</t>
  </si>
  <si>
    <t>打开长组名及大量成员组，滚动到最后成员。</t>
  </si>
  <si>
    <t>组名可完整查看；成员按批准方式分页或滚动，关闭/保存等操作可达。</t>
  </si>
  <si>
    <t>UI-W2-25-2-3</t>
  </si>
  <si>
    <t>在成员区搜索必定无匹配的值，再清空搜索。</t>
  </si>
  <si>
    <t>无结果与无成员状态分开；清空后恢复对应成员视图，不误清空组数据。</t>
  </si>
  <si>
    <t>UI-W2-26-1-1</t>
  </si>
  <si>
    <t>进入燃油规则列表，查看日期、比例及单位。</t>
  </si>
  <si>
    <t>有效期范围可理解；比例带批准单位和精度，数值右对齐。</t>
  </si>
  <si>
    <t>规范5.8、9.2</t>
  </si>
  <si>
    <t>UI-W2-26-1-2</t>
  </si>
  <si>
    <t>比较启用和停用规则的状态标签与行按钮。</t>
  </si>
  <si>
    <t>状态有文字含义；标签与可执行动作一致，不把停用状态显示成启用动作已完成。</t>
  </si>
  <si>
    <t>UI-W2-26-1-3</t>
  </si>
  <si>
    <t>查看操作列及长规则名。</t>
  </si>
  <si>
    <t>操作列按规范左对齐且间距16px；长名称省略时可读取全文。</t>
  </si>
  <si>
    <t>UI-W2-26-2-1</t>
  </si>
  <si>
    <t>展示0比例和空比例记录。</t>
  </si>
  <si>
    <t>0按数值口径显示；空用批准的空值表达，不把0误显示为空。</t>
  </si>
  <si>
    <t>阶段共识22/规范9.1、9.4</t>
  </si>
  <si>
    <t>UI-W2-26-2-2</t>
  </si>
  <si>
    <t>展示极值和长规则名，观察列宽与全文提示。</t>
  </si>
  <si>
    <t>数值和单位完整，文本不重叠；长名称能读全文，不擅自修改比例精度。</t>
  </si>
  <si>
    <t>UI-W2-26-2-3</t>
  </si>
  <si>
    <t>切换无结果样例，再重置筛选。</t>
  </si>
  <si>
    <t>无结果有调整筛选引导；重置退出空态并恢复样例列表。</t>
  </si>
  <si>
    <t>UI-W2-27-1-1</t>
  </si>
  <si>
    <t>打开新增，查看必填标识、比例单位和日期控件。</t>
  </si>
  <si>
    <t>必填与单位清楚且常驻；字段上下排及分组符合批准设计。</t>
  </si>
  <si>
    <t>规范5.7</t>
  </si>
  <si>
    <t>UI-W2-27-1-2</t>
  </si>
  <si>
    <t>保持一个必填为空，点击保存。</t>
  </si>
  <si>
    <t>错误在对应字段下，表单停留且输入不跳位；不使用多层错误确认框。</t>
  </si>
  <si>
    <t>UI-W2-27-1-3</t>
  </si>
  <si>
    <t>修正字段，取消后打开已有规则编辑。</t>
  </si>
  <si>
    <t>旧错误随修正清除；编辑标题明确，回显当前规则，只读字段无可编辑暗示。</t>
  </si>
  <si>
    <t>UI-W2-27-2-1</t>
  </si>
  <si>
    <t>必填日期为空触发校验，再尝试选择结束日期早于开始日期。</t>
  </si>
  <si>
    <t>空值错误在字段下；组件限制倒置日期选择，不留误导性有效范围。同日是否合法由功能用例判定。</t>
  </si>
  <si>
    <t>规范5.3、5.7；7.1 OWeLZt；7.3 topMRc</t>
  </si>
  <si>
    <t>UI-W2-27-2-2</t>
  </si>
  <si>
    <t>通过已确认的无效精度样例触发比例字段错误，再修正为有效样例。</t>
  </si>
  <si>
    <t>错误与比例字段对应，单位常驻，修正后旧错误清除；不在此用例重新推定合法精度。</t>
  </si>
  <si>
    <t>UI-W2-27-2-3</t>
  </si>
  <si>
    <t>点击保存，先保持保存中再返回失败。</t>
  </si>
  <si>
    <t>保存按钮loading且不可重复点击；失败Toast说明原因，日期/比例输入保留，按钮解锁。</t>
  </si>
  <si>
    <t>UI-W2-27-2-4</t>
  </si>
  <si>
    <t>用恢复成功的前端样例重新操作或点击取消。</t>
  </si>
  <si>
    <t>恢复动作有可见反馈；失败状态可退出，不把未成功提交显示为已保存。</t>
  </si>
  <si>
    <t>UI-W2-28-1-1</t>
  </si>
  <si>
    <t>从菜单进入独立分区维护。</t>
  </si>
  <si>
    <t>入口可达，菜单、面包屑和页头标题一致。</t>
  </si>
  <si>
    <t>排期32行 无入口</t>
  </si>
  <si>
    <t>UI-W2-28-1-2</t>
  </si>
  <si>
    <t>切换Zone与分区类型视图，查看当前分类和操作对象。</t>
  </si>
  <si>
    <t>分类层级清楚，选中反馈与内容对应，新增/编辑属于当前视图。</t>
  </si>
  <si>
    <t>UI-W2-28-1-3</t>
  </si>
  <si>
    <t>打开一个对象详情后返回。</t>
  </si>
  <si>
    <t>对象及返回路径明确，回到原分类，未跳到同名但不同承载页面。</t>
  </si>
  <si>
    <t>UI-W2-28-2-1</t>
  </si>
  <si>
    <t>展开三级及混合层级树，选择最深节点。</t>
  </si>
  <si>
    <t>缩进、箭头和选中态能表达层级；深层节点可达，不被当作普通无子项叶子。</t>
  </si>
  <si>
    <t>规范4.5、7.3</t>
  </si>
  <si>
    <t>UI-W2-28-2-2</t>
  </si>
  <si>
    <t>查看长节点名和空节点。</t>
  </si>
  <si>
    <t>节点全文可读；无子项与未加载的节点可区分，展开动作不误切换当前对象。</t>
  </si>
  <si>
    <t>UI-W2-28-2-3</t>
  </si>
  <si>
    <t>对一个节点返回加载失败，点击局部重试。</t>
  </si>
  <si>
    <t>错误局限于对应节点并有恢复入口；其他已选对象和展开上下文不被整体清空。</t>
  </si>
  <si>
    <t>UI-W2-29-1-1</t>
  </si>
  <si>
    <t>从批准入口打开分区价格表。</t>
  </si>
  <si>
    <t>分区、币种和单位标签完整，当前表格对象可识别。</t>
  </si>
  <si>
    <t>排期33行 无入口</t>
  </si>
  <si>
    <t>UI-W2-29-1-2</t>
  </si>
  <si>
    <t>点击一个价卡引用查看入口。</t>
  </si>
  <si>
    <t>打开对应价卡引用信息，能识别引用对象及与当前分区的关系。</t>
  </si>
  <si>
    <t>UI-W2-29-1-3</t>
  </si>
  <si>
    <t>使用返回/关闭入口回到价格表。</t>
  </si>
  <si>
    <t>回到原价格表上下文，引用和操作区域未错位，不需要重新选择分区。</t>
  </si>
  <si>
    <t>UI-W2-29-2-1</t>
  </si>
  <si>
    <t>打开超宽价格表，左右滚动。</t>
  </si>
  <si>
    <t>识别和操作列按规范固定且完整，表格内部滚动，页面不额外横向溢出。</t>
  </si>
  <si>
    <t>规范5.8、9.1、9.4</t>
  </si>
  <si>
    <t>UI-W2-29-2-2</t>
  </si>
  <si>
    <t>查看空价、零价和长引用名，读取全文。</t>
  </si>
  <si>
    <t>空零区分且单位保留；长引用名有全文入口，不覆盖操作。</t>
  </si>
  <si>
    <t>UI-W2-29-2-3</t>
  </si>
  <si>
    <t>切换引用失效样例，尝试查看该引用。</t>
  </si>
  <si>
    <t>失效原因及允许动作有说明；不能跳到空白页或继续显示成有效引用。</t>
  </si>
  <si>
    <t>UI-W2-52-1-1</t>
  </si>
  <si>
    <t>在基础配置中进入服务段。</t>
  </si>
  <si>
    <t>当前子项高亮，列表编码、名称和状态与其他同类字典保持一致。</t>
  </si>
  <si>
    <t>RV01/规范6.1</t>
  </si>
  <si>
    <t>UI-W2-52-1-2</t>
  </si>
  <si>
    <t>打开新增，查看标题、字段及必填。</t>
  </si>
  <si>
    <t>新增对象明确；表单字段及主操作采用相同布局与文案规范。</t>
  </si>
  <si>
    <t>UI-W2-52-1-3</t>
  </si>
  <si>
    <t>取消后打开已有服务段编辑。</t>
  </si>
  <si>
    <t>回显当前对象；新增/编辑的公共字段语义及操作位置一致。</t>
  </si>
  <si>
    <t>UI-W2-52-2-1</t>
  </si>
  <si>
    <t>展示长名称，悬停或展开全文。</t>
  </si>
  <si>
    <t>长文可完整阅读，状态标签及操作列未被遮挡。</t>
  </si>
  <si>
    <t>UI-W2-52-2-2</t>
  </si>
  <si>
    <t>查看停用服务段及其在候选列表中的呈现。</t>
  </si>
  <si>
    <t>停用有文字标识，是否可选按批准规则反馈；不能只用浅色暗示原因。</t>
  </si>
  <si>
    <t>UI-W2-52-2-3</t>
  </si>
  <si>
    <t>分别切换空列表和请求失败。</t>
  </si>
  <si>
    <t>空态说明无数据并提供合适引导；失败有原因和重试，两种状态不混用。</t>
  </si>
  <si>
    <t>UI-W2-53-1-1</t>
  </si>
  <si>
    <t>进入计费要素新增或编辑，选择第一种类型。</t>
  </si>
  <si>
    <t>显示对应字段、单位和必填，分组标题与当前类型一致。</t>
  </si>
  <si>
    <t>RV01/规范5.7</t>
  </si>
  <si>
    <t>UI-W2-53-1-2</t>
  </si>
  <si>
    <t>切换另一种类型，观察字段区。</t>
  </si>
  <si>
    <t>显示该类型需要的字段；不适用字段按批准设计隐藏且不留下空白占位。</t>
  </si>
  <si>
    <t>UI-W2-53-1-3</t>
  </si>
  <si>
    <t>切回第一种类型，查看字段与操作区。</t>
  </si>
  <si>
    <t>字段组和单位恢复正确，值回显符合批准策略；保存/取消位置不因类型切换错位。</t>
  </si>
  <si>
    <t>UI-W2-53-2-1</t>
  </si>
  <si>
    <t>在类型A输入长值或无效值，触发错误。</t>
  </si>
  <si>
    <t>错误关联当前字段，长文不撑破布局，其他输入保留。</t>
  </si>
  <si>
    <t>阶段共识19、22</t>
  </si>
  <si>
    <t>UI-W2-53-2-2</t>
  </si>
  <si>
    <t>切换类型B，查看A专属字段与错误。</t>
  </si>
  <si>
    <t>不适用字段及其错误不残留在B组；B的字段状态符合批准规则。</t>
  </si>
  <si>
    <t>UI-W2-53-2-3</t>
  </si>
  <si>
    <t>切回A并修正输入，再用样例返回保存失败。</t>
  </si>
  <si>
    <t>A的值去留按批准策略回显；修正后的旧错误清除，失败可恢复且不清空当前输入。</t>
  </si>
  <si>
    <t>UI-W2-54-1-1</t>
  </si>
  <si>
    <t>进入计费方式配置，查看当前方式和说明。</t>
  </si>
  <si>
    <t>名称和业务含义清楚，必要说明与操作关联，没有内部实现术语干扰。</t>
  </si>
  <si>
    <t>RV01/RV04</t>
  </si>
  <si>
    <t>UI-W2-54-1-2</t>
  </si>
  <si>
    <t>选择另一种方式，查看关联字段和单位。</t>
  </si>
  <si>
    <t>相关字段与当前选择一致，必填/只读表达明确。</t>
  </si>
  <si>
    <t>UI-W2-54-1-3</t>
  </si>
  <si>
    <t>返回原方式，查看已填字段与说明。</t>
  </si>
  <si>
    <t>值去留遵循批准策略；当前说明不残留另一种方式内容。</t>
  </si>
  <si>
    <t>UI-W2-54-2-1</t>
  </si>
  <si>
    <t>分别展示0和1候选项的选择控件。</t>
  </si>
  <si>
    <t>无候选有说明；单候选按批准方式展示，不能把无候选伪装为已选。</t>
  </si>
  <si>
    <t>规范5.3、9.4</t>
  </si>
  <si>
    <t>UI-W2-54-2-2</t>
  </si>
  <si>
    <t>展示超过10项候选，用搜索定位长名称选项。</t>
  </si>
  <si>
    <t>Select提供搜索，候选全文可读，长说明不遮挡选择操作。</t>
  </si>
  <si>
    <t>UI-W2-54-2-3</t>
  </si>
  <si>
    <t>查看禁用项，再切换候选获取失败样例。</t>
  </si>
  <si>
    <t>禁用原因可理解；获取失败与无选项不同，有批准的重试或返回动作。</t>
  </si>
  <si>
    <t>UI-W2-55-1-1</t>
  </si>
  <si>
    <t>打开下单限制选择，搜索并勾选一项。</t>
  </si>
  <si>
    <t>搜索、选中及对象反馈符合批准稿，不无必要地重复堆叠Tag和计数。</t>
  </si>
  <si>
    <t>RV05 待确认</t>
  </si>
  <si>
    <t>UI-W2-55-1-2</t>
  </si>
  <si>
    <t>点击确认，返回查看已确认限制。</t>
  </si>
  <si>
    <t>显示确认对象，数量与内容对应；当前操作归属清楚。</t>
  </si>
  <si>
    <t>UI-W2-55-1-3</t>
  </si>
  <si>
    <t>重新打开，增删一项后点击取消。</t>
  </si>
  <si>
    <t>取消只按批准策略撤销本次未确认改动，原有已确认项不被误清空。</t>
  </si>
  <si>
    <t>UI-W2-55-2-1</t>
  </si>
  <si>
    <t>勾选多项，再点击全选，查看已选数量。</t>
  </si>
  <si>
    <t>全选/半选状态与实际对象范围一致，长名称不会挤占取消入口。</t>
  </si>
  <si>
    <t>规范5.5、7.2</t>
  </si>
  <si>
    <t>UI-W2-55-2-2</t>
  </si>
  <si>
    <t>输入关键词，使部分已选项不在当前过滤结果中。</t>
  </si>
  <si>
    <t>隐藏已选项的保留和计数符合批准策略，用户可理解全部选择范围。</t>
  </si>
  <si>
    <t>UI-W2-55-2-3</t>
  </si>
  <si>
    <t>输入无结果词，再清空搜索。</t>
  </si>
  <si>
    <t>无结果有清空引导；恢复候选后已选状态和数量保持一致。</t>
  </si>
  <si>
    <t>UI-W2-55-2-4</t>
  </si>
  <si>
    <t>取消全部选择。</t>
  </si>
  <si>
    <t>数量与勾选均清零，不残留旧的已选标签或无效确认暗示。</t>
  </si>
  <si>
    <t>UI-W2-57-1-1</t>
  </si>
  <si>
    <t>进入可接货型列表，查看名称和状态。</t>
  </si>
  <si>
    <t>货型名称和状态可理解，当前对象明确。</t>
  </si>
  <si>
    <t>排期61行 原型</t>
  </si>
  <si>
    <t>UI-W2-57-1-2</t>
  </si>
  <si>
    <t>打开选择控件，选择一项并查看业务说明。</t>
  </si>
  <si>
    <t>选中反馈与所选货型一致；业务限制说明单独可读，不混入选项名称造成歧义。</t>
  </si>
  <si>
    <t>UI-W2-57-1-3</t>
  </si>
  <si>
    <t>打开新增/编辑后取消返回。</t>
  </si>
  <si>
    <t>标题和字段符合批准稿；返回当前货型视图，不遗留其他对象输入。</t>
  </si>
  <si>
    <t>UI-W2-57-2-1</t>
  </si>
  <si>
    <t>展示长货型名称，读取完整内容。</t>
  </si>
  <si>
    <t>名称可完整读取，状态及选择动作未被遮挡。</t>
  </si>
  <si>
    <t>规范5.3、7.2、9.4</t>
  </si>
  <si>
    <t>UI-W2-57-2-2</t>
  </si>
  <si>
    <t>切换无选项与停用项样例。</t>
  </si>
  <si>
    <t>无选项有说明；停用项状态/原因清楚，不能被误展示为有效已选项。</t>
  </si>
  <si>
    <t>UI-W2-57-2-3</t>
  </si>
  <si>
    <t>切换加载失败并点击重试。</t>
  </si>
  <si>
    <t>失败与无候选区分；恢复后状态可更新，没有永久转圈或旧错误覆盖新内容。</t>
  </si>
  <si>
    <t>UI-W2-58-1-1</t>
  </si>
  <si>
    <t>进入财务配置，查看当前分类与列表。</t>
  </si>
  <si>
    <t>当前分类、标题及工具栏归属清楚，财务配置未与无关基础参数混排。</t>
  </si>
  <si>
    <t>排期62行 原型</t>
  </si>
  <si>
    <t>UI-W2-58-1-2</t>
  </si>
  <si>
    <t>打开新增或编辑，查看金额字段和单位。</t>
  </si>
  <si>
    <t>单位完整，字段分组和必填/可选区分清楚。</t>
  </si>
  <si>
    <t>UI-W2-58-1-3</t>
  </si>
  <si>
    <t>用前端样例展示只读及隐藏的敏感字段。</t>
  </si>
  <si>
    <t>展示状态严格符合批准权限样例；只读不呈可输入暗示，隐藏内容不出现在可见提示中。</t>
  </si>
  <si>
    <t>UI-W2-58-2-1</t>
  </si>
  <si>
    <t>展示空、0及极值金额样例。</t>
  </si>
  <si>
    <t>按前置填写的精度和单位显示；空零可区分，数值不重叠或无提示截断；不核验财务算法。</t>
  </si>
  <si>
    <t>规范7.3局部异常 topMRc、权限操作错误 bkjAb2；9.1、9.2</t>
  </si>
  <si>
    <t>UI-W2-58-2-2</t>
  </si>
  <si>
    <t>在有效编辑表单点击保存，返回操作403样例。</t>
  </si>
  <si>
    <t>Toast说明“暂无操作权限”；原表单及输入保留，loading结束；不把操作失败强制替换为整页403。</t>
  </si>
  <si>
    <t>UI-W2-58-2-3</t>
  </si>
  <si>
    <t>恢复允许操作样例，再返回普通提交失败。</t>
  </si>
  <si>
    <t>错误语义及恢复入口清楚，输入保留、按钮解锁；不显示保存成功。字段隐藏/只读的权限呈现另见UI-W2-58-1。</t>
  </si>
  <si>
    <t>UI-W2-65-1-1</t>
  </si>
  <si>
    <t>进入操作日志，查看时间、操作者、动作及对象列。</t>
  </si>
  <si>
    <t>信息层级清楚，日志仅供查看，未显示误导性修改/保存入口。</t>
  </si>
  <si>
    <t>排期69行 原型</t>
  </si>
  <si>
    <t>UI-W2-65-1-2</t>
  </si>
  <si>
    <t>按批准字段筛选，打开一条日志详情。</t>
  </si>
  <si>
    <t>查询有反馈；详情属于所选日志，长内容按组展示。</t>
  </si>
  <si>
    <t>UI-W2-65-1-3</t>
  </si>
  <si>
    <t>回到原筛选和列表定位，仍能识别刚查看的日志。</t>
  </si>
  <si>
    <t>UI-W2-65-2-1</t>
  </si>
  <si>
    <t>打开长日志详情，展开内容并查看特殊字符。</t>
  </si>
  <si>
    <t>全文可读；特殊字符以文本显示，不执行内容或破坏布局。</t>
  </si>
  <si>
    <t>UI-W2-65-2-2</t>
  </si>
  <si>
    <t>切换筛选无结果，再切换无权限样例。</t>
  </si>
  <si>
    <t>无结果提供清空筛选；无权限说明访问原因及允许返回，两者不混用。</t>
  </si>
  <si>
    <t>UI-W2-65-2-3</t>
  </si>
  <si>
    <t>切换加载失败，使用重试或返回。</t>
  </si>
  <si>
    <t>失败原因与恢复入口清楚，不显示为无日志或已成功；恢复后可继续查看。</t>
  </si>
  <si>
    <t>UI-TPL-001-1</t>
  </si>
  <si>
    <t>模板历史执行</t>
  </si>
  <si>
    <t>查看页头标题，通过浏览器计算样式读取字号和字重。</t>
  </si>
  <si>
    <t>H1字号20px、字重500；页面只有一个主要标题，标题含义与当前列表一致。</t>
  </si>
  <si>
    <t>唯一H1运单管理，20px/500。</t>
  </si>
  <si>
    <t>3.2 s4NgFa、3.4 jYqjvY、5.1 Jhut4D、5.9 O6GcDy</t>
  </si>
  <si>
    <t>查看 T01-list-baseline</t>
  </si>
  <si>
    <t>UI-TPL-001-2</t>
  </si>
  <si>
    <t>读取默认按钮高度及圆角。</t>
  </si>
  <si>
    <t>默认按钮高32px、圆角8px，文字未被裁切，主次按钮语义清楚。</t>
  </si>
  <si>
    <t>查询32px高、圆角2px，要求8px。</t>
  </si>
  <si>
    <t>UI-TPL-001-3</t>
  </si>
  <si>
    <t>读取主卡片圆角及内边距。</t>
  </si>
  <si>
    <t>卡片圆角12px、内边距24px；内容和边缘保留一致间距。</t>
  </si>
  <si>
    <t>本次未完成该分支判定；历史结果另保留。</t>
  </si>
  <si>
    <t>本轮列表外层卡片未独立量测；历史值不能代替本次</t>
  </si>
  <si>
    <t>查看 T13-container-metrics</t>
  </si>
  <si>
    <t>测试复测</t>
  </si>
  <si>
    <t>按原前置准备；本轮列表外层卡片未独立量测；历史值不能代替本次</t>
  </si>
  <si>
    <t>UI-TPL-002-1</t>
  </si>
  <si>
    <t>进入列表，确认页头为标准型。</t>
  </si>
  <si>
    <t>页头具有标准型规定的组成，不将完整型或简洁型误作为本用例对象。</t>
  </si>
  <si>
    <t>标准页头含面包屑、标题和操作区。</t>
  </si>
  <si>
    <t>4.2 FFO2Ix、0rCax8</t>
  </si>
  <si>
    <t>UI-TPL-002-2</t>
  </si>
  <si>
    <t>读取标准页头及面包屑的实际边界高度。</t>
  </si>
  <si>
    <t>标准页头总高94px，面包屑高18px；标题行高及间距符合4.2。</t>
  </si>
  <si>
    <t>标准页头97px；面包屑18px。要求94px。</t>
  </si>
  <si>
    <t>查看 T01-list-baseline、T13-container-metrics</t>
  </si>
  <si>
    <t>UI-TPL-002-3</t>
  </si>
  <si>
    <t>查看页头右侧操作与标题底部的对齐。</t>
  </si>
  <si>
    <t>无副标题时操作区与主标题底部对齐；没有额外空隙造成页头增高。</t>
  </si>
  <si>
    <t>标题与操作区底部对齐，截图可见。</t>
  </si>
  <si>
    <t>UI-TPL-003-1</t>
  </si>
  <si>
    <t>查看首行操作列，读取单元格内层对齐方式及按钮间距。</t>
  </si>
  <si>
    <t>操作内容左对齐，文字按钮间距16px；以实际内容容器为准。</t>
  </si>
  <si>
    <t>实际内层居中、gap8px，要求左对齐/16px。</t>
  </si>
  <si>
    <t>5.8 tkqkxw、IOfbnI；4.5.2 lfEtqB</t>
  </si>
  <si>
    <t>UI-TPL-003-2</t>
  </si>
  <si>
    <t>将表格横向滚动到最右侧。</t>
  </si>
  <si>
    <t>操作列固定在最右侧，文字及按钮不被裁切，与主体列不重叠。</t>
  </si>
  <si>
    <t>本轮横滚尝试scrollLeft仍为0，不能当作横滚完成</t>
  </si>
  <si>
    <t>查看 T16-tablet-horizontal</t>
  </si>
  <si>
    <t>按原前置准备；本轮横滚尝试scrollLeft仍为0，不能当作横滚完成</t>
  </si>
  <si>
    <t>UI-TPL-003-3</t>
  </si>
  <si>
    <t>将视口调整为1280和1024宽，重复查看行操作。</t>
  </si>
  <si>
    <t>操作仍完整可达，调整列宽后未产生固定列重叠或页面级横向滚动。</t>
  </si>
  <si>
    <t>1280/1024无根级横向溢出；固定行操作在视口内。</t>
  </si>
  <si>
    <t>查看 T14-list-1280、T15-list-1024、T16-tablet-horizontal</t>
  </si>
  <si>
    <t>UI-TPL-004-1</t>
  </si>
  <si>
    <t>读取目的地、重量和日期实际显示文本的计算颜色。</t>
  </si>
  <si>
    <t>普通正文使用color-text-body，即#4B5564。</t>
  </si>
  <si>
    <t>目的地/重量/日期普通文本#1A2130，要求#4B5564。</t>
  </si>
  <si>
    <t>3.1 hezLMm；5.8 IOfbnI</t>
  </si>
  <si>
    <t>UI-TPL-004-2</t>
  </si>
  <si>
    <t>查看标题、业务链接和状态Tag。</t>
  </si>
  <si>
    <t>标题、链接及语义Tag使用各自规定颜色，不被普通正文色统一覆盖。</t>
  </si>
  <si>
    <t>运单链接#165DFF，规范Brand Blue为#046EFC；Tag未全色核对。</t>
  </si>
  <si>
    <t>UI-TPL-004-3</t>
  </si>
  <si>
    <t>选中或悬停一行后再次查看可读性。</t>
  </si>
  <si>
    <t>背景变化后文字仍清楚；没有因整行覆盖色导致状态或链接含义丢失。</t>
  </si>
  <si>
    <t>本轮未分别复测hover/选中下全部语义色；仅选中背景量测</t>
  </si>
  <si>
    <t>查看 T06-selected</t>
  </si>
  <si>
    <t>按原前置准备；本轮未分别复测hover/选中下全部语义色；仅选中背景量测</t>
  </si>
  <si>
    <t>UI-TPL-005-1</t>
  </si>
  <si>
    <t>量测首两行数据行，读取表头背景、字重和行底线。</t>
  </si>
  <si>
    <t>数据行高48px；表头背景#F7F7F7、字重500；数据行仅底部1px solid #EBEBEB分割线。</t>
  </si>
  <si>
    <t>行底线未独立量测；已确认行高48/表头#F7F7F7/500</t>
  </si>
  <si>
    <t>5.8 IOfbnI、tkqkxw、hiuQkw；3.2 s4NgFa</t>
  </si>
  <si>
    <t>按原前置准备；行底线未独立量测；已确认行高48/表头#F7F7F7/500</t>
  </si>
  <si>
    <t>UI-TPL-005-2</t>
  </si>
  <si>
    <t>读取重量和运费实际文本容器的对齐方式、字号和字重。</t>
  </si>
  <si>
    <t>数字右对齐，普通正文14px/400；以实际文本容器为准，不能仅凭外层td样式判断。</t>
  </si>
  <si>
    <t>重量/运费实际内层右对齐，14px/400。</t>
  </si>
  <si>
    <t>UI-TPL-005-3</t>
  </si>
  <si>
    <t>查看名称、日期、状态和操作列，再悬停未选中行。</t>
  </si>
  <si>
    <t>名称、日期、状态、操作左对齐；未选中行hover背景#EBF3FD；文字、标签及按钮不重叠。</t>
  </si>
  <si>
    <t>操作列实际居中；名称等左对齐。hover背景本轮未量测。</t>
  </si>
  <si>
    <t>UI-TPL-006-1</t>
  </si>
  <si>
    <t>在运单号输入框填写上述值，点击查询。</t>
  </si>
  <si>
    <t>查询有反馈，结果为0条，不继续展示旧查询结果。</t>
  </si>
  <si>
    <t>不存在的NO_UI_20261014查询后0条，旧结果退出。</t>
  </si>
  <si>
    <t>7.2 2xUUpH</t>
  </si>
  <si>
    <t>查看 T03-query-empty</t>
  </si>
  <si>
    <t>UI-TPL-006-2</t>
  </si>
  <si>
    <t>查看无结果区域和筛选区。</t>
  </si>
  <si>
    <t>显示未找到相关结果及调整筛选说明；筛选输入保留。</t>
  </si>
  <si>
    <t>未找到相关结果/请调整筛选条件后重试，输入保留。</t>
  </si>
  <si>
    <t>UI-TPL-006-3</t>
  </si>
  <si>
    <t>查找清空/重置入口。</t>
  </si>
  <si>
    <t>恢复入口清楚可达，用户能知道如何离开无结果状态。</t>
  </si>
  <si>
    <t>重置可达，能退出空结果。</t>
  </si>
  <si>
    <t>查看 T04-reset-restored</t>
  </si>
  <si>
    <t>UI-TPL-007-1</t>
  </si>
  <si>
    <t>点击重置按钮，查看筛选控件。</t>
  </si>
  <si>
    <t>筛选恢复模板定义的初始值，不残留无结果测试词。</t>
  </si>
  <si>
    <t>重置清空测试词、状态/渠道恢复默认、日期为空。</t>
  </si>
  <si>
    <t>7.2 2xUUpH；2.1一致可预期</t>
  </si>
  <si>
    <t>UI-TPL-007-2</t>
  </si>
  <si>
    <t>查看列表刷新结束后的内容与总数。</t>
  </si>
  <si>
    <t>退出无结果态并恢复当前Mock列表，页码与数据相互对应。</t>
  </si>
  <si>
    <t>恢复86条、页码和内容对应。</t>
  </si>
  <si>
    <t>UI-TPL-007-3</t>
  </si>
  <si>
    <t>再次填写有效条件查询。</t>
  </si>
  <si>
    <t>筛选控件仍可操作，上一空态不覆盖新结果。</t>
  </si>
  <si>
    <t>再次查询BY10000001得到1条，旧空态退出。</t>
  </si>
  <si>
    <t>查看 T05-valid-filter</t>
  </si>
  <si>
    <t>UI-TPL-008-1</t>
  </si>
  <si>
    <t>勾选首行，观察表格顶部。</t>
  </si>
  <si>
    <t>显示已选择1项及批量操作栏，位置属于当前表格。</t>
  </si>
  <si>
    <t>首行选择后显示已选择1项。</t>
  </si>
  <si>
    <t>5.8 KJawbG</t>
  </si>
  <si>
    <t>UI-TPL-008-2</t>
  </si>
  <si>
    <t>查看批量操作与默认刷新/导出区域。</t>
  </si>
  <si>
    <t>批量模式和默认模式区分清楚，不出现两套工具栏重叠。</t>
  </si>
  <si>
    <t>批量栏替代默认操作栏，无重叠。</t>
  </si>
  <si>
    <t>UI-TPL-008-3</t>
  </si>
  <si>
    <t>勾选清空，批量栏消失，恢复默认工具栏。</t>
  </si>
  <si>
    <t>取消后选择清空、默认栏恢复。</t>
  </si>
  <si>
    <t>查看 T08-selection-cleared</t>
  </si>
  <si>
    <t>UI-TPL-009-1</t>
  </si>
  <si>
    <t>勾选首行并读取该行全部单元格背景。</t>
  </si>
  <si>
    <t>主体及左右固定单元格背景均为#D1E4FB。</t>
  </si>
  <si>
    <t>全部主体/左右固定td均rgb(209,228,251)=#D1E4FB。</t>
  </si>
  <si>
    <t>5.8 hiuQkw、KJawbG；4.5.2 lfEtqB</t>
  </si>
  <si>
    <t>UI-TPL-009-2</t>
  </si>
  <si>
    <t>水平滚动表格，查看固定列边界。</t>
  </si>
  <si>
    <t>选中底色连续，未出现固定列白底断层或文字被盖住。</t>
  </si>
  <si>
    <t>水平滚动未完成；不引用历史横滚作为本轮通过</t>
  </si>
  <si>
    <t>按原前置准备；水平滚动未完成；不引用历史横滚作为本轮通过</t>
  </si>
  <si>
    <t>UI-TPL-009-3</t>
  </si>
  <si>
    <t>取消该行选择。</t>
  </si>
  <si>
    <t>所有列退出选中背景，未残留局部选中色。</t>
  </si>
  <si>
    <t>取消后选择栏消失。</t>
  </si>
  <si>
    <t>UI-TPL-010-1</t>
  </si>
  <si>
    <t>点击批量删除，阅读确认内容。</t>
  </si>
  <si>
    <t>正确说明将删除选中的1项，包含不可恢复风险及明确对象范围。</t>
  </si>
  <si>
    <t>明确删除1项及不可恢复说明。</t>
  </si>
  <si>
    <t>5.10 WJHXDG、t5GXhY；7.3 7j2jDv；8.3 GF7nRn</t>
  </si>
  <si>
    <t>查看 T07-delete-confirm</t>
  </si>
  <si>
    <t>UI-TPL-010-2</t>
  </si>
  <si>
    <t>查看取消和确认删除按钮。</t>
  </si>
  <si>
    <t>取消在左，确认删除在右；危险动作名称清楚。</t>
  </si>
  <si>
    <t>取消在左、确认删除在右。</t>
  </si>
  <si>
    <t>UI-TPL-010-3</t>
  </si>
  <si>
    <t>点击取消，查看列表记录及状态。</t>
  </si>
  <si>
    <t>确认关闭，原记录仍在；没有删除成功提示或提前移除行。</t>
  </si>
  <si>
    <t>取消后原首行仍在，未执行删除。</t>
  </si>
  <si>
    <t>UI-TPL-011-1</t>
  </si>
  <si>
    <t>点击详情，量测抽屉宽度、高度、标题、内边距和遮罩。</t>
  </si>
  <si>
    <t>抽屉贴右并撑满视口；默认宽度480px，内容较多的宽抽屉640px；标题16px/500、内边距24px、遮罩rgba(0,0,0,0.45)。</t>
  </si>
  <si>
    <t>已量测宽高/标题/padding，但遮罩rgba本轮未复测</t>
  </si>
  <si>
    <t>5.11 7nFRad、IpxRU6；6.2 qif9bA</t>
  </si>
  <si>
    <t>查看 T18-drawer-loaded</t>
  </si>
  <si>
    <t>按原前置准备；已量测宽高/标题/padding，但遮罩rgba本轮未复测</t>
  </si>
  <si>
    <t>UI-TPL-011-2</t>
  </si>
  <si>
    <t>查看对象和字段分组，滚动内容至末尾，查看标题与底部操作。</t>
  </si>
  <si>
    <t>展示所选对象；内容区独立滚动，标题和有操作的底栏保持固定，底栏右对齐；字段不被底栏遮挡。</t>
  </si>
  <si>
    <t>所选对象信息正确；768视口内容scrollTop98，已到末尾，底栏固定831–900。</t>
  </si>
  <si>
    <t>查看 T43-drawer-tablet</t>
  </si>
  <si>
    <t>UI-TPL-011-3</t>
  </si>
  <si>
    <t>从底部关闭、重新打开后从顶部关闭，再重新打开并点击遮罩。</t>
  </si>
  <si>
    <t>关闭入口及遮罩点击均可关闭；回到原列表并保留原筛选，无残留遮罩或对象串用。</t>
  </si>
  <si>
    <t>仅底部关闭已完成；顶部/遮罩路径本轮未全部重跑</t>
  </si>
  <si>
    <t>查看 T44-final-list</t>
  </si>
  <si>
    <t>按原前置准备；仅底部关闭已完成；顶部/遮罩路径本轮未全部重跑</t>
  </si>
  <si>
    <t>UI-TPL-011-4</t>
  </si>
  <si>
    <t>用受控样例延迟详情加载，尝试顶部关闭。</t>
  </si>
  <si>
    <t>加载只在内容区显示骨架或Spin；标题、关闭按钮仍可操作，关闭后不被迟到响应重新弹开。</t>
  </si>
  <si>
    <t>加载时顶部关闭定位发生动画/节点替换，未完成点击与迟到响应验证</t>
  </si>
  <si>
    <t>查看 T17-drawer-loading、T19-drawer-current</t>
  </si>
  <si>
    <t>按原前置准备；加载时顶部关闭定位发生动画/节点替换，未完成点击与迟到响应验证</t>
  </si>
  <si>
    <t>UI-TPL-012-1</t>
  </si>
  <si>
    <t>点击保存，查看表单反馈。</t>
  </si>
  <si>
    <t>停留在表单，对未填必填项显示字段下方红色提示，不弹额外错误确认框。</t>
  </si>
  <si>
    <t>空保存保持表单，字段下就地错误，无额外错误弹窗。</t>
  </si>
  <si>
    <t>5.7 UXf6DG；7.3 7j2jDv</t>
  </si>
  <si>
    <t>查看 T23-form-required</t>
  </si>
  <si>
    <t>UI-TPL-012-2</t>
  </si>
  <si>
    <t>逐个查看有错误的字段及相邻控件。</t>
  </si>
  <si>
    <t>错误说明与字段对应，不遮挡标签、下一字段或底部操作。</t>
  </si>
  <si>
    <t>错误与对应字段相邻，不盖住控件/底栏。</t>
  </si>
  <si>
    <t>查看 T23-form-required、T27-form-tablet</t>
  </si>
  <si>
    <t>UI-TPL-012-3</t>
  </si>
  <si>
    <t>修正其中一个必填字段，重新触发校验。</t>
  </si>
  <si>
    <t>该字段旧错误清除；其他仍未填写的字段继续提示，不误清空已有输入。</t>
  </si>
  <si>
    <t>纠正目的地后其错误消失，其他必填错误保留。</t>
  </si>
  <si>
    <t>查看 T24-field-corrected</t>
  </si>
  <si>
    <t>UI-TPL-013-1</t>
  </si>
  <si>
    <t>检查可见标签与输入框的for/id或ARIA关联。</t>
  </si>
  <si>
    <t>控件有与可见标签一致的可访问名称，不依赖placeholder充当唯一标签。</t>
  </si>
  <si>
    <t>需批准可访问性验收方式/读屏基线；本轮仅DOM关联检查</t>
  </si>
  <si>
    <t>5.7 UXf6DG；2.1信息优先（补充）</t>
  </si>
  <si>
    <t>查看 T25-form-association</t>
  </si>
  <si>
    <t>按原前置准备；需批准可访问性验收方式/读屏基线；本轮仅DOM关联检查</t>
  </si>
  <si>
    <t>UI-TPL-013-2</t>
  </si>
  <si>
    <t>检查字段错误与控件的描述关联。</t>
  </si>
  <si>
    <t>错误可通过对应描述被定位，且只关联当前字段。</t>
  </si>
  <si>
    <t>错误描述关联基线待确认</t>
  </si>
  <si>
    <t>按原前置准备；错误描述关联基线待确认</t>
  </si>
  <si>
    <t>UI-TPL-013-3</t>
  </si>
  <si>
    <t>修正字段后再次检查名称、描述及焦点。</t>
  </si>
  <si>
    <t>旧错误描述随修正清除，标签仍有效，焦点不跳到无关区域。</t>
  </si>
  <si>
    <t>未执行修正后读屏/焦点路径</t>
  </si>
  <si>
    <t>按原前置准备；未执行修正后读屏/焦点路径</t>
  </si>
  <si>
    <t>UI-TPL-014-1</t>
  </si>
  <si>
    <t>滚动到底部，在首个必填字段为空时点击保存。</t>
  </si>
  <si>
    <t>按已批准策略将首错带入可视范围或聚焦，用户无需猜测错误位置。</t>
  </si>
  <si>
    <t>首错聚焦/滚动方案仍需确认；未复测长表单首错策略</t>
  </si>
  <si>
    <t>按原前置准备；首错聚焦/滚动方案仍需确认；未复测长表单首错策略</t>
  </si>
  <si>
    <t>UI-TPL-014-2</t>
  </si>
  <si>
    <t>修正首错，再次点击保存。</t>
  </si>
  <si>
    <t>继续定位下一处错误，已修正字段不重复抢占焦点。</t>
  </si>
  <si>
    <t>次错定位未重跑</t>
  </si>
  <si>
    <t>按原前置准备；次错定位未重跑</t>
  </si>
  <si>
    <t>UI-TPL-014-3</t>
  </si>
  <si>
    <t>确认焦点位置及屏幕中的提示和底部栏。</t>
  </si>
  <si>
    <t>焦点及提示可见，不被固定栏遮挡，也不会突然跳离表单。</t>
  </si>
  <si>
    <t>首错策略和键盘验收基线</t>
  </si>
  <si>
    <t>按原前置准备；首错策略和键盘验收基线</t>
  </si>
  <si>
    <t>UI-TPL-015-1</t>
  </si>
  <si>
    <t>向备注填入199个汉字，查看计数。</t>
  </si>
  <si>
    <t>计数为199/200，输入区布局正常。</t>
  </si>
  <si>
    <t>199个汉字，计数199/200。</t>
  </si>
  <si>
    <t>5.7 UXf6DG；模板备注上限200</t>
  </si>
  <si>
    <t>查看 T26-note-199</t>
  </si>
  <si>
    <t>UI-TPL-015-2</t>
  </si>
  <si>
    <t>增加1个汉字，查看计数。</t>
  </si>
  <si>
    <t>计数为200/200，达到允许上限。</t>
  </si>
  <si>
    <t>200个汉字，计数200/200。</t>
  </si>
  <si>
    <t>查看 T26-note-200</t>
  </si>
  <si>
    <t>UI-TPL-015-3</t>
  </si>
  <si>
    <t>再增加1个汉字或粘贴201个汉字。</t>
  </si>
  <si>
    <t>模板按当前定义限制到200字，计数不超过200/200，未引起文本或操作区溢出。</t>
  </si>
  <si>
    <t>实际尝试粘贴201字后保留200字，计数200/200；属于受控截断，非原生maxlength。</t>
  </si>
  <si>
    <t>查看 T26-note-201</t>
  </si>
  <si>
    <t>UI-TPL-016-1</t>
  </si>
  <si>
    <t>新建运单填写目的地“UI未保存输入”和备注。</t>
  </si>
  <si>
    <t>输入显示在对应字段，表单处于已修改状态。</t>
  </si>
  <si>
    <t>输入已改，可见目的地及备注。</t>
  </si>
  <si>
    <t>6.4表单模板；7.3 7j2jDv（补充）</t>
  </si>
  <si>
    <t>查看 T28-form-cancel</t>
  </si>
  <si>
    <t>UI-TPL-016-2</t>
  </si>
  <si>
    <t>点击取消，查看离开确认。</t>
  </si>
  <si>
    <t>按照已批准的二次确认方案展示“继续编辑”和“确认离开”等具体文案，表单尚未被清空或关闭。</t>
  </si>
  <si>
    <t>需批准离开确认及草稿策略；不以未弹框直接判缺陷</t>
  </si>
  <si>
    <t>按原前置准备；需批准离开确认及草稿策略；不以未弹框直接判缺陷</t>
  </si>
  <si>
    <t>UI-TPL-016-3</t>
  </si>
  <si>
    <t>选择继续编辑，再查看字段。</t>
  </si>
  <si>
    <t>回到原表单，已填写目的地和备注保留，焦点及操作可用。</t>
  </si>
  <si>
    <t>继续编辑分支依赖批准方案</t>
  </si>
  <si>
    <t>按原前置准备；继续编辑分支依赖批准方案</t>
  </si>
  <si>
    <t>UI-TPL-016-4</t>
  </si>
  <si>
    <t>再次点击取消并确认离开，然后重新打开新建。</t>
  </si>
  <si>
    <t>确实退出表单；重入内容严格按前置填写的草稿规则判定，不以任意保留/清空结果通过，不串入其他对象。</t>
  </si>
  <si>
    <t>确认离开/重入草稿规则依赖批准方案</t>
  </si>
  <si>
    <t>按原前置准备；确认离开/重入草稿规则依赖批准方案</t>
  </si>
  <si>
    <t>UI-TPL-017-1</t>
  </si>
  <si>
    <t>点击下一步，查看步骤指示器与字段。</t>
  </si>
  <si>
    <t>仍停留第一步，对该步必填字段显示就地错误。</t>
  </si>
  <si>
    <t>缺日期点击下一步停在基本信息并给就地错误。</t>
  </si>
  <si>
    <t>5.7 UXf6DG；6.4表单模板；5.17正文禁止将多步流程用Tabs</t>
  </si>
  <si>
    <t>查看 T29-step-validation</t>
  </si>
  <si>
    <t>UI-TPL-017-2</t>
  </si>
  <si>
    <t>填写当前步有效值，再点击下一步。</t>
  </si>
  <si>
    <t>进入下一步，步骤指示器与内容对应。</t>
  </si>
  <si>
    <t>填写有效日期后进入物流步，指示器与内容对应。</t>
  </si>
  <si>
    <t>查看 T30-step-next</t>
  </si>
  <si>
    <t>UI-TPL-017-3</t>
  </si>
  <si>
    <t>点击上一步返回。</t>
  </si>
  <si>
    <t>返回第一步，已填写内容按模板定义回显，错误不无故残留。</t>
  </si>
  <si>
    <t>上一步保留目的地/日期且错误清除。</t>
  </si>
  <si>
    <t>查看 T31-step-return</t>
  </si>
  <si>
    <t>UI-TPL-018-1</t>
  </si>
  <si>
    <t>查看支持格式、大小及数量说明。</t>
  </si>
  <si>
    <t>上传限制在选择文件前可见，文件区域与确认动作关系清楚。</t>
  </si>
  <si>
    <t>选择前显示XLSX/XLS/CSV、10MB限制。</t>
  </si>
  <si>
    <t>5.6 PG7Wxg、AsS314；7.3 7j2jDv</t>
  </si>
  <si>
    <t>查看 T36-import-spec</t>
  </si>
  <si>
    <t>UI-TPL-018-2</t>
  </si>
  <si>
    <t>不选文件，点击保存。</t>
  </si>
  <si>
    <t>提示请选择文件，导入弹窗保持，不展示导入成功。</t>
  </si>
  <si>
    <t>未选文件保存提示请选择文件，弹窗保留。</t>
  </si>
  <si>
    <t>查看 T37-import-empty</t>
  </si>
  <si>
    <t>UI-TPL-018-3</t>
  </si>
  <si>
    <t>点击取消后重新打开导入。</t>
  </si>
  <si>
    <t>可正常关闭并再次打开，没有残留loading或上一次错误遮罩。</t>
  </si>
  <si>
    <t>取消重开为干净状态，无残留loading。</t>
  </si>
  <si>
    <t>查看 T38-import-reopen</t>
  </si>
  <si>
    <t>UI-TPL-019-1</t>
  </si>
  <si>
    <t>确认当前页标题和地址，再刷新浏览器。</t>
  </si>
  <si>
    <t>刷新完成后仍是/demo/list，未跳到首页或其他示例页。</t>
  </si>
  <si>
    <t>实际reload后进入/login?redirect=/demo/list，未保持当前已登录列表。</t>
  </si>
  <si>
    <t>4.3内容承载与跳转决策；4.5.2导航规则；RV21专项</t>
  </si>
  <si>
    <t>查看 T35-refresh-login</t>
  </si>
  <si>
    <t>UI-TPL-019-2</t>
  </si>
  <si>
    <t>查看侧栏当前项、面包屑及页面标题。</t>
  </si>
  <si>
    <t>导航状态与当前列表一致，没有刷新后菜单失去选中或标题错位。</t>
  </si>
  <si>
    <t>登录已丢失，刷新后的列表导航条件不满足</t>
  </si>
  <si>
    <t>按原前置准备；登录已丢失，刷新后的列表导航条件不满足</t>
  </si>
  <si>
    <t>UI-TPL-019-3</t>
  </si>
  <si>
    <t>打开一条详情并关闭。</t>
  </si>
  <si>
    <t>刷新后交互仍可用，没有因路由恢复导致按钮失效。</t>
  </si>
  <si>
    <t>刷新后需重新登录，未按原前置完成详情</t>
  </si>
  <si>
    <t>按原前置准备；刷新后需重新登录，未按原前置完成详情</t>
  </si>
  <si>
    <t>UI-TPL-020-1</t>
  </si>
  <si>
    <t>在顶栏搜索输入测试词并按Enter。</t>
  </si>
  <si>
    <t>按批准方案显示搜索反馈或明确演示说明，不能点击后无可见响应。</t>
  </si>
  <si>
    <t>当前顶栏无搜索入口且批准占位方案未提供</t>
  </si>
  <si>
    <t>4.5.2 JwsjUF（元素举例）；2.1状态完整；RV11范围</t>
  </si>
  <si>
    <t>按原前置准备；当前顶栏无搜索入口且批准占位方案未提供</t>
  </si>
  <si>
    <t>UI-TPL-020-2</t>
  </si>
  <si>
    <t>点击通知入口。</t>
  </si>
  <si>
    <t>展示通知内容、无通知说明或批准的占位反馈，用户能理解当前状态。</t>
  </si>
  <si>
    <t>通知入口/批准占位方案缺失</t>
  </si>
  <si>
    <t>按原前置准备；通知入口/批准占位方案缺失</t>
  </si>
  <si>
    <t>UI-TPL-020-3</t>
  </si>
  <si>
    <t>关闭反馈并清空测试搜索。</t>
  </si>
  <si>
    <t>可回到当前页面，顶栏和内容区无残留遮罩，不误跳转到无关对象。</t>
  </si>
  <si>
    <t>前两入口未提供</t>
  </si>
  <si>
    <t>按原前置准备；前两入口未提供</t>
  </si>
  <si>
    <t>UI-TPL-021-1</t>
  </si>
  <si>
    <t>在1280×800和1440×900视口收起助手面板，滚动至入口靠近行操作的位置。</t>
  </si>
  <si>
    <t>规范11.2入口固定右下角，距右及底24px、头像48×48px；记录入口与行操作边界，区分规范尺寸和可用性风险。</t>
  </si>
  <si>
    <t>当前配置aiEnabled关闭；本期助手入口/方案未确认</t>
  </si>
  <si>
    <t>11.2 ZPMHjA；11.3 hXl5Vj；2.2.3以功能需求落地</t>
  </si>
  <si>
    <t>按原前置准备；当前配置aiEnabled关闭；本期助手入口/方案未确认</t>
  </si>
  <si>
    <t>UI-TPL-021-2</t>
  </si>
  <si>
    <t>尝试点击入口附近的行操作及助手入口，检查实际点击目标。</t>
  </si>
  <si>
    <t>记录是否发生遮挡或误触；发生重叠时登记具体位置及点击结果，不仅凭按钮存在于DOM判可用。</t>
  </si>
  <si>
    <t>无可操作助手</t>
  </si>
  <si>
    <t>按原前置准备；无可操作助手</t>
  </si>
  <si>
    <t>UI-TPL-021-3</t>
  </si>
  <si>
    <t>若展开了助手面板，使用标题栏关闭，再操作同一行。</t>
  </si>
  <si>
    <t>规范11.3面板可收起且不挤压列表；入口移动/隐藏方案需产品确认，不能要求模板执行未提供的避让动作。</t>
  </si>
  <si>
    <t>UI-TPL-022-1</t>
  </si>
  <si>
    <t>查看表单列数、标签、输入框及间距。</t>
  </si>
  <si>
    <t>1024属于Tablet，表单采用单列，标签在上、输入框铺满所在列；两侧padding16px，间距遵循5.7。</t>
  </si>
  <si>
    <t>1024属于Tablet；收件人与电话仍在同一行双列，要求单列。无页面横溢。</t>
  </si>
  <si>
    <t>4.5.2 oppJwY；5.7 UXf6DG</t>
  </si>
  <si>
    <t>查看 T27-form-tablet</t>
  </si>
  <si>
    <t>UI-TPL-022-2</t>
  </si>
  <si>
    <t>滚动至末尾并触发必填错误。</t>
  </si>
  <si>
    <t>错误文本可读，末尾字段未被固定操作栏遮挡。</t>
  </si>
  <si>
    <t>末尾字段和必填错误可见，未被固定栏遮挡。</t>
  </si>
  <si>
    <t>UI-TPL-022-3</t>
  </si>
  <si>
    <t>查看取消/保存按钮并使用键盘定位。</t>
  </si>
  <si>
    <t>底栏及按钮可达，没有页面级横向溢出或屏外焦点。</t>
  </si>
  <si>
    <t>本轮未完成底栏键盘定位；仅可见按钮量测</t>
  </si>
  <si>
    <t>按原前置准备；本轮未完成底栏键盘定位；仅可见按钮量测</t>
  </si>
  <si>
    <t>UI-TPL-023-1</t>
  </si>
  <si>
    <t>将视口调整为390×844，进入列表。</t>
  </si>
  <si>
    <t>Mobile纳入本期时按4.5.2显示卡片列表，关键信息和操作可识别。</t>
  </si>
  <si>
    <t>Mobile是否纳入W2没有批准结论</t>
  </si>
  <si>
    <t>4.5.1 cHhLBb；4.5.2 lfEtqB、7HCReU</t>
  </si>
  <si>
    <t>按原前置准备；Mobile是否纳入W2没有批准结论</t>
  </si>
  <si>
    <t>UI-TPL-023-2</t>
  </si>
  <si>
    <t>查看长文字及主操作触达区域。</t>
  </si>
  <si>
    <t>长文可读，触达区域至少44px，遵循4.5.2，不以桌面宽表横滚替代已要求的卡片。</t>
  </si>
  <si>
    <t>缺Mobile长文/触达样例及范围判据</t>
  </si>
  <si>
    <t>按原前置准备；缺Mobile长文/触达样例及范围判据</t>
  </si>
  <si>
    <t>UI-TPL-023-3</t>
  </si>
  <si>
    <t>浏览多条记录并打开详情后返回。</t>
  </si>
  <si>
    <t>浏览和返回路径可用，页面不横向溢出，当前对象仍可定位。</t>
  </si>
  <si>
    <t>范围未定，未运行390分支</t>
  </si>
  <si>
    <t>按原前置准备；范围未定，未运行390分支</t>
  </si>
  <si>
    <t>UI-TPL-024-1</t>
  </si>
  <si>
    <t>直接打开/403，查看标题、说明、图标、字号和按钮位置。</t>
  </si>
  <si>
    <t>标题“暂无访问权限”，说明“请联系管理员获取相应权限”；图标120px，标题18px/500/#1A2130，说明14px/400/#9DA3AE；操作居中，距说明24px。</t>
  </si>
  <si>
    <t>图标/文字值已符合；操作距说明24px本轮未读取，完整样式步骤受阻</t>
  </si>
  <si>
    <t>7.3 2WRfcT、CIIazx</t>
  </si>
  <si>
    <t>查看 E01-403-display</t>
  </si>
  <si>
    <t>按原前置准备；图标/文字值已符合；操作距说明24px本轮未读取，完整样式步骤受阻</t>
  </si>
  <si>
    <t>UI-TPL-024-2</t>
  </si>
  <si>
    <t>点击“返回首页”。</t>
  </si>
  <si>
    <t>返回首页可用，退出403展示页；不提供误导性新增或重复请求入口。</t>
  </si>
  <si>
    <t>返回按钮已退出403至/login；已登录首页落点未验证，不能直接宣称到达首页</t>
  </si>
  <si>
    <t>查看 E02-403-return</t>
  </si>
  <si>
    <t>按原前置准备；返回按钮已退出403至/login；已登录首页落点未验证，不能直接宣称到达首页</t>
  </si>
  <si>
    <t>UI-TPL-024-3</t>
  </si>
  <si>
    <t>记录到达方式和最终地址。</t>
  </si>
  <si>
    <t>实际结果注明“直接访问展示路由”；此结果只证明展示和返回，整页403响应链路另见UI-TPL-039。</t>
  </si>
  <si>
    <t>到达方式为直接展示路由；初始化403链路未验。</t>
  </si>
  <si>
    <t>查看 E01-403-display、E02-403-return</t>
  </si>
  <si>
    <t>UI-TPL-025-1</t>
  </si>
  <si>
    <t>直接打开/500，查看异常说明及按钮。</t>
  </si>
  <si>
    <t>标题“服务器开小差了”，说明“系统出现异常，请稍后重试”；展示“刷新重试”“返回首页”，无堆栈、SQL或技术报错。</t>
  </si>
  <si>
    <t>直接/500：服务器开小差了及两操作，未见堆栈。</t>
  </si>
  <si>
    <t>查看 E03-500-display</t>
  </si>
  <si>
    <t>UI-TPL-025-2</t>
  </si>
  <si>
    <t>点击“刷新重试”，观察反馈。</t>
  </si>
  <si>
    <t>确有刷新/重试反馈，按钮可操作；直接错误展示路由仍停在500时如实记录，不据此认定真实错误恢复。</t>
  </si>
  <si>
    <t>刷新重试触发页面加载；地址仍/500。这只证明刷新动作。</t>
  </si>
  <si>
    <t>查看 E04-500-retry</t>
  </si>
  <si>
    <t>UI-TPL-025-3</t>
  </si>
  <si>
    <t>点击“返回首页”，记录触发方式和最终地址。</t>
  </si>
  <si>
    <t>可返回首页；实际结果注明“直接访问展示路由”，未验证真实接口500处理链路。</t>
  </si>
  <si>
    <t>返回按钮已退出500至/login；需在可保持登录的前置下验证首页落点</t>
  </si>
  <si>
    <t>查看 E05-500-return</t>
  </si>
  <si>
    <t>按原前置准备；返回按钮已退出500至/login；需在可保持登录的前置下验证首页落点</t>
  </si>
  <si>
    <t>UI-TPL-026-1</t>
  </si>
  <si>
    <t>分别打开页头Tabs和列表Tabs，量测容器、文字、项间距及选中底条。</t>
  </si>
  <si>
    <t>Desktop单行页头高48px、14px/500、项间距24px；列表高40px、14px/400、项间距16px；底条2px、无圆角、#046EFC。</t>
  </si>
  <si>
    <t>组件目录无Tabs专项页；业务关联Tabs不含两种标准完整样例</t>
  </si>
  <si>
    <t>5.17正文内嵌表格及Tabs示例R008</t>
  </si>
  <si>
    <t>查看 C01-components-entry</t>
  </si>
  <si>
    <t>按原前置准备；组件目录无Tabs专项页；业务关联Tabs不含两种标准完整样例</t>
  </si>
  <si>
    <t>UI-TPL-026-2</t>
  </si>
  <si>
    <t>点击不同Tab，再用Tab进入、左右键切换、Home/End到首末项。</t>
  </si>
  <si>
    <t>仅一项选中；内容及aria-selected同步切换，tablist/tab/tabpanel关系有效；无额外确认按钮和整页刷新。</t>
  </si>
  <si>
    <t>未执行完整键盘/ARIA专项</t>
  </si>
  <si>
    <t>按原前置准备；未执行完整键盘/ARIA专项</t>
  </si>
  <si>
    <t>UI-TPL-026-3</t>
  </si>
  <si>
    <t>展示数量999和1000、长标签及8个同级入口，再收窄视口。</t>
  </si>
  <si>
    <t>999仍显示999，1000显示999+；超过7项改Select或分区；适用Tabs空间不足换行、无组件内横滚，容器随行数扩展；Mobile触达高度至少44px。</t>
  </si>
  <si>
    <t>999/1000/长标签/8项受控样例缺失</t>
  </si>
  <si>
    <t>按原前置准备；999/1000/长标签/8项受控样例缺失</t>
  </si>
  <si>
    <t>UI-TPL-026-4</t>
  </si>
  <si>
    <t>在所选Tab加载内容时查看选中态和占位。</t>
  </si>
  <si>
    <t>保留当前Tab与内容骨架，未先清空选中项；默认文字#4B5564，hover仅文字#046EFC，active为#046EFC/500，不改变透明底色。</t>
  </si>
  <si>
    <t>缺Tabs加载占位切换样例</t>
  </si>
  <si>
    <t>按原前置准备；缺Tabs加载占位切换样例</t>
  </si>
  <si>
    <t>UI-TPL-027-1</t>
  </si>
  <si>
    <t>手动依次展开两个一级分类。</t>
  </si>
  <si>
    <t>手动展开允许多个分类同时保持展开，不因手动操作强制收起其他分类。</t>
  </si>
  <si>
    <t>当前侧栏缺两个手动分类及三级可达样例</t>
  </si>
  <si>
    <t>4.5.2正文导航、hhnM72；RV02专项</t>
  </si>
  <si>
    <t>按原前置准备；当前侧栏缺两个手动分类及三级可达样例</t>
  </si>
  <si>
    <t>UI-TPL-027-2</t>
  </si>
  <si>
    <t>从一个分类点击另一个分类的子菜单。</t>
  </si>
  <si>
    <t>选中与当前页面对应；跨分类选择时按RV02处理其他分类的收起。</t>
  </si>
  <si>
    <t>跨分类样例缺失</t>
  </si>
  <si>
    <t>按原前置准备；跨分类样例缺失</t>
  </si>
  <si>
    <t>UI-TPL-027-3</t>
  </si>
  <si>
    <t>展开三级菜单并进入最深页面，再返回。</t>
  </si>
  <si>
    <t>三级入口可达，路径、高亮和面包屑一致；展开箭头本身不误触发页面导航。</t>
  </si>
  <si>
    <t>三级菜单样例缺失</t>
  </si>
  <si>
    <t>按原前置准备；三级菜单样例缺失</t>
  </si>
  <si>
    <t>UI-TPL-028-1</t>
  </si>
  <si>
    <t>触发局部查询，保持slow响应后查看查询按钮及数据区域。</t>
  </si>
  <si>
    <t>查询按钮loading并禁止重复点击；数据区域显示Spin，筛选区和其他模块仍可操作，不替换整页。</t>
  </si>
  <si>
    <t>本地查询时列表Spin出现，但查询按钮未loading、disabled=false。</t>
  </si>
  <si>
    <t>7.1 OWeLZt；7.3 topMRc、bkjAb2</t>
  </si>
  <si>
    <t>查看 T02-query-loading</t>
  </si>
  <si>
    <t>UI-TPL-028-2</t>
  </si>
  <si>
    <t>返回timeout，再分别返回offline和500。</t>
  </si>
  <si>
    <t>timeout提示“请求超时，请重试”；offline提示“网络异常，请检查网络后重试”；500提示“系统繁忙，请稍后重试”，无技术堆栈。</t>
  </si>
  <si>
    <t>没有从UI可切换的timeout/offline/500响应样例</t>
  </si>
  <si>
    <t>按原前置准备；没有从UI可切换的timeout/offline/500响应样例</t>
  </si>
  <si>
    <t>UI-TPL-028-3</t>
  </si>
  <si>
    <t>查看列表数据区域，保持筛选条件并点击重试。</t>
  </si>
  <si>
    <t>列表区域显示“加载失败，点击重试”和重试按钮；不以0条/无数据代替加载失败，筛选内容保留。</t>
  </si>
  <si>
    <t>加载失败/重试入口无法从当前列表真实触发</t>
  </si>
  <si>
    <t>按原前置准备；加载失败/重试入口无法从当前列表真实触发</t>
  </si>
  <si>
    <t>UI-TPL-028-4</t>
  </si>
  <si>
    <t>恢复成功响应后再次重试。</t>
  </si>
  <si>
    <t>数据区域恢复列表；旧错误、Spin和遮罩清除，查询按钮解除loading，其他模块不被重置。</t>
  </si>
  <si>
    <t>异常后恢复成功样例缺失</t>
  </si>
  <si>
    <t>按原前置准备；异常后恢复成功样例缺失</t>
  </si>
  <si>
    <t>UI-TPL-029-1</t>
  </si>
  <si>
    <t>勾选表头全选，再取消其中一行。</t>
  </si>
  <si>
    <t>表头从全选变半选，显示数量与实际勾选对象一致。</t>
  </si>
  <si>
    <t>20条全选后取消首行，数量19且表头半选。</t>
  </si>
  <si>
    <t>5.5 PgGeh9、6zh2eV；5.8 KJawbG</t>
  </si>
  <si>
    <t>查看 T09-half-selected</t>
  </si>
  <si>
    <t>UI-TPL-029-2</t>
  </si>
  <si>
    <t>切到下一页，再修改筛选条件。</t>
  </si>
  <si>
    <t>保留/清空表现与批准策略一致；界面能说明当前选择范围。</t>
  </si>
  <si>
    <t>翻页实际清空选择，但保留/清空批准策略未提供；本轮未完成改筛选分支</t>
  </si>
  <si>
    <t>查看 T11-page2-selection</t>
  </si>
  <si>
    <t>按原前置准备；翻页实际清空选择，但保留/清空批准策略未提供；本轮未完成改筛选分支</t>
  </si>
  <si>
    <t>UI-TPL-029-3</t>
  </si>
  <si>
    <t>打开批量确认核对数量后取消，再清空选择。</t>
  </si>
  <si>
    <t>确认对象与界面显示一致；取消后可继续操作，清空后无残留已选态。</t>
  </si>
  <si>
    <t>确认19项后取消，无删除，随后清空选择。</t>
  </si>
  <si>
    <t>查看 T10-confirm-19、T11-page2-selection</t>
  </si>
  <si>
    <t>UI-TPL-030-1</t>
  </si>
  <si>
    <t>切换空值、0及长文本样例，查看列表与详情。</t>
  </si>
  <si>
    <t>模板空值统一“—”，0按数值显示；表格长文单行省略、hover Tooltip全文；详情普通字段最多3行、备注/描述最多2行，超出可展开。</t>
  </si>
  <si>
    <t>空/0/长文受控组合样例缺失</t>
  </si>
  <si>
    <t>9.1 XHtuKi；9.2 dzigLS；9.4 AWFQWE</t>
  </si>
  <si>
    <t>按原前置准备；空/0/长文受控组合样例缺失</t>
  </si>
  <si>
    <t>UI-TPL-030-2</t>
  </si>
  <si>
    <t>展示极大数值和多页列表，滚动/翻页至首末记录。</t>
  </si>
  <si>
    <t>按9.2默认精度/单位（或明确引用的专项规则）显示，不改变精度来凑列宽；数字右对齐，无重叠，首末行及操作均可达。</t>
  </si>
  <si>
    <t>末页81–86已验证；极大数值精度与单位样例缺失</t>
  </si>
  <si>
    <t>查看 T12-last-page</t>
  </si>
  <si>
    <t>按原前置准备；末页81–86已验证；极大数值精度与单位样例缺失</t>
  </si>
  <si>
    <t>UI-TPL-030-3</t>
  </si>
  <si>
    <t>展开、收起长详情，再切换另一条记录。</t>
  </si>
  <si>
    <t>全文可读且操作可达；没有上条记录展开内容残留。本用例只验呈现；业务L±1输入合法性由原字段校验测试判定。</t>
  </si>
  <si>
    <t>长详情展开及换对象样例缺失</t>
  </si>
  <si>
    <t>按原前置准备；长详情展开及换对象样例缺失</t>
  </si>
  <si>
    <t>UI-TPL-031-1</t>
  </si>
  <si>
    <t>并排打开规范关联示例图和同类模板页面，统一视口及缩放。</t>
  </si>
  <si>
    <t>对比对象属于相同页面类型及状态，视口/缩放差异已排除。</t>
  </si>
  <si>
    <t>本轮未并排渲染关联规范示例图与同态页面</t>
  </si>
  <si>
    <t>使用指引qIcanC；3–7章及R001–R010</t>
  </si>
  <si>
    <t>按原前置准备；本轮未并排渲染关联规范示例图与同态页面</t>
  </si>
  <si>
    <t>UI-TPL-031-2</t>
  </si>
  <si>
    <t>对照页头、卡片、表格、表单和浮层的层级、间距与布局。</t>
  </si>
  <si>
    <t>整体视觉层级和组件布局符合相应示例；差异以图中位置和具体条款记录。</t>
  </si>
  <si>
    <t>当前数值差异另见001–005/022；不能替代整体图对照</t>
  </si>
  <si>
    <t>按原前置准备；当前数值差异另见001–005/022；不能替代整体图对照</t>
  </si>
  <si>
    <t>UI-TPL-031-3</t>
  </si>
  <si>
    <t>逐一对照默认、悬浮、激活、禁用、加载等实际使用状态。</t>
  </si>
  <si>
    <t>有对应状态图或文字标准；未提供或未触发的状态标待补，不判整体走查通过。</t>
  </si>
  <si>
    <t>hover/active/disabled/loading对应图未全加载</t>
  </si>
  <si>
    <t>按原前置准备；hover/active/disabled/loading对应图未全加载</t>
  </si>
  <si>
    <t>UI-TPL-031-4</t>
  </si>
  <si>
    <t>保存同状态截图，记录规范版本、页面和差异位置。</t>
  </si>
  <si>
    <t>每项判定能回溯到规范图/条款及现场截图，不能仅凭“看起来正常”通过。</t>
  </si>
  <si>
    <t>当前截图、DOM和现行规范表分别打包，已标注截图采样限制。</t>
  </si>
  <si>
    <t>查看 T01-list-baseline、C02-button-metrics</t>
  </si>
  <si>
    <t>UI-TPL-032-1</t>
  </si>
  <si>
    <t>分别查看四类按钮默认态。</t>
  </si>
  <si>
    <t>四类默认按钮32px高、8px圆角；Primary背景#046EFC/文字白；Default背景白、边框#DDDDDD、文字#1A2130；Text透明背景/文字#046EFC；Danger背景#E24B4A/文字白。</t>
  </si>
  <si>
    <t>四类按钮32px高、各颜色符合默认值；均2px圆角，要求8px。</t>
  </si>
  <si>
    <t>3.4 jYqjvY；5.1 Jhut4D、AzCyCe；7.1 OWeLZt</t>
  </si>
  <si>
    <t>查看 C02-button-metrics</t>
  </si>
  <si>
    <t>UI-TPL-032-2</t>
  </si>
  <si>
    <t>依次悬停四类按钮，再按下并移开鼠标，不完成业务提交。</t>
  </si>
  <si>
    <t>Primary hover/active为#035ED4/#0242A8；Default背景#F7F7F7/#DDDDDD、边框#9DA3AE；Text文字#035ED4/#0242A8；Danger背景#D43F3E/#BE3838；尺寸不跳变。</t>
  </si>
  <si>
    <t>本轮未逐类完成悬停/按下移出检查</t>
  </si>
  <si>
    <t>按原前置准备；本轮未逐类完成悬停/按下移出检查</t>
  </si>
  <si>
    <t>UI-TPL-032-3</t>
  </si>
  <si>
    <t>切换disabled，尝试鼠标及键盘触发。</t>
  </si>
  <si>
    <t>四类opacity均0.4，不能触发动作；禁用原因是否需说明由业务批准稿补齐。</t>
  </si>
  <si>
    <t>禁用展示值已核对；四类禁用鼠标/键盘路径未全执行</t>
  </si>
  <si>
    <t>按原前置准备；禁用展示值已核对；四类禁用鼠标/键盘路径未全执行</t>
  </si>
  <si>
    <t>UI-TPL-032-4</t>
  </si>
  <si>
    <t>切换loading，连续点击后恢复完成态。</t>
  </si>
  <si>
    <t>加载中左侧Spin、原文字保留、不可点击、无重复触发；结束后loading解除、Spin消失，按钮恢复规定状态且原文字可辨。</t>
  </si>
  <si>
    <t>静态加载样例无结束切换/请求计数；disabled=false本身不能证明可重复点击</t>
  </si>
  <si>
    <t>按原前置准备；静态加载样例无结束切换/请求计数；disabled=false本身不能证明可重复点击</t>
  </si>
  <si>
    <t>UI-TPL-033-1</t>
  </si>
  <si>
    <t>查看空输入框，再悬停。</t>
  </si>
  <si>
    <t>默认1px #DDDDDD边框/白底、placeholder #C0C4CC；hover边框#9DA3AE，内容与标签不重叠。</t>
  </si>
  <si>
    <t>默认/禁用展示尺寸已核对；hover和placeholder逐态值未完整执行</t>
  </si>
  <si>
    <t>5.2 70qKQb、XDkulo；5.7 UXf6DG</t>
  </si>
  <si>
    <t>查看 C03-input-default</t>
  </si>
  <si>
    <t>按原前置准备；默认/禁用展示尺寸已核对；hover和placeholder逐态值未完整执行</t>
  </si>
  <si>
    <t>UI-TPL-033-2</t>
  </si>
  <si>
    <t>点击聚焦，再填写有效内容并移出焦点。</t>
  </si>
  <si>
    <t>focus边框#046EFC，光晕0 0 0 3px rgba(4,110,252,0.15)；filled为#DDDDDD边框/白底、文字#1A2130。</t>
  </si>
  <si>
    <t>填充后采样边框#B6C9E3，hover/focus未排除，不能据此归类filled缺陷</t>
  </si>
  <si>
    <t>查看 C04-input-filled</t>
  </si>
  <si>
    <t>按原前置准备；填充后采样边框#B6C9E3，hover/focus未排除，不能据此归类filled缺陷</t>
  </si>
  <si>
    <t>UI-TPL-033-3</t>
  </si>
  <si>
    <t>触发已确认错误样例，再修正输入。</t>
  </si>
  <si>
    <t>error边框#E24B4A，字段下同色错误提示；修正后旧错误消失，内容保留，标签/提示不覆盖相邻控件。</t>
  </si>
  <si>
    <t>错误及修正行为已执行；错误边框/提示色未完整量测</t>
  </si>
  <si>
    <t>查看 T23-form-required、T24-field-corrected</t>
  </si>
  <si>
    <t>按原前置准备；错误及修正行为已执行；错误边框/提示色未完整量测</t>
  </si>
  <si>
    <t>UI-TPL-033-4</t>
  </si>
  <si>
    <t>切换disabled，尝试鼠标及键盘输入。</t>
  </si>
  <si>
    <t>边框#DDDDDD、背景#F7F7F7、文字#9DA3AE，不能输入；默认尺寸32px高、8px圆角、14px字号。</t>
  </si>
  <si>
    <t>禁用鼠标/键盘输入路径本轮未完成</t>
  </si>
  <si>
    <t>按原前置准备；禁用鼠标/键盘输入路径本轮未完成</t>
  </si>
  <si>
    <t>UI-TPL-034-1</t>
  </si>
  <si>
    <t>打开未添加过记录的空列表样例。</t>
  </si>
  <si>
    <t>按7.2显示“暂无数据”并引导有权限的新增；未把首次空列表报成请求失败。</t>
  </si>
  <si>
    <t>未添加过记录的独立首次空列表样例缺失</t>
  </si>
  <si>
    <t>7.2 2xUUpH；7.3 topMRc</t>
  </si>
  <si>
    <t>按原前置准备；未添加过记录的独立首次空列表样例缺失</t>
  </si>
  <si>
    <t>UI-TPL-034-2</t>
  </si>
  <si>
    <t>填写查询条件，切换0结果样例。</t>
  </si>
  <si>
    <t>显示“未找到相关结果，请调整筛选条件”，保留条件并给清空筛选入口；与首次空列表有明确区别。</t>
  </si>
  <si>
    <t>搜索无结果保留条件，重置能恢复。</t>
  </si>
  <si>
    <t>查看 T03-query-empty、T04-reset-restored</t>
  </si>
  <si>
    <t>UI-TPL-034-3</t>
  </si>
  <si>
    <t>切换完成清空后0记录样例，查看总数、分页和引导。</t>
  </si>
  <si>
    <t>总数0，页码无越界或空末页困住；无筛选清空后复用“暂无数据”并给有权限的新增引导。7.2未规定第三套固定文案，不要求三类空态必须使用三种不同字符串。</t>
  </si>
  <si>
    <t>未执行清空记录；清空后零记录样例未提供</t>
  </si>
  <si>
    <t>按原前置准备；未执行清空记录；清空后零记录样例未提供</t>
  </si>
  <si>
    <t>UI-TPL-035-1</t>
  </si>
  <si>
    <t>在有效表单点击保存，返回提交操作403。</t>
  </si>
  <si>
    <t>以Toast提示“暂无操作权限”；不把操作失败直接替换为整页403，也不显示保存成功。</t>
  </si>
  <si>
    <t>有效表单提交403受控响应缺失；/403展示不替代</t>
  </si>
  <si>
    <t>7.3 topMRc、bkjAb2</t>
  </si>
  <si>
    <t>按原前置准备；有效表单提交403受控响应缺失；/403展示不替代</t>
  </si>
  <si>
    <t>UI-TPL-035-2</t>
  </si>
  <si>
    <t>查看表单、已录字段及保存按钮。</t>
  </si>
  <si>
    <t>表单保留，输入不清空；loading结束，按钮恢复可操作状态，没有遗留全页遮罩。</t>
  </si>
  <si>
    <t>未触发提交403</t>
  </si>
  <si>
    <t>按原前置准备；未触发提交403</t>
  </si>
  <si>
    <t>UI-TPL-035-3</t>
  </si>
  <si>
    <t>恢复允许操作的样例，修改一项输入后重试或取消。</t>
  </si>
  <si>
    <t>重试有可见反馈，取消可退出；不沿用上一错误Toast作为当前结果。本用例不验证后端权限判定。</t>
  </si>
  <si>
    <t>403后恢复样例缺失</t>
  </si>
  <si>
    <t>按原前置准备；403后恢复样例缺失</t>
  </si>
  <si>
    <t>UI-TPL-036-1</t>
  </si>
  <si>
    <t>打开普通及长内容弹窗，读取尺寸、标题、内边距并滚动到末尾。</t>
  </si>
  <si>
    <t>宽度按普通480px/大640px及内容类型规范选用，圆角16px、内边距24px、标题16px/500；高度不超过720px（视口80%）；底栏固定右对齐，取消在左、确认在右，不遮挡末尾字段。</t>
  </si>
  <si>
    <t>480/640及圆角/标题/padding已核对；长内容末尾/固定底栏分支未全执行</t>
  </si>
  <si>
    <t>5.10 WJHXDG、H95Rke、t5GXhY；7.3 topMRc</t>
  </si>
  <si>
    <t>查看 C05-modal-default、C07-modal-large-stable</t>
  </si>
  <si>
    <t>按原前置准备；480/640及圆角/标题/padding已核对；长内容末尾/固定底栏分支未全执行</t>
  </si>
  <si>
    <t>UI-TPL-036-2</t>
  </si>
  <si>
    <t>填写有效输入，点击确认，保持提交中响应。</t>
  </si>
  <si>
    <t>确认按钮显示loading、保留原文字且禁止再次触发；弹窗位置及布局不跳变。</t>
  </si>
  <si>
    <t>组件静态确认样例无受控提交中响应</t>
  </si>
  <si>
    <t>按原前置准备；组件静态确认样例无受控提交中响应</t>
  </si>
  <si>
    <t>UI-TPL-036-3</t>
  </si>
  <si>
    <t>提交中连续点击确认，并点击遮罩。</t>
  </si>
  <si>
    <t>确认不重复触发；遮罩不能点击关闭弹窗；不把加载态的遮罩规则套用于普通详情抽屉。</t>
  </si>
  <si>
    <t>缺请求计数及加载时遮罩关闭样例</t>
  </si>
  <si>
    <t>按原前置准备；缺请求计数及加载时遮罩关闭样例</t>
  </si>
  <si>
    <t>UI-TPL-036-4</t>
  </si>
  <si>
    <t>返回提交失败，查看输入、按钮和取消。</t>
  </si>
  <si>
    <t>Toast说明错误；输入保留，loading解除，用户可修正、重试或取消；不能清空表单或误显示成功。</t>
  </si>
  <si>
    <t>缺提交失败保留输入/恢复样例</t>
  </si>
  <si>
    <t>按原前置准备；缺提交失败保留输入/恢复样例</t>
  </si>
  <si>
    <t>UI-TPL-037-1</t>
  </si>
  <si>
    <t>在1279和1280宽度打开相同列表、表单，查看侧栏、页头、固定列及操作。</t>
  </si>
  <si>
    <t>1279属Tablet，1280属Desktop；布局按4.5.2切换（Tablet表单单列、Header48px/导航抽屉280px；Desktop Header56px及分段侧栏），主操作可达，固定列不重叠；不以Desktop细节硬套Tablet。</t>
  </si>
  <si>
    <t>1279属Tablet时表单仍双列；1280及1024已有对应取证。</t>
  </si>
  <si>
    <t>4.5.1 cHhLBb；4.5.2 hhnM72、oppJwY、JwsjUF</t>
  </si>
  <si>
    <t>查看 T39-list-1279、T40-form-1279、T14-list-1280、T27-form-tablet</t>
  </si>
  <si>
    <t>UI-TPL-037-2</t>
  </si>
  <si>
    <t>在768宽度查看长文本和底部操作，打开详情后返回。</t>
  </si>
  <si>
    <t>768属Tablet；文字可读、底部操作可达、返回当前对象，无意外页面横向溢出。</t>
  </si>
  <si>
    <t>768无根级横溢，列表操作及640px抽屉可达，关闭后回列表。</t>
  </si>
  <si>
    <t>查看 T41-form-768、T42-list-768、T43-drawer-tablet、T44-final-list</t>
  </si>
  <si>
    <t>UI-TPL-037-3</t>
  </si>
  <si>
    <t>仅在Mobile已纳入本期时检查767宽度；否则记录该子步骤不适用。</t>
  </si>
  <si>
    <t>已纳入时767采用Mobile设计，列表卡片等要求按4.5检查；未纳入时写明不适用，仍独立判定前两步Desktop/Tablet结果。</t>
  </si>
  <si>
    <t>Mobile范围无批准结论，不能写不适用</t>
  </si>
  <si>
    <t>按原前置准备；Mobile范围无批准结论，不能写不适用</t>
  </si>
  <si>
    <t>UI-TPL-038-1</t>
  </si>
  <si>
    <t>选择允许文件并开始上传，保持上传中样例。</t>
  </si>
  <si>
    <t>用Progress展示百分比进度及文件对象；上传中有取消入口，不以只有Spin代替进度。</t>
  </si>
  <si>
    <t>真实合成PDF选择后可见百分比及取消入口，重试采样20%；预置60%仅作展示。</t>
  </si>
  <si>
    <t>5.6 AsS314；7.1 OWeLZt</t>
  </si>
  <si>
    <t>查看 C08-upload-file-selected、C10-upload-retry-progress</t>
  </si>
  <si>
    <t>UI-TPL-038-2</t>
  </si>
  <si>
    <t>点击取消，再选择该文件重新开始上传。</t>
  </si>
  <si>
    <t>取消有可理解反馈并终止该文件上传状态；重新上传对象明确，不沿用已取消任务的成功结果。</t>
  </si>
  <si>
    <t>取消已完成；取消后重新选择同文件分支未完成</t>
  </si>
  <si>
    <t>查看 C11-upload-cancel</t>
  </si>
  <si>
    <t>按原前置准备；取消已完成；取消后重新选择同文件分支未完成</t>
  </si>
  <si>
    <t>UI-TPL-038-3</t>
  </si>
  <si>
    <t>返回上传失败，再点击该文件的重试。</t>
  </si>
  <si>
    <t>失败有明确原因及重试入口；重试有进度反馈，成功样例恢复为完成；未完成内容不标为成功。</t>
  </si>
  <si>
    <t>重试进度可见，但该PDF始终网络异常，无重试成功样例</t>
  </si>
  <si>
    <t>查看 C09-upload-auto-error、C10-upload-retry-progress</t>
  </si>
  <si>
    <t>按原前置准备；重试进度可见，但该PDF始终网络异常，无重试成功样例</t>
  </si>
  <si>
    <t>UI-TPL-039-1</t>
  </si>
  <si>
    <t>先正常打开页面，再对该页面初始化/重新加载返回403样例。</t>
  </si>
  <si>
    <t>进入整页无权限状态；受限页面内容不继续呈现，不把403显示为0条数据或服务器500。</t>
  </si>
  <si>
    <t>正常页面初始化返回403的受控入口缺失</t>
  </si>
  <si>
    <t>7.3 2WRfcT、CIIazx；与bkjAb2操作错误区分</t>
  </si>
  <si>
    <t>按原前置准备；正常页面初始化返回403的受控入口缺失</t>
  </si>
  <si>
    <t>UI-TPL-039-2</t>
  </si>
  <si>
    <t>查看标题、说明、图标及操作。</t>
  </si>
  <si>
    <t>标题“暂无访问权限”、说明“请联系管理员获取相应权限”；展示居中的返回首页入口，样式遵循7.3异常页。</t>
  </si>
  <si>
    <t>只有直接/403展示取证，非本条链路</t>
  </si>
  <si>
    <t>按原前置准备；只有直接/403展示取证，非本条链路</t>
  </si>
  <si>
    <t>UI-TPL-039-3</t>
  </si>
  <si>
    <t>点击返回首页，再恢复允许访问样例并重开原页面。</t>
  </si>
  <si>
    <t>返回有效；恢复后显示新页面内容，不反复陷入403循环或残留旧受限页面。</t>
  </si>
  <si>
    <t>初始化403后恢复入口缺失</t>
  </si>
  <si>
    <t>按原前置准备；初始化403后恢复入口缺失</t>
  </si>
  <si>
    <t>UI-TPL-039-4</t>
  </si>
  <si>
    <t>记录实际触发请求、响应、入口和截图。</t>
  </si>
  <si>
    <t>证据包含从页面加载触发403的过程；不以直接访问/403截图替代，也不据此判服务端权限机制通过。</t>
  </si>
  <si>
    <t>未取得实际初始化403触发请求与响应</t>
  </si>
  <si>
    <t>按原前置准备；未取得实际初始化403触发请求与响应</t>
  </si>
  <si>
    <t>UI-TPL-040-1</t>
  </si>
  <si>
    <t>在1440×900打开小图及超大横图、竖图预览，量测安全区和关闭位置。</t>
  </si>
  <si>
    <t>Desktop内容距四边至少48px，最大宽1344px/高804px，关闭按钮距边24px；图片等比缩小，不裁切、不拉伸。</t>
  </si>
  <si>
    <t>Desktop小图160×100未放大；横图2500×1800→1116.66×804，竖图1800×2600→556.61×804，等比；四边≥48，关闭距24。判定用DOM量测，截图未同步呈现浮层。</t>
  </si>
  <si>
    <t>5.6 Z8M50N；4.5.1 cHhLBb</t>
  </si>
  <si>
    <t>查看 C12-preview-small、C13-preview-landscape、C14a-preview-portrait-stable</t>
  </si>
  <si>
    <t>UI-TPL-040-2</t>
  </si>
  <si>
    <t>切换1024×768后再次打开超大图片。</t>
  </si>
  <si>
    <t>Tablet内容距四边至少32px，最大宽960px/高704px，关闭按钮距边20px；长文件名不盖住图片或关闭入口。</t>
  </si>
  <si>
    <t>1024×768横图959.97×691.19，四边≥32；关闭距20。</t>
  </si>
  <si>
    <t>查看 C15-preview-tablet</t>
  </si>
  <si>
    <t>UI-TPL-040-3</t>
  </si>
  <si>
    <t>关闭预览，重新打开另一张图片，再滚动原页面。</t>
  </si>
  <si>
    <t>可明确退出预览；无残留遮罩、旧图或滚动锁；文件列表和当前对象仍可识别。</t>
  </si>
  <si>
    <t>关闭后预览img/close为空、body overflow恢复空值，点击上传标题后原文件列表可定位；通过DOM判定，未以不同步截图代替。</t>
  </si>
  <si>
    <t>查看 C16-preview-exit</t>
  </si>
  <si>
    <t>SN318 W2 整改跟进</t>
  </si>
  <si>
    <t>清单范围</t>
  </si>
  <si>
    <t>规范差异、待裁决、样例缺口</t>
  </si>
  <si>
    <t>新增登记</t>
  </si>
  <si>
    <t>G03/G04拆分旧受阻条件</t>
  </si>
  <si>
    <t>原修改清单不覆盖</t>
  </si>
  <si>
    <t>填报说明</t>
  </si>
  <si>
    <t>黄色栏由责任方填写</t>
  </si>
  <si>
    <t>未分派人员与日期不虚填</t>
  </si>
  <si>
    <t>关闭条件</t>
  </si>
  <si>
    <t>修改完成且复测通过</t>
  </si>
  <si>
    <t>仍有条件未齐</t>
  </si>
  <si>
    <t>继续显示待补齐</t>
  </si>
  <si>
    <t>记录分工</t>
  </si>
  <si>
    <t>模型结果与人工复核分栏</t>
  </si>
  <si>
    <t>版本限制</t>
  </si>
  <si>
    <t>未重跑的条目保留旧基线</t>
  </si>
  <si>
    <t>主数据通过不替代产品裁决</t>
  </si>
  <si>
    <t>建议推进</t>
  </si>
  <si>
    <t>P1差异优先整改</t>
  </si>
  <si>
    <t>判据确认</t>
  </si>
  <si>
    <t>产品/设计确认冲突与范围</t>
  </si>
  <si>
    <t>样例补齐</t>
  </si>
  <si>
    <t>开发提供测试条件</t>
  </si>
  <si>
    <t>复测安排</t>
  </si>
  <si>
    <t>条件齐备后测试介入</t>
  </si>
  <si>
    <t>具体人员、日期待填写</t>
  </si>
  <si>
    <t>问题ID</t>
  </si>
  <si>
    <t>类型</t>
  </si>
  <si>
    <t>等级</t>
  </si>
  <si>
    <t>页面或对象</t>
  </si>
  <si>
    <t>跟进状态</t>
  </si>
  <si>
    <t>本轮复核覆盖</t>
  </si>
  <si>
    <t>实际差异或复核表现</t>
  </si>
  <si>
    <t>修改或补齐建议</t>
  </si>
  <si>
    <t>验收标准</t>
  </si>
  <si>
    <t>关联用例ID</t>
  </si>
  <si>
    <t>缺条件</t>
  </si>
  <si>
    <t>建议责任角色</t>
  </si>
  <si>
    <t>责任人</t>
  </si>
  <si>
    <t>计划完成日期</t>
  </si>
  <si>
    <t>采用或修复版本</t>
  </si>
  <si>
    <t>复测日期</t>
  </si>
  <si>
    <t>复测结果</t>
  </si>
  <si>
    <t>复测证据</t>
  </si>
  <si>
    <t>关闭核对</t>
  </si>
  <si>
    <t>已证实规范差异</t>
  </si>
  <si>
    <t>P2</t>
  </si>
  <si>
    <t>模板/基础配置/按钮示例</t>
  </si>
  <si>
    <t>待整改复测</t>
  </si>
  <si>
    <t>主数据轮次已核对</t>
  </si>
  <si>
    <t>主数据查询按钮仍2px；模板范围未复测。证据C03-rate-visual。</t>
  </si>
  <si>
    <t>检查公共按钮Token及square类覆盖</t>
  </si>
  <si>
    <t>四类默认按钮32px高、8px圆角；文字不裁切，hover/active尺寸不跳变</t>
  </si>
  <si>
    <t>UI-M1-025
UI-TPL-001
UI-TPL-032</t>
  </si>
  <si>
    <t>前端开发整改；测试复测</t>
  </si>
  <si>
    <t>/demo/list</t>
  </si>
  <si>
    <t>本轮没有重跑该问题对应页面或异常分支；原整改/复测状态保留。</t>
  </si>
  <si>
    <t>检查标准页头垂直间距及行高</t>
  </si>
  <si>
    <t>标准页头94px、面包屑18px，标题与按钮底部对齐</t>
  </si>
  <si>
    <t>模板操作列/汇率公共表格</t>
  </si>
  <si>
    <t>主数据操作仍居中、gap4px；模板范围未复测。证据C03-rate-visual。</t>
  </si>
  <si>
    <t>统一公共表格操作容器，复测固定列边界</t>
  </si>
  <si>
    <t>操作左对齐、文字按钮间距16px；Tablet固定列无重叠</t>
  </si>
  <si>
    <t>UI-M1-025
UI-TPL-003
UI-TPL-005</t>
  </si>
  <si>
    <t>查看 C03-rate-metrics</t>
  </si>
  <si>
    <t>W2-R04</t>
  </si>
  <si>
    <t>模板/汇率普通正文</t>
  </si>
  <si>
    <t>主数据普通正文仍#1A2130；模板范围未复测。证据C03-rate-metrics。</t>
  </si>
  <si>
    <t>检查正文Token被组件默认字色覆盖</t>
  </si>
  <si>
    <t>普通正文#4B5564；标题与状态语义色保留</t>
  </si>
  <si>
    <t>UI-M1-025
UI-TPL-004</t>
  </si>
  <si>
    <t>W2-R05</t>
  </si>
  <si>
    <t>/demo/list 运单链接</t>
  </si>
  <si>
    <t>按现行链接Token统一</t>
  </si>
  <si>
    <t>默认链接#046EFC，hover/active使用规定色，状态含义不被覆盖</t>
  </si>
  <si>
    <t>P1</t>
  </si>
  <si>
    <t>/demo/list/form Tablet</t>
  </si>
  <si>
    <t>检查Tablet断点与表单列配置</t>
  </si>
  <si>
    <t>768≤宽&lt;1280采用单列、标签在上、padding16；底栏键盘可达、无根级横溢；1280恢复Desktop</t>
  </si>
  <si>
    <t>UI-TPL-022
UI-TPL-037</t>
  </si>
  <si>
    <t>查看 T27-form-tablet、T40-form-1279、T41-form-768</t>
  </si>
  <si>
    <t>W2-R07</t>
  </si>
  <si>
    <t>已证实交互缺陷</t>
  </si>
  <si>
    <t>/demo/list 查询</t>
  </si>
  <si>
    <t>让查询按钮绑定请求状态并防止重复请求</t>
  </si>
  <si>
    <t>查询启动立即loading并不可再次触发；保留筛选，完成/失败后解除loading</t>
  </si>
  <si>
    <t>需补请求计数/slow及异常恢复样例</t>
  </si>
  <si>
    <t>已证实交互差异</t>
  </si>
  <si>
    <t>/demo/list reload</t>
  </si>
  <si>
    <t>核对Mock登录状态恢复与路由准入约定</t>
  </si>
  <si>
    <t>本地测试账号刷新仍处于/demo/list且导航一致、详情可用；若Mock不支持持久登录，应批准修改原验收前置并明确说明</t>
  </si>
  <si>
    <t>Mock会话持久性验收口径需明确</t>
  </si>
  <si>
    <t>18个M1列表+2个关联子表</t>
  </si>
  <si>
    <t>18列表+2子表无结果仍暂无××数据，重置恢复已验证。见UI-M1-001至020。</t>
  </si>
  <si>
    <t>按是否有筛选区分首次无数据与无结果，共用空态组件</t>
  </si>
  <si>
    <t>查询0结果保留条件并显示未找到相关结果/调整筛选及重置入口；重置恢复原对象；首次无数据仍按权限引导新增</t>
  </si>
  <si>
    <t>UI-M1-001
UI-M1-002
UI-M1-003
UI-M1-004
UI-M1-005
UI-M1-006
UI-M1-007
UI-M1-008
UI-M1-009
UI-M1-010
UI-M1-011
UI-M1-012
UI-M1-013
UI-M1-014
UI-M1-015
UI-M1-016
UI-M1-017
UI-M1-018
UI-M1-019
UI-M1-020</t>
  </si>
  <si>
    <t>查看 M02-country-empty、R10-empty、R11-empty、R12-empty、R13-empty、R14-empty、R15-empty、R16-empty、R17-empty、R18-empty、R19-empty、R20-empty、R4-empty、R5-empty、R6-empty、R7-empty、R8-empty、R9-empty、S19-relation-empty、S20-relation-empty</t>
  </si>
  <si>
    <t>W2-R10</t>
  </si>
  <si>
    <t>已证实说明与交互不一致</t>
  </si>
  <si>
    <t>/demo/components Upload</t>
  </si>
  <si>
    <t>明确待上传/上传中状态；按已声明显式提交方案设置开始动作，或经产品批准修订说明</t>
  </si>
  <si>
    <t>选择后仅待上传，明确开始才显示进度；取消终止，重试可成功；本条未验证实际网络文件传输</t>
  </si>
  <si>
    <t>查看 C08-upload-file-selected、C09-upload-auto-error、C10-upload-retry-progress、C11-upload-cancel</t>
  </si>
  <si>
    <t>需要批准上传触发方案及可成功重试样例</t>
  </si>
  <si>
    <t>基础配置汇率ratio</t>
  </si>
  <si>
    <t>汇率7.1234实际内层仍左对齐。证据C03-rate-metrics。</t>
  </si>
  <si>
    <t>为ratio配置数字右对齐，保留PRD/M1精度</t>
  </si>
  <si>
    <t>汇率数字右对齐；不改变精度迁就宽度，空与0可区分</t>
  </si>
  <si>
    <t>UI-M1-025
UI-W2-51-1</t>
  </si>
  <si>
    <t>规范/范围待裁决</t>
  </si>
  <si>
    <t>费用项字段</t>
  </si>
  <si>
    <t>待确认</t>
  </si>
  <si>
    <t>费用项仍分组编码/默认币种文本，产品PRD与M1映射待裁决。F04/F07。</t>
  </si>
  <si>
    <t>确认M1字段是否映射到本周产品PRD；批准后再定修复范围</t>
  </si>
  <si>
    <t>产品确认字段映射/字典来源/必填与变更审批；批准范围内选择控件符合稿</t>
  </si>
  <si>
    <t>UI-M1-021
UI-M1-022
UI-W2-50-1</t>
  </si>
  <si>
    <t>查看 F04-fee-create、F07-fee-duplicate-result</t>
  </si>
  <si>
    <t>产品批准M1与PRD映射</t>
  </si>
  <si>
    <t>产品/设计裁决；测试核对</t>
  </si>
  <si>
    <t>币种与汇率</t>
  </si>
  <si>
    <t>M1只读/结束区间可调/无删除已验证，但产品版本/删除/审批裁决未完成。C04-C06。</t>
  </si>
  <si>
    <t>确定本周采用版本维护、审批与删除口径</t>
  </si>
  <si>
    <t>产品签定一种一致口径，补变更版本/权限/提交异常样例；按批准口径复测</t>
  </si>
  <si>
    <t>UI-M1-024
UI-W2-51-2</t>
  </si>
  <si>
    <t>产品对冲突条款作裁决</t>
  </si>
  <si>
    <t>W2-D03</t>
  </si>
  <si>
    <t>体验说明待确认</t>
  </si>
  <si>
    <t>基础配置对象区</t>
  </si>
  <si>
    <t>本地仍启用Mock，界面仍写“选择对象查看正式数据”。R18-loaded。</t>
  </si>
  <si>
    <t>确认Mock环境标识及文案</t>
  </si>
  <si>
    <t>本地测试界面能识别模拟数据来源；该文案不当作生产数据证明</t>
  </si>
  <si>
    <t>查看 R18-loaded</t>
  </si>
  <si>
    <t>Mock环境标识方案</t>
  </si>
  <si>
    <t>样例/批准策略缺口</t>
  </si>
  <si>
    <t>查询/表单/异常页</t>
  </si>
  <si>
    <t>待补齐</t>
  </si>
  <si>
    <t>提供可在页面触发的受控响应及恢复按钮/数据</t>
  </si>
  <si>
    <t>逐分支记录真实UI动作、响应和恢复；不以直接/403、/500路由替代</t>
  </si>
  <si>
    <t>UI-TPL-028
UI-TPL-035
UI-TPL-039</t>
  </si>
  <si>
    <t>查看 E01-403-display、E03-500-display</t>
  </si>
  <si>
    <t>响应样例与初始化/提交触发方式</t>
  </si>
  <si>
    <t>组件/表单/导航</t>
  </si>
  <si>
    <t>专项分类长文/&gt;7项及键盘路径、极值数据等仍缺；已可执行普通UI步骤分别取证。</t>
  </si>
  <si>
    <t>先补批准策略，再提供Tabs计数/长文/三态/请求计数等可执行样例</t>
  </si>
  <si>
    <t>按每条需要条件补齐后逐步复测；不得把DOM存在/历史通过替代新执行</t>
  </si>
  <si>
    <t>UI-TPL-013
UI-TPL-014
UI-TPL-016
UI-TPL-020
UI-TPL-021
UI-TPL-023
UI-TPL-026
UI-TPL-027
UI-TPL-029
UI-TPL-030
UI-TPL-031
UI-TPL-032
UI-TPL-033
UI-TPL-034
UI-TPL-036
UI-TPL-038
UI-W2-51-2
UI-W2-56-2</t>
  </si>
  <si>
    <t>查看 R17-loaded、R20-loaded</t>
  </si>
  <si>
    <t>逐条缺条件见用例记录</t>
  </si>
  <si>
    <t>W2-MR01</t>
  </si>
  <si>
    <t>费用项新增重复编码</t>
  </si>
  <si>
    <t>只弹全局重复Toast，编码字段未显示关联错误</t>
  </si>
  <si>
    <t>将编码唯一性错误映射到编码字段下，保留其他输入</t>
  </si>
  <si>
    <t>重复FREIGHT时编码字段下定位重复原因；输入保留、保存解锁</t>
  </si>
  <si>
    <t>编码上限L与其他失败样例另列受阻</t>
  </si>
  <si>
    <t>执行条件缺口</t>
  </si>
  <si>
    <t>业务字典专项范围</t>
  </si>
  <si>
    <t>业务字典PRD映射与专项分类采纳稿未确认；普通新增/取消步骤已有证据。</t>
  </si>
  <si>
    <t>产品/设计确认业务字典字段、分类及本周纳入范围；测试按批准口径核对。</t>
  </si>
  <si>
    <t>PRD与采纳稿可追溯到本周工作包；已记录的普通UI步骤不被重复记成未执行。</t>
  </si>
  <si>
    <t>W2-G04</t>
  </si>
  <si>
    <t>费用项边界与失败响应</t>
  </si>
  <si>
    <t>编码上限L及非重复编码的可控保存失败响应缺失。</t>
  </si>
  <si>
    <t>产品确认L；开发提供L-1/L/L+1及非重复保存失败样例；测试逐分支复测。</t>
  </si>
  <si>
    <t>边界限制按批准L呈现；旧字段错误清除，新失败提示明确、输入保留、保存解锁。</t>
  </si>
  <si>
    <t>所属模块</t>
  </si>
  <si>
    <t>步骤描述</t>
  </si>
  <si>
    <t>用例等级</t>
  </si>
  <si>
    <t>备注</t>
  </si>
  <si>
    <t>执行状态</t>
  </si>
  <si>
    <t>实际结果/证据</t>
  </si>
  <si>
    <t>人工二次复核</t>
  </si>
  <si>
    <t>本次原候选执行状态</t>
  </si>
  <si>
    <t>本次说明（原H/I保留）</t>
  </si>
  <si>
    <t>本次Build/覆盖</t>
  </si>
  <si>
    <t>复核状态（fd786de 主数据轮次）</t>
  </si>
  <si>
    <t>复核实际/证据（保留原H-M）</t>
  </si>
  <si>
    <t>本轮Build与范围</t>
  </si>
  <si>
    <t>相对上一轮的变化</t>
  </si>
  <si>
    <t>/SN318/W2/服务单元/服务单元列表与筛选/interaction</t>
  </si>
  <si>
    <t>[1]使用具备“服务单元”页面权限的测试账号，进入本批提测环境。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[4]列表有可匹配记录；准备一组有效筛选条件及一组必定无结果的条件。</t>
  </si>
  <si>
    <t>[1]从菜单进入服务单元列表，查看页头、筛选区和主操作。
[2]填写有效条件，点击“查询”，观察列表刷新过程。
[3]改为无结果条件，再次点击“查询”。
[4]点击“重置”，重新查看列表及筛选控件。</t>
  </si>
  <si>
    <t>[1]页面标题、面包屑及当前菜单一致；主操作属于当前列表，筛选控件未被强行拉伸。
[2]查询过程中有局部刷新反馈；完成后显示对应样例数据，输入条件仍可查看。
[3]显示“未找到相关结果”及调整/清空筛选引导；筛选区保留，不能显示为首次无数据。
[4]筛选恢复批准的初始值，列表退出无结果态；页码、总数及当前数据相互对应。</t>
  </si>
  <si>
    <t>P0</t>
  </si>
  <si>
    <t>【设计依据】场景法-筛选与空态恢复
【测试类型】interaction
【追溯信息】用例编号：UI-W2-01-1；原用例：W2-01-1；排期序号1/原表行5
【知识库依据】RV12/RV13/RV14/RV23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【待补判据】实际筛选字段/初始值、查询及重置是否重新请求、页头创建入口位置（RV23待确认）。未明确的子步骤记受阻。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</si>
  <si>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原候选步骤未完整重跑；本次已交付M1补测见下方UI-M1-001–025，不替代本条。</t>
  </si>
  <si>
    <t>W2-dev-20261014-5c6bc530</t>
  </si>
  <si>
    <t>本轮聚焦主数据相关31条；本条未复核，K-M旧轮次记录保留。</t>
  </si>
  <si>
    <t>W2-master-20261014-fd786de-8cdf1453
本轮未涉及</t>
  </si>
  <si>
    <t>未重跑；不产生新通过/失败结论。</t>
  </si>
  <si>
    <t>/SN318/W2/服务单元/服务单元列表与筛选/boundary</t>
  </si>
  <si>
    <t>[1]使用具备“服务单元”页面权限的测试账号，进入本批提测环境。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[4]按PRD长度上限L准备接近上限的中文、英文名称；列表包含足以触发横向滚动的列。</t>
  </si>
  <si>
    <t>[1]打开服务单元列表，查看长名称和业务标识列。
[2]悬停被省略的名称，再用键盘定位同一条记录。
[3]将表格向右滚动到最末列，再向左滚回。
[4]分别在1440和1024宽度下重复横向滚动。</t>
  </si>
  <si>
    <t>[1]长名称单行省略显示；核心业务标识未被无关字段挤出可视区域。
[2]可通过规范规定的全文提示读取名称；键盘焦点不被截断容器遮挡。
[3]左侧勾选/识别列、右侧操作列固定且内容完整；主体列未覆盖固定列。
[4]滚动发生在表格容器内部；页面不产生额外横向溢出，操作按钮仍可达。</t>
  </si>
  <si>
    <t>【设计依据】边界值分析-长文本与固定列
【测试类型】boundary
【追溯信息】用例编号：UI-W2-01-2；原用例：W2-01-2；排期序号1/原表行5
【知识库依据】RV16/规范5.8、9.4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【待补判据】目标名称字段及长度L、长名称样例、左侧勾选/核心标识字段和右侧操作固定列设计、最小支持宽度。未明确的子步骤记受阻。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</si>
  <si>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/SN318/W2/服务单元/服务单元批量操作/interaction</t>
  </si>
  <si>
    <t>[1]使用具备“服务单元”页面权限的测试账号，进入本批提测环境。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[4]准备仅一页、恰好3条可选记录的列表；尚未选择记录，避免本条受跨页选择策略干扰。</t>
  </si>
  <si>
    <t>[1]进入服务单元列表，查看未选中时的顶部工具栏。
[2]勾选第1条记录，查看批量栏及整行背景。
[3]点击表头全选，再取消其中1行。
[4]点击取消选择。</t>
  </si>
  <si>
    <t>[1]默认工具栏可见，批量栏未出现，3行均未选中。
[2]表格顶部显示已选择1项；主体和固定列的选中背景一致。
[3]3行全选后显示已选择3项；取消1行后显示已选择2项，表头呈半选态，行勾选与数量对应。
[4]3行勾选及选中背景清空，批量栏消失，默认工具栏恢复。</t>
  </si>
  <si>
    <t>【设计依据】状态转换-零选单选全选半选
【测试类型】interaction
【追溯信息】用例编号：UI-W2-02-1；原用例：W2-02-1；排期序号2/原表行6
【知识库依据】RV17/RV18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【待补判据】单页3条可选记录、顶部批量栏设计和已选择数量文案；跨页范围另由UI-W2-02-2检查。未明确的子步骤记受阻。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</si>
  <si>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/SN318/W2/服务单元/服务单元批量操作/exception</t>
  </si>
  <si>
    <t>[1]使用具备“服务单元”页面权限的测试账号，进入本批提测环境。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[4]准备可操作/不可操作混合记录及部分失败响应样例；跨页选择策略已写入PRD。</t>
  </si>
  <si>
    <t>[1]选中混合状态记录，查看批量按钮及禁用说明。
[2]切换到下一页并修改筛选条件，查看选中对象与数量。
[3]打开批量操作确认，核对对象范围后用前端样例返回部分失败。
[4]定位失败记录，取消选择或按提供入口重试。</t>
  </si>
  <si>
    <t>[1]按钮按批准策略显示可用状态；不可操作项的原因可理解，不只用颜色区分。
[2]跨页和筛选后的保留/清空表现符合已批准策略；数量与可操作对象范围一致。
[3]确认展示的范围与勾选一致；结果分别说明成功数和失败数，不把部分失败报成全部成功。
[4]失败对象及原因可定位；结束后按钮解除loading，用户能清空选择或继续处理。</t>
  </si>
  <si>
    <t>【设计依据】错误推测法-混合对象与部分失败
【测试类型】exception
【追溯信息】用例编号：UI-W2-02-2；原用例：W2-02-2；排期序号2/原表行6
【知识库依据】阶段共识19/规范7.3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【待补判据】允许批量动作、不可操作项原因、全选范围、跨页/改筛选后的选择策略、部分失败响应与重试入口。未明确的子步骤记受阻。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</si>
  <si>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/SN318/W2/服务单元/新增/编辑服务单元（弹窗）/UI</t>
  </si>
  <si>
    <t>[1]使用具备“服务单元”页面权限的测试账号，进入本批提测环境。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[4]已确认新增/编辑的承载容器；准备一条允许编辑的服务单元记录。
[5]产品/UI已书面确定本入口采用页面、弹窗还是抽屉，按确认后的容器执行。</t>
  </si>
  <si>
    <t>[1]从列表点击“新增服务单元”，查看容器、标题和字段组。
[2]滚动到末尾，再返回顶部，查看保存/取消入口。
[3]取消新增，打开已有记录的“编辑”。
[4]比较新增和编辑的公共字段、帮助文字与主操作位置。</t>
  </si>
  <si>
    <t>[1]承载方式与批准稿一致；标题明确为新增，必填/可选字段及分组清楚。
[2]操作区按该容器规范固定或可达；长表单不需要嵌套多层弹窗。
[3]回到原列表后可打开编辑；标题明确为编辑，回显字段与当前对象一致。
[4]相同含义的字段、控件和文案保持一致；只读字段有明确展示，不伪装为可输入。</t>
  </si>
  <si>
    <t>【设计依据】场景法-内容承载与表单分组
【测试类型】UI
【追溯信息】用例编号：UI-W2-03-1；原用例：W2-03-1；排期序号3/原表行7
【知识库依据】RV06/规范内容承载决策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【待补判据】新增/编辑承载容器、固定操作区、目标必填字段与长度上限L、离开确认及草稿策略（RV06修改中）。未明确的子步骤记受阻。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</si>
  <si>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/SN318/W2/服务单元/新增/编辑服务单元（弹窗）/boundary</t>
  </si>
  <si>
    <t>[1]使用具备“服务单元”页面权限的测试账号，进入本批提测环境。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[4]PRD已给出目标文本字段上限L；准备L-1、L、L+1字符；重要输入的离开策略已确认。
[5]产品/UI已书面确定本入口采用页面、弹窗还是抽屉，按确认后的容器执行。</t>
  </si>
  <si>
    <t>[1]打开新增表单，清空一个必填字段，点击“保存”。
[2]修正该字段，分别输入L-1、L和L+1字符，检查计数及超限反馈。
[3]填写其他重要输入，再点击“取消”或浏览器返回。
[4]按批准策略选择保留编辑或确认离开，再次进入该表单。</t>
  </si>
  <si>
    <t>[1]相关字段下显示明确必填提示；表单仍保留，错误不会遮盖下一字段或操作区。
[2]有效长度按批准规则可输入；超限被限制或明确提示，具体表现与PRD一致，文本不撑破布局。
[3]离开行为按已确认策略处理；如设计要求确认，明确提供离开/继续编辑两个动作。
[4]保留编辑时内容不丢失；确认离开后的重入内容符合批准策略，不把旧对象输入带入新对象。</t>
  </si>
  <si>
    <t>【设计依据】边界值分析/场景法-错误修正和离开
【测试类型】boundary
【追溯信息】用例编号：UI-W2-03-2；原用例：W2-03-2；排期序号3/原表行7
【知识库依据】规范5.7/阶段共识22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【待补判据】新增/编辑承载容器、固定操作区、目标必填字段与长度上限L、离开确认及草稿策略（RV06修改中）。未明确的子步骤记受阻。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</si>
  <si>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/SN318/W2/服务单元/服务单元详情（只读）/UI</t>
  </si>
  <si>
    <t>[1]使用具备“服务单元”页面权限的测试账号，进入本批提测环境。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[4]服务单元详情Page/Drawer冲突已裁决；准备一条有多组信息的记录。
[5]产品/UI已书面确定本入口采用页面、弹窗还是抽屉，按确认后的容器执行。</t>
  </si>
  <si>
    <t>[1]从服务单元列表打开一条详情，查看容器和标题。
[2]逐组查看字段、状态及关联信息。
[3]使用详情提供的关闭/返回入口回到列表。</t>
  </si>
  <si>
    <t>[1]采用本入口已裁决的承载方式；标题及对象标识清楚，没有同时出现两套冲突入口。
[2]只读信息按分组展示；只读值不显示误导性输入框、保存按钮或可编辑暗示。
[3]返回原列表上下文；筛选、定位及滚动的表现符合批准设计，不跳到无关页面。</t>
  </si>
  <si>
    <t>【设计依据】场景法-详情承载与只读语义
【测试类型】UI
【追溯信息】用例编号：UI-W2-04-1；原用例：W2-04-1；排期序号4/原表行8
【知识库依据】RV07/RV22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【待补判据】详情采用Page还是Drawer（RV07与RV22待裁决）、空值口径、返回后筛选/定位保留范围。未明确的子步骤记受阻。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</si>
  <si>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/SN318/W2/服务单元/服务单元详情（只读）/boundary</t>
  </si>
  <si>
    <t>[1]使用具备“服务单元”页面权限的测试账号，进入本批提测环境。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[4]准备记录A（空字段、长地址/备注、多关联项）及内容明显不同的记录B。
[5]产品/UI已书面确定本入口采用页面、弹窗还是抽屉，按确认后的容器执行。</t>
  </si>
  <si>
    <t>[1]打开记录A详情，查看空值、长地址和长备注。
[2]展开长文本，滚动到末尾，再收起。
[3]关闭A详情，立即打开记录B。
[4]关闭B详情，查看列表当前定位。</t>
  </si>
  <si>
    <t>[1]空值按批准口径显示；超过规范行数的长文本提供展开，未无提示丢失内容。
[2]可完整阅读内容；标题/操作及内容滚动关系符合批准容器，不出现叠层遮挡。
[3]标题、状态、字段值和关联信息均属于B；不短暂或持续显示A的旧详情。
[4]列表上下文按批准稿保留，仍能定位刚查看的对象。</t>
  </si>
  <si>
    <t>【设计依据】边界值分析-长详情与对象切换
【测试类型】boundary
【追溯信息】用例编号：UI-W2-04-2；原用例：W2-04-2；排期序号4/原表行8
【知识库依据】规范5.11、9.1、9.4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【待补判据】详情采用Page还是Drawer（RV07与RV22待裁决）、空值口径、返回后筛选/定位保留范围。未明确的子步骤记受阻。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</si>
  <si>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/SN318/W2/服务单元/禁用编排/启用 与产品引用关系/interaction</t>
  </si>
  <si>
    <t>[1]使用具备“服务单元”页面权限的测试账号，进入本批提测环境。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[4]准备一条可启用及一条可禁用的记录；启停确认文案和风险语义已确认。</t>
  </si>
  <si>
    <t>[1]打开禁用确认，阅读图标、标题、对象名称和影响说明。
[2]点击“取消”，返回列表查看当前记录。
[3]打开启用确认，对比标题、影响说明及确认按钮。
[4]关闭确认，再次打开同一动作。</t>
  </si>
  <si>
    <t>[1]采用批准的风险语义；对象和影响具体可读，不混用不可恢复删除文案。
[2]确认关闭；页面状态标签与按钮未提前改变。
[3]启用与禁用的动作语义明确不同，确认对象准确；按钮名称能说明将执行的动作。
[4]再次打开时为当前对象和当前动作，不残留上一次另一动作的文案。</t>
  </si>
  <si>
    <t>【设计依据】场景法-风险确认和取消
【测试类型】interaction
【追溯信息】用例编号：UI-W2-05-1；原用例：W2-05-1；排期序号5/原表行9
【知识库依据】RV09/规范7.3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【待补判据】启停动作及风险文案/语义色（RV09待确认）、引用限制及冲突响应中的具体提示和恢复动作。未明确的子步骤记受阻。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</si>
  <si>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/SN318/W2/服务单元/禁用编排/启用 与产品引用关系/exception</t>
  </si>
  <si>
    <t>[1]使用具备“服务单元”页面权限的测试账号，进入本批提测环境。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[4]提供被引用、状态已改变及并发冲突的前端响应样例；不验证引用判定算法。</t>
  </si>
  <si>
    <t>[1]打开启停确认，选用“被引用不可操作”样例并确认。
[2]关闭错误提示，切换“状态已被其他用户改变”样例再次操作。
[3]切换并发冲突样例，检查确认按钮结束状态。
[4]返回列表并重新打开详情或确认。</t>
  </si>
  <si>
    <t>[1]出现明确的引用限制原因；未成功前列表不显示为已完成目标状态。
[2]提示当前对象状态已变化，并提供刷新/返回等批准的后续动作。
[3]冲突说明可理解；loading结束，按钮可按批准路径重新操作。
[4]对象和状态呈现一致，没有遗留遮罩、失效按钮或错误成功提示。</t>
  </si>
  <si>
    <t>【设计依据】错误推测法-失败原因和状态恢复
【测试类型】exception
【追溯信息】用例编号：UI-W2-05-2；原用例：W2-05-2；排期序号5/原表行9
【知识库依据】阶段共识19/PRD业务规则另测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【待补判据】启停动作及风险文案/语义色（RV09待确认）、引用限制及冲突响应中的具体提示和恢复动作。未明确的子步骤记受阻。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</si>
  <si>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/SN318/W2/服务组合/服务组合列表页/UI</t>
  </si>
  <si>
    <t>[1]使用具备“服务组合”页面权限的测试账号，进入本批提测环境。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[4]服务组合列表存在有效记录；筛选字段及详情承载已批准。</t>
  </si>
  <si>
    <t>[1]进入服务组合列表，查看页头、筛选区、状态及主操作。
[2]点击一条记录的详情链接。
[3]返回列表，切换状态筛选并观察刷新。</t>
  </si>
  <si>
    <t>[1]布局层级与同类列表一致；仅显示实际需要的筛选字段，状态有文字含义。
[2]详情入口可发现且可点击；打开所选服务组合，标题和对象标识一致。
[3]返回和筛选操作有可见反馈，当前菜单及列表工具栏归属未发生错位。</t>
  </si>
  <si>
    <t>【设计依据】场景法-列表和详情导航
【测试类型】UI
【追溯信息】用例编号：UI-W2-07-1；原用例：W2-07-1；排期序号7/原表行11
【知识库依据】RV12-RV19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【待补判据】详情入口/承载、每页N、0条和空末页时分页恢复规则、实际空态文案。未明确的子步骤记受阻。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</si>
  <si>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/SN318/W2/服务组合/服务组合列表页/boundary</t>
  </si>
  <si>
    <t>[1]使用具备“服务组合”页面权限的测试账号，进入本批提测环境。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[4]批准每页条数为N；提供0、1、N、N+1条及末页不足N条的前端数据样例。</t>
  </si>
  <si>
    <t>[1]切换0条样例，并分别展示首次无数据与筛选无结果。
[2]依次切换1、N及N+1条样例，查看总数与页码。
[3]进入末页，查看行操作与分页条。
[4]通过前端样例使当前末页变为空，观察页码恢复。</t>
  </si>
  <si>
    <t>[1]两种空态使用相应说明和操作引导；不能统一显示为相同原因。
[2]总数对应样例；N+1条可进入第二页，末页条数与总数可对应。
[3]末页记录不足N条时布局正常，行操作及分页入口仍可点击。
[4]不会停在无法返回的空末页；按批准策略退回可用页，页码与总数一致。</t>
  </si>
  <si>
    <t>【设计依据】边界值分析-0/1/N/N+1条
【测试类型】boundary
【追溯信息】用例编号：UI-W2-07-2；原用例：W2-07-2；排期序号7/原表行11
【知识库依据】RV15/规范7.2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【待补判据】详情入口/承载、每页N、0条和空末页时分页恢复规则、实际空态文案。未明确的子步骤记受阻。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</si>
  <si>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/SN318/W2/服务组合/新增/编辑服务组合/interaction</t>
  </si>
  <si>
    <t>[1]使用具备“服务组合”页面权限的测试账号，进入本批提测环境。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[4]准备可选服务单元及一条已有组合；关联选择入口与确认方式已批准。</t>
  </si>
  <si>
    <t>[1]打开新增服务组合，查看分组、必填标识和关联入口。
[2]展开服务单元选择，搜索并勾选一条候选项。
[3]点击选择区“确认”，返回表单查看关联信息。
[4]取消表单，再打开已有组合编辑。</t>
  </si>
  <si>
    <t>[1]组合字段与关联关系分层清楚，新增对象及主操作明确。
[2]搜索及选中状态清楚；当前选择与候选项对应，没有重复弹出容器。
[3]返回原表单编辑上下文；显示确认的对象，其他已录内容保留。
[4]新增与编辑对象区分；已有组合的关联项回显正确，未提交的新建选择不串入已有组合。</t>
  </si>
  <si>
    <t>【设计依据】场景法-关联对象选择与返回
【测试类型】interaction
【追溯信息】用例编号：UI-W2-08-1；原用例：W2-08-1；排期序号8/原表行12
【知识库依据】规范5.7/内容承载决策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【待补判据】关联选择承载、候选范围、已选项回显、失效项是否可保留、取消未确认选择的处理。未明确的子步骤记受阻。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</si>
  <si>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/SN318/W2/服务组合/新增/编辑服务组合/boundary</t>
  </si>
  <si>
    <t>[1]使用具备“服务组合”页面权限的测试账号，进入本批提测环境。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[4]提供0、1、多关联项、超长名称及已失效候选样例；选择区取消策略已确认。</t>
  </si>
  <si>
    <t>[1]打开无候选样例的关联选择区。
[2]切换多候选样例，选择多个长名称对象，查看已选区。
[3]将一条候选或已选对象切换为失效样例。
[4]取消本次选择，重新打开选择区。</t>
  </si>
  <si>
    <t>[1]显示无可选项说明，不伪装成加载中，也不允许无意义确认。
[2]名称可完整查看，已选项和计数一致；删除/确认入口未被文本挤出。
[3]失效状态有文字或说明；是否允许保留/替换按批准规则呈现。
[4]未确认的改动按批准策略撤销；表单上原有已确认关联未被误清除。</t>
  </si>
  <si>
    <t>【设计依据】边界值分析/错误推测法-关联项状态
【测试类型】boundary
【追溯信息】用例编号：UI-W2-08-2；原用例：W2-08-2；排期序号8/原表行12
【知识库依据】阶段共识13、19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【待补判据】关联选择承载、候选范围、已选项回显、失效项是否可保留、取消未确认选择的处理。未明确的子步骤记受阻。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</si>
  <si>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/SN318/W2/服务组合/详情与历史版本（只读）/interaction</t>
  </si>
  <si>
    <t>[1]使用具备“服务组合”页面权限的测试账号，进入本批提测环境。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[4]服务组合有至少2个历史版本；RV08的抽屉内切换方案已批准。</t>
  </si>
  <si>
    <t>[1]从服务组合打开历史版本，选择其中一个版本查看详情。
[2]查看快照字段分组和只读状态。
[3]点击抽屉内部“返回”。
[4]关闭抽屉，返回服务组合列表。</t>
  </si>
  <si>
    <t>[1]抽屉内由版本列表切换为所选版本详情；顶部有明确返回入口和版本标识。
[2]版本信息按组展示，当前/历史语义清楚，没有可修改历史的误导性控件。
[3]回到历史版本列表，仍能识别刚查看版本；不直接关闭整个历史容器。
[4]回到原列表上下文，不出现残留遮罩或丢失当前对象定位。</t>
  </si>
  <si>
    <t>【设计依据】场景法-抽屉内视图切换
【测试类型】interaction
【追溯信息】用例编号：UI-W2-09-1；原用例：W2-09-1；排期序号9/原表行13
【知识库依据】RV08/规范5.11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【待补判据】历史版本字段/标识、抽屉内返回设计稿、无历史文案以及重开时的默认版本。未明确的子步骤记受阻。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</si>
  <si>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/SN318/W2/服务组合/详情与历史版本（只读）/boundary</t>
  </si>
  <si>
    <t>[1]使用具备“服务组合”页面权限的测试账号，进入本批提测环境。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[4]提供无历史、单版本、多版本及长字段快照样例。</t>
  </si>
  <si>
    <t>[1]打开无历史样例。
[2]切换单版本和多版本样例，查看当前/历史标识。
[3]打开长快照，展开超长字段并滚动到末尾。
[4]关闭后重新打开历史列表，再进入另一个版本。</t>
  </si>
  <si>
    <t>[1]显示无历史版本的空态，不显示空白详情或误导性保存按钮。
[2]版本列表可区分当前和历史，版本信息与所选对象一致。
[3]字段可完整阅读，内容不会撑破抽屉；返回/关闭入口可达。
[4]无上一次展开内容或对象残留；当前版本详情与新选择一致。</t>
  </si>
  <si>
    <t>【设计依据】边界值分析-历史0/1/多条及长文
【测试类型】boundary
【追溯信息】用例编号：UI-W2-09-2；原用例：W2-09-2；排期序号9/原表行13
【知识库依据】RV08/规范7.2、9.4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【待补判据】历史版本字段/标识、抽屉内返回设计稿、无历史文案以及重开时的默认版本。未明确的子步骤记受阻。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</si>
  <si>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/SN318/W2/服务组合/删除引用校验与并发控制/interaction</t>
  </si>
  <si>
    <t>[1]使用具备“服务组合”页面权限的测试账号，进入本批提测环境。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[4]准备一条允许打开删除确认的组合；封板PRD已明确本动作不可恢复及确认原文。本候选只检查确认与取消；若业务为可恢复删除，先按PRD修改风险判据。</t>
  </si>
  <si>
    <t>[1]在服务组合列表点击该记录“删除”。
[2]检查“取消”和“确认删除”的位置与文案。
[3]点击“取消”，查看记录和列表上下文。</t>
  </si>
  <si>
    <t>[1]打开危险确认，显示正确对象名称、风险图标及不可恢复影响说明。
[2]取消在左、确认在右，确认按钮动作明确；不使用含糊“确定”掩盖删除含义。
[3]确认关闭；记录仍在，列表定位保留，未出现删除成功提示。</t>
  </si>
  <si>
    <t>【设计依据】场景法-不可逆操作确认
【测试类型】interaction
【追溯信息】用例编号：UI-W2-10-1；原用例：W2-10-1；排期序号10/原表行14
【知识库依据】规范7.3、8.2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【待补判据】删除是否可恢复及确认原文、引用/409/超时响应的区分、失败后的刷新和重试动作。未明确的子步骤记受阻。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</si>
  <si>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/SN318/W2/服务组合/删除引用校验与并发控制/exception</t>
  </si>
  <si>
    <t>[1]使用具备“服务组合”页面权限的测试账号，进入本批提测环境。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[4]提供有引用、已被删除、409冲突及超时响应样例；不验证后台删除或引用规则。</t>
  </si>
  <si>
    <t>[1]打开删除确认，用“存在引用”前端样例返回失败。
[2]切换“已被他人删除”或409样例再次操作。
[3]切换超时样例，观察loading结束后确认按钮与遮罩。
[4]关闭失败提示并返回列表。</t>
  </si>
  <si>
    <t>[1]提示引用导致不可删除的具体原因；当前记录不提前从列表消失。
[2]提示对象已变化，给出刷新/返回入口；没有叠加多个错误弹窗。
[3]超时原因及下一步清楚；loading结束后可取消或按批准策略重试，遮罩不永久锁住。
[4]筛选和定位保留；失败未被显示为成功，用户可继续选择其他记录。</t>
  </si>
  <si>
    <t>【设计依据】错误推测法-引用冲突与超时恢复
【测试类型】exception
【追溯信息】用例编号：UI-W2-10-2；原用例：W2-10-2；排期序号10/原表行14
【知识库依据】阶段共识19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【待补判据】删除是否可恢复及确认原文、引用/409/超时响应的区分、失败后的刷新和重试动作。未明确的子步骤记受阻。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</si>
  <si>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/SN318/W2/策略配置/策略列表/详情/interaction</t>
  </si>
  <si>
    <t>[1]使用具备“策略配置”页面权限的测试账号，进入本批提测环境。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[4]准备一条包含多条条件的策略记录，记录其名称和状态。</t>
  </si>
  <si>
    <t>[1]进入策略列表，查看当前菜单及记录名称、状态。
[2]点击记录详情，查看名称、状态和条件组。
[3]关闭或返回详情。</t>
  </si>
  <si>
    <t>[1]菜单、页头及策略名称对应，关键状态可见且兼有文字。
[2]打开同一策略；列表与详情的可见名称/状态一致，条件按组可读。
[3]回到原策略列表，能定位刚查看的记录，当前导航未跳到无关模块。</t>
  </si>
  <si>
    <t>【设计依据】场景法-列表和详情视角一致
【测试类型】interaction
【追溯信息】用例编号：UI-W2-11-1；原用例：W2-11-1；排期序号11/原表行15
【知识库依据】规范6.1、6.2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【待补判据】策略详情承载、多条件展示、页面/详情403的触发样例及允许返回路径。未明确的子步骤记受阻。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</si>
  <si>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/SN318/W2/策略配置/策略列表/详情/exception</t>
  </si>
  <si>
    <t>[1]使用具备“策略配置”页面权限的测试账号，进入本批提测环境。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[4]提供长策略名、多条件及页面无权限响应样例。</t>
  </si>
  <si>
    <t>[1]展示长策略名和多条件样例，查看列表及详情。
[2]将页面或详情切换为无权限样例。
[3]点击允许的返回入口，回到有权限区域。</t>
  </si>
  <si>
    <t>[1]省略文本有全文读取入口；详情长内容可展开，不遮挡操作区。
[2]出现无权限说明；不以“暂无数据”掩盖权限原因，受限内容按批准策略隐藏。
[3]返回路径可用，未形成反复跳回无权限页的循环。</t>
  </si>
  <si>
    <t>【设计依据】边界值分析/错误推测法-长文和403
【测试类型】exception
【追溯信息】用例编号：UI-W2-11-2；原用例：W2-11-2；排期序号11/原表行15
【知识库依据】规范7.3、9.4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【待补判据】策略详情承载、多条件展示、页面/详情403的触发样例及允许返回路径。未明确的子步骤记受阻。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</si>
  <si>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/SN318/W2/成本价卡/成本价卡列表页/interaction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</si>
  <si>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[4]准备不同有效期/状态的价卡前端样例；批准的筛选字段和币种口径已确定。</t>
  </si>
  <si>
    <t>[1]进入成本价卡列表，查看有效期、状态、币种及页头。
[2]选择批准的有效期/状态条件，点击“查询”。
[3]切换为无匹配条件，查看空态，再点击“重置”。</t>
  </si>
  <si>
    <t>[1]日期范围、状态文字及币种单位可识别；主操作属于当前价卡列表。
[2]有局部刷新反馈；条件和样例结果可对应，分页与工具栏保持一致。
[3]无匹配说明及清空引导清楚；重置恢复初始筛选与样例列表。</t>
  </si>
  <si>
    <t>【设计依据】场景法-日期状态筛选与重置
【测试类型】interaction
【追溯信息】用例编号：UI-W2-12-1；原用例：W2-12-1；排期序号12/原表行16
【知识库依据】RV13-RV18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【待补判据】实际列表列/筛选、币种/金额精度、空值与0的具体呈现、固定识别字段。未明确的子步骤记受阻。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</si>
  <si>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/SN318/W2/成本价卡/成本价卡列表页/boundary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</si>
  <si>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[4]按PRD精度/币种准备0、空、极大金额和多币种样例；有足够列触发横向滚动。</t>
  </si>
  <si>
    <t>[1]打开宽表，查看金额0值、空值及币种单位。
[2]查看极大金额和长价卡名称，悬停省略文本。
[3]水平滚动到末列，点击或聚焦行操作。</t>
  </si>
  <si>
    <t>[1]0与空值按批准口径分别显示；币种/单位保留，金额采用批准精度且右对齐。
[2]数值不与相邻列重叠；长名称可读全文，禁止为了容纳数值擅自改变业务精度。
[3]业务识别及操作列固定且完整；主体单元格不覆盖固定列，行操作可达。</t>
  </si>
  <si>
    <t>【设计依据】边界值分析-金额展示与横向滚动
【测试类型】boundary
【追溯信息】用例编号：UI-W2-12-2；原用例：W2-12-2；排期序号12/原表行16
【知识库依据】规范4.5、9.1-9.4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【待补判据】实际列表列/筛选、币种/金额精度、空值与0的具体呈现、固定识别字段。未明确的子步骤记受阻。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</si>
  <si>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/SN318/W2/成本价卡/新增/编辑成本价卡-价卡头/UI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</si>
  <si>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[4]批准稿已确定价卡名称、币种、有效期及只读字段；有新增和编辑样例。</t>
  </si>
  <si>
    <t>[1]打开新增价卡，查看头信息字段、必填和帮助文字。
[2]滚动表单并查看保存/取消位置。
[3]取消新增，打开已有价卡编辑。</t>
  </si>
  <si>
    <t>[1]字段按批准分组展示；必填、币种/单位及必要业务说明清楚。
[2]字段及底部操作区可达；输入框32px，字段标签与控件关系清晰。
[3]标题明确为编辑；回显当前价卡头信息，只读/禁用字段有明确视觉区别。</t>
  </si>
  <si>
    <t>【设计依据】场景法-表单分组与编辑语义
【测试类型】UI
【追溯信息】用例编号：UI-W2-13-1；原用例：W2-13-1；排期序号13/原表行17
【知识库依据】规范5.7/阶段共识17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【待补判据】价卡头真实字段/必填/单位、只读字段及新增编辑稿；具体保存规则另由功能测试判定。未明确的子步骤记受阻。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</si>
  <si>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/SN318/W2/成本价卡/新增/编辑成本价卡-价卡头/exception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</si>
  <si>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[4]PRD已确定同日/倒置日期及名称上限L的判定；提供保存失败响应样例。</t>
  </si>
  <si>
    <t>[1]未选必填日期点击保存。
[2]尝试选择结束日期早于开始日期；如支持文本输入，再输入该倒置范围。
[3]修正日期，填入接近已确认长度上限L的名称，返回提交失败样例。
[4]修正错误后重新查看字段。</t>
  </si>
  <si>
    <t>[1]日期字段下显示就地错误，标签和相邻控件未被提示遮挡，已有输入保留。
[2]选择器按5.3限制倒置日期；文本倒置输入触发当前日期范围的错误提示，不能仅显示笼统系统失败。同日是否合法另由原功能用例判定。
[3]保存中显示loading；失败后Toast说明错误并保留日期/名称，按钮解除loading，可重试或取消。
[4]已修正字段不残留旧错误，表单不因失败变为无输入；此用例只验证错误呈现和恢复。</t>
  </si>
  <si>
    <t>【设计依据】边界值分析/错误推测法-日期和失败恢复
【测试类型】exception
【追溯信息】用例编号：UI-W2-13-2；原用例：W2-13-2；排期序号13/原表行17
【知识库依据】规范5.3日期选择限制；5.7字段提示；7.3 topMRc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【待补判据】必填日期字段、名称上限L、只读字段、金额单位及保存失败样例。未明确的子步骤记受阻。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</si>
  <si>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/SN318/W2/成本价卡/价卡计费明细字段配置/interaction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</si>
  <si>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[4]明细字段配置方案已批准，至少有一个可配置字段及一个只读字段。</t>
  </si>
  <si>
    <t>[1]打开价卡计费明细字段配置区。
[2]显示一个可配置列，查看明细表预览。
[3]隐藏该列，再查看只读字段。</t>
  </si>
  <si>
    <t>[1]配置入口、字段名称、单位及当前启用状态清楚，配置对象属于当前价卡。
[2]预览中出现对应列，列名/单位与配置一致；不会展示成另一个业务字段。
[3]预览按配置恢复；只读字段不显示可编辑暗示，不允许误操作。</t>
  </si>
  <si>
    <t>【设计依据】场景法-配置操作及即时预览
【测试类型】interaction
【追溯信息】用例编号：UI-W2-14-1；原用例：W2-14-1；排期序号14/原表行18
【知识库依据】规范5.8/排期18行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【待补判据】具体可配置/只读字段，是否提供列显示/隐藏和预览；PRD未定义的控制不纳入本期判定。未明确的子步骤记受阻。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</si>
  <si>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/SN318/W2/成本价卡/价卡计费明细字段配置/boundary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</si>
  <si>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[4]提供多计费字段、长单位/列名及无可配置字段三类前端样例。</t>
  </si>
  <si>
    <t>[1]打开多字段明细，查看长列名与单位。
[2]水平滚动到首列和末列，查看业务标识及操作。
[3]切换为无可配置字段样例，打开配置区。</t>
  </si>
  <si>
    <t>[1]表头和数据区有清楚边界；长标题按批准方式可完整读取，不覆盖首行数据。
[2]滚动锚点与固定列完整，编辑/操作入口未被宽表遮挡。
[3]显示明确无可配置项说明，不展示空白选择器或可提交的无意义操作。</t>
  </si>
  <si>
    <t>【设计依据】边界值分析-列数和标题长度
【测试类型】boundary
【追溯信息】用例编号：UI-W2-14-2；原用例：W2-14-2；排期序号14/原表行18
【知识库依据】RV16/规范9.4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【待补判据】具体可配置/只读字段，是否提供列显示/隐藏和预览；PRD未定义的控制不纳入本期判定。未明确的子步骤记受阻。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</si>
  <si>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/SN318/W2/成本价卡/计费明细行操作与校验/interaction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</si>
  <si>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[4]准备允许行内编辑的明细；提供保存中/成功/字段校验失败响应样例。
[5]行内编辑的进入、确认、取消、键盘和离开策略已批准；未批准前暂不执行。</t>
  </si>
  <si>
    <t>[1]点击可编辑单元格，查看编辑态。
[2]输入无效样例，执行批准的确认动作。
[3]修正输入，返回保存中及成功样例。
[4]再次编辑后执行取消，再用批准键盘操作重复确认/取消。</t>
  </si>
  <si>
    <t>[1]按批准方式进入编辑；原值和编辑边界清楚，非编辑单元格保持原布局。
[2]字段/单元格内显示可定位错误；错误不会挤乱行高或覆盖相邻行。
[3]保存中显示loading及禁用反馈；成功后退出编辑态并显示确认值。
[4]取消回到原确认值；键位行为、焦点与单元格切换按批准规范一致。</t>
  </si>
  <si>
    <t>【设计依据】状态转换-行内编辑完整状态
【测试类型】interaction
【追溯信息】用例编号：UI-W2-15-1；原用例：W2-15-1；排期序号15/原表行19
【知识库依据】RV03 修改中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【待补判据】RV03行内编辑规范、进入/确认/取消键位、是否允许同时多行编辑、保存失败及离开策略。未明确的子步骤记受阻。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</si>
  <si>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/SN318/W2/成本价卡/计费明细行操作与校验/exception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</si>
  <si>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[4]准备2条可编辑明细；提供保存失败及并发冲突样例；多行离开策略已批准。
[5]行内编辑的进入、确认、取消、键盘和离开策略已批准；未批准前暂不执行。</t>
  </si>
  <si>
    <t>[1]连续编辑两行，分别输入明显不同的未保存值。
[2]对第一行返回保存失败，对第二行返回并发冲突。
[3]修正第一行，按提供入口重试，查看第二行。
[4]尝试切页或离开编辑区。</t>
  </si>
  <si>
    <t>[1]各行的编辑对象和未保存值可区分，不串行、不覆盖另一行输入。
[2]失败/冲突各自定位到行和字段；提示不会把两行合并成一个无法定位的错误。
[3]第一行反馈单独恢复；第二行未处理的冲突仍可识别，输入按批准策略保留。
[4]未保存内容按批准策略确认或恢复；不能静默吞掉未处理输入。</t>
  </si>
  <si>
    <t>【设计依据】错误推测法-多行失败冲突与离开
【测试类型】exception
【追溯信息】用例编号：UI-W2-15-2；原用例：W2-15-2；排期序号15/原表行19
【知识库依据】RV03/阶段共识19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【待补判据】RV03行内编辑规范、进入/确认/取消键位、是否允许同时多行编辑、保存失败及离开策略。未明确的子步骤记受阻。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</si>
  <si>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/SN318/W2/成本价卡/计价范围选择器（起终点分区）/interaction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</si>
  <si>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[4]起点/终点选择规则及回显方式已批准；有可搜索的分区候选。</t>
  </si>
  <si>
    <t>[1]打开起点分区选择，搜索并勾选一项。
[2]确认选择，回到价卡查看起点字段。
[3]打开终点选择，改变选择后取消。</t>
  </si>
  <si>
    <t>[1]标题及当前字段明确为起点；搜索结果、选中状态及数量一致。
[2]显示确认对象，回到原价卡；其他已录内容保留，无重复选中标签。
[3]明确为终点选择；取消按批准策略保留原终点，不能误改起点。</t>
  </si>
  <si>
    <t>【设计依据】场景法-选择器确认与取消
【测试类型】interaction
【追溯信息】用例编号：UI-W2-16-1；原用例：W2-16-1；排期序号16/原表行20
【知识库依据】规范5.3、5.5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【待补判据】起点/终点选择方式、树或列表承载、搜索范围、已选失效及取消选择策略。未明确的子步骤记受阻。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</si>
  <si>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/SN318/W2/成本价卡/计价范围选择器（起终点分区）/exception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</si>
  <si>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[4]提供多层级长名称、搜索无匹配、加载失败及已选项失效的前端样例。</t>
  </si>
  <si>
    <t>[1]打开多层级长名称样例，展开节点并滚动。
[2]输入无匹配关键词。
[3]切换加载失败样例，再按重试入口恢复候选。
[4]切换一项已选分区为失效状态。</t>
  </si>
  <si>
    <t>[1]层级与缩进清楚，长名称可完整阅读；选中节点和确认入口可达。
[2]显示搜索无结果及清空引导，已选项的保留表现按批准策略清楚呈现。
[3]失败有原因和重试入口；重试作用于候选区域，不误清空整个价卡。
[4]失效状态和可采取动作有说明；不悄悄显示成有效候选。</t>
  </si>
  <si>
    <t>【设计依据】边界值分析/错误推测法-树及候选状态
【测试类型】exception
【追溯信息】用例编号：UI-W2-16-2；原用例：W2-16-2；排期序号16/原表行20
【知识库依据】阶段共识13、19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【待补判据】起点/终点选择方式、树或列表承载、搜索范围、已选失效及取消选择策略。未明确的子步骤记受阻。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</si>
  <si>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/SN318/W2/成本价卡/成本价卡批量生成（计费要素模板五步）/interaction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</si>
  <si>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[4]五步流程名称、各步必填条件及回显规则已批准；使用前端样例走流程。
[5]操作日志是否纳入PRD及专项判据待核对；依赖该结论的业务步骤受阻，已明确规范的UI步骤可先检查。</t>
  </si>
  <si>
    <t>[1]进入批量生成，查看五个步骤名称和当前步。
[2]第一步保留必填为空，点击“下一步”。
[3]填有效样例进入下一步，再点击“上一步”。
[4]逐步进入确认页，查看汇总和最终动作。</t>
  </si>
  <si>
    <t>[1]名称和顺序与批准稿一致；当前步明确，未完成步骤不呈现为已成功。
[2]停在当前步，就地提示必填；不能在错误状态进入下一步。
[3]按批准规则前进/返回；已录信息回显，用户无需重复填写。
[4]确认页能说明生成对象和范围；最终动作与普通下一步明显区分，不核验生成算法。</t>
  </si>
  <si>
    <t>【设计依据】场景法-分步表单导航
【测试类型】interaction
【追溯信息】用例编号：UI-W2-17-1；原用例：W2-17-1；排期序号17/原表行21
【知识库依据】排期21行 原型待确认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【待补判据】五步名称/必填、生成范围、是否提供停止、部分失败结果和重试；先确认原型功能已进PRD。未明确的子步骤记受阻。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</si>
  <si>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/SN318/W2/成本价卡/成本价卡批量生成（计费要素模板五步）/exception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</si>
  <si>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[4]提供生成中、用户停止、部分失败、全部失败及重试的前端样例。
[5]操作日志是否纳入PRD及专项判据待核对；依赖该结论的业务步骤受阻，已明确规范的UI步骤可先检查。</t>
  </si>
  <si>
    <t>[1]进入生成中样例，查看进度、对象数量和停止入口。
[2]点击停止，用样例返回主动停止状态。
[3]重新开始，依次展示部分失败和全部失败。
[4]使用失败重试或返回入口。</t>
  </si>
  <si>
    <t>[1]进度及任务对象清楚，状态不是只有无说明的转圈；停止入口可达。
[2]显示中性的已停止，不把用户主动停止显示为红色失败。
[3]成功/失败数量、对象及原因分别呈现；未完成对象不能误显示为已可用。
[4]可定位和处理失败项，原任务上下文保留；按钮不会永久停留loading。</t>
  </si>
  <si>
    <t>【设计依据】状态转换/错误推测法-长任务恢复
【测试类型】exception
【追溯信息】用例编号：UI-W2-17-2；原用例：W2-17-2；排期序号17/原表行21
【知识库依据】规范7.1/阶段共识19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【待补判据】五步名称/必填、生成范围、是否提供停止、部分失败结果和重试；先确认原型功能已进PRD。未明确的子步骤记受阻。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</si>
  <si>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/SN318/W2/成本价卡/计费要素模板维护/UI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</si>
  <si>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[4]已确定模板维护归属模块和可达菜单；有模板列表及已有模板样例。
[5]操作日志是否纳入PRD及专项判据待核对；依赖该结论的业务步骤受阻，已明确规范的UI步骤可先检查。</t>
  </si>
  <si>
    <t>[1]从批准菜单进入计费要素模板列表。
[2]打开新增模板，查看模板说明和字段组。
[3]取消新增，打开已有模板编辑。</t>
  </si>
  <si>
    <t>[1]入口实际可达，菜单、面包屑与标题一致，无需猜测URL。
[2]模板用途、必填及适用范围可理解；说明不会占据主要操作区域。
[3]标题和对象明确为当前模板；新增/编辑公共字段保持一致。</t>
  </si>
  <si>
    <t>【设计依据】场景法-列表新增编辑入口
【测试类型】UI
【追溯信息】用例编号：UI-W2-18-1；原用例：W2-18-1；排期序号18/原表行22
【知识库依据】排期22行 原型待确认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【待补判据】模板维护归属/入口、字段/适用范围、空态及失效模板动作；先确认已进入PRD。未明确的子步骤记受阻。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</si>
  <si>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/SN318/W2/成本价卡/计费要素模板维护/boundary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</si>
  <si>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[4]提供0模板、长模板名、多要素及失效模板样例。
[5]操作日志是否纳入PRD及专项判据待核对；依赖该结论的业务步骤受阻，已明确规范的UI步骤可先检查。</t>
  </si>
  <si>
    <t>[1]展示无模板列表。
[2]展示长模板名和多要素记录，打开详情或编辑。
[3]展示失效模板，查看状态和操作入口。</t>
  </si>
  <si>
    <t>[1]空态说明当前无模板，并提供用户有权限执行的新增引导。
[2]名称可看全文，字段及分组可读；操作不被长文本或要素列表遮挡。
[3]失效及禁用原因有文字说明；允许的下一步明确，不仅改变标签颜色。</t>
  </si>
  <si>
    <t>【设计依据】边界值分析-空模板长名称及失效态
【测试类型】boundary
【追溯信息】用例编号：UI-W2-18-2；原用例：W2-18-2；排期序号18/原表行22
【知识库依据】规范7.2、9.4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【待补判据】模板维护归属/入口、字段/适用范围、空态及失效模板动作；先确认已进入PRD。未明确的子步骤记受阻。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</si>
  <si>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/SN318/W2/成本价卡/成本价卡导入（Excel / AI 文件导入四步）/interaction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</si>
  <si>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[4]Excel/AI四步导入已进入批准基线；格式、大小、数量及AI标识规范明确；提供解析预览样例。
[5]操作日志是否纳入PRD及专项判据待核对；依赖该结论的业务步骤受阻，已明确规范的UI步骤可先检查。</t>
  </si>
  <si>
    <t>[1]进入导入，查看上传区和四步名称。
[2]选择允许文件，切换解析中及解析完成样例。
[3]进入预览确认页，查看来源值、待确认值及确认动作。
[4]在确认前取消并重新进入流程。</t>
  </si>
  <si>
    <t>[1]上传、解析、预览确认、结果的顺序清楚；限制条件在选文件前可见。
[2]文件信息及解析反馈明确；AI参与时有生成/建议标识，不冒充已确认数据。
[3]原始内容与AI建议分层；用户可审核或修改，未确认不展示为已正式导入。
[4]取消路径清楚；返回或重入状态按批准策略呈现，不遗留上一文件的未确认结果。</t>
  </si>
  <si>
    <t>【设计依据】场景法-文件解析预览与人工确认
【测试类型】interaction
【追溯信息】用例编号：UI-W2-19-1；原用例：W2-19-1；排期序号19/原表行23
【知识库依据】排期23行 原型/规范2.2、5.6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【待补判据】四步名称、允许格式、大小B、数量K、同名/空文件处理、AI标识及确认边界；先确认已进入PRD。未明确的子步骤记受阻。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</si>
  <si>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/SN318/W2/成本价卡/成本价卡导入（Excel / AI 文件导入四步）/exception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</si>
  <si>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[4]PRD给出大小B和文件数K；准备B-1/B/B+1字节、0字节、错格式、同名文件及解析失败样例。
[5]操作日志是否纳入PRD及专项判据待核对；依赖该结论的业务步骤受阻，已明确规范的UI步骤可先检查。</t>
  </si>
  <si>
    <t>[1]依次选择大小B-1、B及B+1的允许格式文件。
[2]选择0字节、错误格式及超K个文件。
[3]切换解析失败或行级错误样例，查看结果区。
[4]取消、重选文件或在超时后重试。</t>
  </si>
  <si>
    <t>[1]不超限文件可进入上传列表；超限文件明确指出大小原因，未被显示为可正常继续。
[2]分别指出空文件、格式及数量原因；无效项与可用项可区分。
[3]错误定位到文件或行；有效/无效内容分开，有明确重试/修正入口。
[4]保留必要上传上下文；取消与失败语义不同，loading解除，不把空文件或失败报成成功。</t>
  </si>
  <si>
    <t>【设计依据】边界值分析/错误推测法-上传及解析异常
【测试类型】exception
【追溯信息】用例编号：UI-W2-19-2；原用例：W2-19-2；排期序号19/原表行23
【知识库依据】规范5.6/阶段共识22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【待补判据】大小B、数量K、允许格式、0字节是否拒绝、同名文件策略、解析/行错误及超时响应样例。未明确的子步骤记受阻。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</si>
  <si>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/SN318/W2/成本价卡/成本价卡高级复制与覆盖/interaction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</si>
  <si>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[4]产品已补齐高级复制PRD及可达入口；有来源和目标范围样例，覆盖文案已确认。
[5]操作日志是否纳入PRD及专项判据待核对；依赖该结论的业务步骤受阻，已明确规范的UI步骤可先检查。</t>
  </si>
  <si>
    <t>[1]从批准入口打开高级复制，查看来源/目标范围。
[2]选择来源与目标，打开复制预览。
[3]打开覆盖确认，阅读风险文案与按钮。
[4]点击“取消”，返回范围选择区。</t>
  </si>
  <si>
    <t>[1]来源和目标标签清楚，当前操作的价卡及范围可识别，不依赖说明才能区分方向。
[2]预览明确本次将处理的对象和范围；没有在用户确认前显示为复制成功。
[3]覆盖已有内容的风险明确，确认与普通复制的动作有区别。
[4]范围选择按批准策略保留，用户可以调整；不出现覆盖完成提示。</t>
  </si>
  <si>
    <t>【设计依据】场景法-范围预览和覆盖确认
【测试类型】interaction
【追溯信息】用例编号：UI-W2-20-1；原用例：W2-20-1；排期序号20/原表行24
【知识库依据】排期24行 无入口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【待补判据】高级复制入口、来源/目标范围、预览和覆盖确认、冲突恢复；先确认已进入PRD。未明确的子步骤记受阻。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</si>
  <si>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/SN318/W2/成本价卡/成本价卡高级复制与覆盖/exception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</si>
  <si>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[4]提供未选范围、空目标、有已有内容目标及冲突响应样例；允许/禁用策略已批准。
[5]操作日志是否纳入PRD及专项判据待核对；依赖该结论的业务步骤受阻，已明确规范的UI步骤可先检查。</t>
  </si>
  <si>
    <t>[1]不选择来源或目标，尝试进入预览/确认。
[2]切换空目标及有已有内容目标，查看提示变化。
[3]返回冲突样例，查看错误位置及结束状态。
[4]修正选择或按重试入口重新预览。</t>
  </si>
  <si>
    <t>[1]按批准策略禁用操作或就地提示缺少范围，不能给出虚假可执行预览。
[2]当前目标状态与风险说明对应，不残留另一个目标的覆盖提示。
[3]冲突原因清楚，提示不遮挡范围；操作解除loading，失败未显示成成功。
[4]之前选择按批准策略保留；预览使用修正后的对象，没有旧范围残留。</t>
  </si>
  <si>
    <t>【设计依据】错误推测法-空对象与冲突恢复
【测试类型】exception
【追溯信息】用例编号：UI-W2-20-2；原用例：W2-20-2；排期序号20/原表行24
【知识库依据】阶段共识12、19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【待补判据】高级复制入口、来源/目标范围、预览和覆盖确认、冲突恢复；先确认已进入PRD。未明确的子步骤记受阻。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</si>
  <si>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/SN318/W2/成本价卡/成本价卡校验/interaction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</si>
  <si>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[4]PRD与校验入口已补齐；提供包含错误、警告及问题明细的前端样例。
[5]操作日志是否纳入PRD及专项判据待核对；依赖该结论的业务步骤受阻，已明确规范的UI步骤可先检查。</t>
  </si>
  <si>
    <t>[1]从价卡批准入口进入校验，查看结果摘要。
[2]点击一条问题摘要或定位入口。
[3]从明细返回摘要或价卡编辑区。</t>
  </si>
  <si>
    <t>[1]摘要属于当前价卡；错误/警告使用文字及语义色区分，不只用颜色编码。
[2]定位到关联问题行或明细区，能够理解摘要与具体问题的关系。
[3]返回入口明确，用户可继续查其他问题；不丢失当前校验上下文。</t>
  </si>
  <si>
    <t>【设计依据】场景法-结果摘要与明细定位
【测试类型】interaction
【追溯信息】用例编号：UI-W2-21-1；原用例：W2-21-1；排期序号21/原表行25
【知识库依据】排期25行 无入口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【待补判据】校验入口、摘要定位路径、0问题与失败文案；校验算法结果使用功能测试提供的已知响应。未明确的子步骤记受阻。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</si>
  <si>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/SN318/W2/成本价卡/成本价卡校验/exception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</si>
  <si>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[4]提供0、1、多条结果、长错误内容及校验请求失败样例。
[5]操作日志是否纳入PRD及专项判据待核对；依赖该结论的业务步骤受阻，已明确规范的UI步骤可先检查。</t>
  </si>
  <si>
    <t>[1]展示0问题样例，再切换为请求失败。
[2]切换1条及多条结果，分别定位第一条和最后一条。
[3]展示超长错误内容，展开查看全文。
[4]从失败样例点击重试。</t>
  </si>
  <si>
    <t>[1]0问题显示有效完成结果；请求失败说明尚未完成，不能显示“校验通过”。
[2]结果数量与样例一致；分页或滚动入口可达，首末问题均能定位。
[3]长错误可完整阅读，不覆盖修正、返回或重试入口。
[4]有刷新反馈；成功样例可替换错误状态，不残留失效遮罩。</t>
  </si>
  <si>
    <t>【设计依据】边界值分析/错误推测法-结果数量与失败
【测试类型】exception
【追溯信息】用例编号：UI-W2-21-2；原用例：W2-21-2；排期序号21/原表行25
【知识库依据】规范7.2、7.3、9.4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【待补判据】校验入口、摘要定位路径、0问题与失败文案；校验算法结果使用功能测试提供的已知响应。未明确的子步骤记受阻。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</si>
  <si>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/SN318/W2/地点与Zone（分区维护）/地点与邮编页签/interaction</t>
  </si>
  <si>
    <t>[1]使用具备“地点与Zone（分区维护）”页面权限的测试账号，进入本批提测环境。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[4]地点与邮编属于同级内容；批准稿明确页签名称与各自新增入口。</t>
  </si>
  <si>
    <t>[1]进入地点与邮编页面，查看当前Tab、列表标题和新增按钮。
[2]点击另一Tab，查看内容区及工具栏。
[3]点击当前列表“新增”，查看表单标题后取消。
[4]用方向键或Home/End切换已聚焦的Tabs。</t>
  </si>
  <si>
    <t>[1]Tab选中标识与当前内容对应；页头及列表层级清楚。
[2]切换同级内容，有对应选中底条；没有用跨模块导航替代Tabs。
[3]打开当前Tab所对应对象的新增表单；取消返回同一Tab，不误进入另一类新增。
[4]键盘切换及焦点按照5.17的批准模式执行，选中Tab与内容始终对应。</t>
  </si>
  <si>
    <t>【设计依据】场景法-同级Tabs与工具栏归属
【测试类型】interaction
【追溯信息】用例编号：UI-W2-22-1；原用例：W2-22-1；排期序号22/原表行26
【知识库依据】RV01/规范5.17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【待补判据】地点/邮编Tab名称与新增归属、邮编文本定义、空值及筛选切换的状态保留。未明确的子步骤记受阻。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</si>
  <si>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/SN318/W2/地点与Zone（分区维护）/地点与邮编页签/boundary</t>
  </si>
  <si>
    <t>[1]使用具备“地点与Zone（分区维护）”页面权限的测试账号，进入本批提测环境。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[4]准备长英文地名、邮编“00123”、空邮编及无结果样例；邮编按文本标识展示。</t>
  </si>
  <si>
    <t>[1]展示长英文地名和邮编“00123”。
[2]展示空邮编与包含数字0的邮编，查看字段。
[3]查询无结果，切换地点/邮编Tab。</t>
  </si>
  <si>
    <t>[1]长地名省略但可读取全文；邮编保留前导零，不能显示为123。
[2]空值使用批准的空值表达；文本标识中的0不被误替换为空。
[3]无结果有清空引导；切换后显示当前Tab的数据或状态，不能残留另一个Tab的结果。</t>
  </si>
  <si>
    <t>【设计依据】边界值分析-多语言文本和标识值
【测试类型】boundary
【追溯信息】用例编号：UI-W2-22-2；原用例：W2-22-2；排期序号22/原表行26
【知识库依据】规范9.1、9.4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【待补判据】地点/邮编Tab名称与新增归属、邮编文本定义、空值及筛选切换的状态保留。未明确的子步骤记受阻。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</si>
  <si>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/SN318/W2/地点与Zone（分区维护）/Zone 清单页签/interaction</t>
  </si>
  <si>
    <t>[1]使用具备“地点与Zone（分区维护）”页面权限的测试账号，进入本批提测环境。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[4]准备一条有名称、类型及引用信息的Zone；详情承载与编辑入口已批准。</t>
  </si>
  <si>
    <t>[1]进入Zone清单，查看名称、类型与详情入口。
[2]打开详情，查看引用和只读/编辑区域。
[3]关闭或返回详情。</t>
  </si>
  <si>
    <t>[1]Zone信息层级清楚，入口与当前对象对应。
[2]详情属于所选Zone；引用信息可理解，只读与可编辑内容视觉明确。
[3]回到原列表上下文，当前筛选/定位按批准设计保留。</t>
  </si>
  <si>
    <t>【设计依据】场景法-关联详情和列表返回
【测试类型】interaction
【追溯信息】用例编号：UI-W2-23-1；原用例：W2-23-1；排期序号23/原表行27
【知识库依据】规范6.1、6.2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【待补判据】Zone页签是否包含详情/编辑入口、类型/引用字段、加载失败及返回上下文。未明确的子步骤记受阻。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</si>
  <si>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/SN318/W2/地点与Zone（分区维护）/Zone 清单页签/boundary</t>
  </si>
  <si>
    <t>[1]使用具备“地点与Zone（分区维护）”页面权限的测试账号，进入本批提测环境。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[4]提供超过一页的Zone、长名称、空关联及加载失败样例。</t>
  </si>
  <si>
    <t>[1]展示大量Zone，翻页或滚动至最后一条。
[2]查看长名称及空关联记录，读取全文。
[3]切换加载失败样例，再点击重试。</t>
  </si>
  <si>
    <t>[1]页码/滚动与总数清楚，记录及操作均可达，不产生页面级横向溢出。
[2]长名称有全文入口；空关联与实际有关联记录可区分，字段未错位。
[3]失败有明确说明和重试，不以空清单伪装；恢复后当前对象和选中反馈一致。</t>
  </si>
  <si>
    <t>【设计依据】边界值分析/错误推测法-长列表和失败态
【测试类型】boundary
【追溯信息】用例编号：UI-W2-23-2；原用例：W2-23-2；排期序号23/原表行27
【知识库依据】阶段共识13、22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【待补判据】Zone页签是否包含详情/编辑入口、类型/引用字段、加载失败及返回上下文。未明确的子步骤记受阻。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</si>
  <si>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/SN318/W2/地点与Zone（分区维护）/导入地点与邮编（批量）/interaction</t>
  </si>
  <si>
    <t>[1]使用具备“地点与Zone（分区维护）”页面权限的测试账号，进入本批提测环境。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[4]批准的格式、大小B、数量K和导入模板可获取；使用前端上传/预览样例。</t>
  </si>
  <si>
    <t>[1]打开地点邮编导入，查看模板说明和文件限制。
[2]选择允许文件，查看文件名、大小及移除入口。
[3]移除该文件，选择另一个文件并进入预览。
[4]在正式确认前取消导入。</t>
  </si>
  <si>
    <t>[1]模板入口可用；格式、大小、数量限制在选择文件前清楚展示。
[2]文件信息可识别，移除/更换动作明确，长文件名不遮挡操作。
[3]旧文件从列表消失；预览属于新文件，不残留旧文件内容。
[4]关闭或返回路径清楚；不会把取消显示为导入成功。</t>
  </si>
  <si>
    <t>【设计依据】场景法-文件选择预览与取消
【测试类型】interaction
【追溯信息】用例编号：UI-W2-24-1；原用例：W2-24-1；排期序号24/原表行28
【知识库依据】规范5.6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【待补判据】导入模板/预览是否存在、格式/B/K、重复文件策略、行错误响应及取消动作。未明确的子步骤记受阻。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</si>
  <si>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/SN318/W2/地点与Zone（分区维护）/导入地点与邮编（批量）/exception</t>
  </si>
  <si>
    <t>[1]使用具备“地点与Zone（分区维护）”页面权限的测试账号，进入本批提测环境。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[4]准备错误扩展、0字节、B+1字节、重复文件及部分行错误预览；重复文件策略已批准。</t>
  </si>
  <si>
    <t>[1]分别选择错扩展、空文件和超B文件。
[2]选择重复文件，观察文件列表和确认按钮。
[3]切换部分行错误预览，查看有效行和失败行。
[4]移除错误文件或修正后重试，查看预览状态。</t>
  </si>
  <si>
    <t>[1]提示指出具体文件及原因；无效文件不会被标成可继续导入。
[2]重复项的保留/拒绝及提示符合批准策略，不允许测试人员任选一种结果判断通过。
[3]错误能定位到文件/行，原因可理解；有效与失败内容分开呈现。
[4]错误状态随修正恢复；上传上下文保留，不出现失效确认按钮或旧错误残留。</t>
  </si>
  <si>
    <t>【设计依据】边界值分析/错误推测法-文件与部分错误
【测试类型】exception
【追溯信息】用例编号：UI-W2-24-2；原用例：W2-24-2；排期序号24/原表行28
【知识库依据】规范5.6、7.3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【待补判据】导入模板/预览是否存在、格式/B/K、重复文件策略、行错误响应及取消动作。未明确的子步骤记受阻。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</si>
  <si>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/SN318/W2/地点与Zone（分区维护）/可复用邮编组/interaction</t>
  </si>
  <si>
    <t>[1]使用具备“地点与Zone（分区维护）”页面权限的测试账号，进入本批提测环境。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[4]产品已补齐邮编组PRD及菜单入口；有可查看和编辑的邮编组样例。
[5]操作日志是否纳入PRD及专项判据待核对；依赖该结论的业务步骤受阻，已明确规范的UI步骤可先检查。</t>
  </si>
  <si>
    <t>[1]从批准菜单进入邮编组列表。
[2]打开一个组详情，查看组名和成员。
[3]进入批准的编辑入口，随后取消返回。</t>
  </si>
  <si>
    <t>[1]菜单、页头及面包屑对应，页面可通过入口到达。
[2]组与成员层级清楚，当前操作对象明确，不把成员名称误作组名。
[3]编辑对象是所选组；取消返回路径清楚，列表和详情上下文未错位。</t>
  </si>
  <si>
    <t>【设计依据】场景法-对象路径与层级
【测试类型】interaction
【追溯信息】用例编号：UI-W2-25-1；原用例：W2-25-1；排期序号25/原表行29
【知识库依据】排期29行 无入口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【待补判据】邮编组入口、成员区是否可搜索/编辑、分页或滚动方式；先确认已进入PRD。未明确的子步骤记受阻。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</si>
  <si>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/SN318/W2/地点与Zone（分区维护）/可复用邮编组/boundary</t>
  </si>
  <si>
    <t>[1]使用具备“地点与Zone（分区维护）”页面权限的测试账号，进入本批提测环境。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[4]提供空组、单成员、大量成员、长组名及搜索无结果样例。
[5]操作日志是否纳入PRD及专项判据待核对；依赖该结论的业务步骤受阻，已明确规范的UI步骤可先检查。</t>
  </si>
  <si>
    <t>[1]依次打开空组和单成员组。
[2]打开长组名及大量成员组，滚动到最后成员。
[3]在成员区搜索必定无匹配的值，再清空搜索。</t>
  </si>
  <si>
    <t>[1]空成员有适合该场景的说明/引导；单成员显示完整，数量与内容一致。
[2]组名可完整查看；成员按批准方式分页或滚动，关闭/保存等操作可达。
[3]无结果与无成员状态分开；清空后恢复对应成员视图，不误清空组数据。</t>
  </si>
  <si>
    <t>【设计依据】边界值分析-成员0/1/多条及长组名
【测试类型】boundary
【追溯信息】用例编号：UI-W2-25-2；原用例：W2-25-2；排期序号25/原表行29
【知识库依据】规范7.2、9.4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【待补判据】邮编组入口、成员区是否可搜索/编辑、分页或滚动方式；先确认已进入PRD。未明确的子步骤记受阻。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</si>
  <si>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/SN318/W2/燃油费规则/燃油费规则列表/UI</t>
  </si>
  <si>
    <t>[1]使用具备“燃油费规则”页面权限的测试账号，进入本批提测环境。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[4]准备不同状态及有效期的燃油规则样例，百分比展示精度已确定。</t>
  </si>
  <si>
    <t>[1]进入燃油规则列表，查看日期、比例及单位。
[2]比较启用和停用规则的状态标签与行按钮。
[3]查看操作列及长规则名。</t>
  </si>
  <si>
    <t>[1]有效期范围可理解；比例带批准单位和精度，数值右对齐。
[2]状态有文字含义；标签与可执行动作一致，不把停用状态显示成启用动作已完成。
[3]操作列按规范左对齐且间距16px；长名称省略时可读取全文。</t>
  </si>
  <si>
    <t>【设计依据】场景法-单位和状态可读性
【测试类型】UI
【追溯信息】用例编号：UI-W2-26-1；原用例：W2-26-1；排期序号26/原表行30
【知识库依据】规范5.8、9.2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【待补判据】燃油比例精度和单位、空零显示、启停按钮原文、实际筛选/重置入口。未明确的子步骤记受阻。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</si>
  <si>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/SN318/W2/燃油费规则/燃油费规则列表/boundary</t>
  </si>
  <si>
    <t>[1]使用具备“燃油费规则”页面权限的测试账号，进入本批提测环境。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[4]按批准精度提供0、空、极值比例，长规则名及无结果样例；极值合法性另由功能测试确认。</t>
  </si>
  <si>
    <t>[1]展示0比例和空比例记录。
[2]展示极值和长规则名，观察列宽与全文提示。
[3]切换无结果样例，再重置筛选。</t>
  </si>
  <si>
    <t>[1]0按数值口径显示；空用批准的空值表达，不把0误显示为空。
[2]数值和单位完整，文本不重叠；长名称能读全文，不擅自修改比例精度。
[3]无结果有调整筛选引导；重置退出空态并恢复样例列表。</t>
  </si>
  <si>
    <t>【设计依据】边界值分析-零空极值与长文
【测试类型】boundary
【追溯信息】用例编号：UI-W2-26-2；原用例：W2-26-2；排期序号26/原表行30
【知识库依据】阶段共识22/规范9.1、9.4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【待补判据】比例显示精度、合法展示样例、空值与0的口径、规则名长值及实际筛选重置入口。未明确的子步骤记受阻。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</si>
  <si>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/SN318/W2/燃油费规则/新增/编辑燃油费规则/interaction</t>
  </si>
  <si>
    <t>[1]使用具备“燃油费规则”页面权限的测试账号，进入本批提测环境。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[4]有新增及已有规则编辑样例；必填字段、比例单位及只读字段已经批准。</t>
  </si>
  <si>
    <t>[1]打开新增，查看必填标识、比例单位和日期控件。
[2]保持一个必填为空，点击保存。
[3]修正字段，取消后打开已有规则编辑。</t>
  </si>
  <si>
    <t>[1]必填与单位清楚且常驻；字段上下排及分组符合批准设计。
[2]错误在对应字段下，表单停留且输入不跳位；不使用多层错误确认框。
[3]旧错误随修正清除；编辑标题明确，回显当前规则，只读字段无可编辑暗示。</t>
  </si>
  <si>
    <t>【设计依据】场景法-表单校验与只读状态
【测试类型】interaction
【追溯信息】用例编号：UI-W2-27-1；原用例：W2-27-1；排期序号27/原表行31
【知识库依据】规范5.7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【待补判据】燃油规则真实字段、必填标记、比例单位、日期控件及新增编辑设计稿。未明确的子步骤记受阻。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</si>
  <si>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/SN318/W2/燃油费规则/新增/编辑燃油费规则/exception</t>
  </si>
  <si>
    <t>[1]使用具备“燃油费规则”页面权限的测试账号，进入本批提测环境。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[4]PRD给出同日/倒置日期及比例精度规则；提供保存中、失败和修正样例。</t>
  </si>
  <si>
    <t>[1]必填日期为空触发校验，再尝试选择结束日期早于开始日期。
[2]通过已确认的无效精度样例触发比例字段错误，再修正为有效样例。
[3]点击保存，先保持保存中再返回失败。
[4]用恢复成功的前端样例重新操作或点击取消。</t>
  </si>
  <si>
    <t>[1]空值错误在字段下；组件限制倒置日期选择，不留误导性有效范围。同日是否合法由功能用例判定。
[2]错误与比例字段对应，单位常驻，修正后旧错误清除；不在此用例重新推定合法精度。
[3]保存按钮loading且不可重复点击；失败Toast说明原因，日期/比例输入保留，按钮解锁。
[4]恢复动作有可见反馈；失败状态可退出，不把未成功提交显示为已保存。</t>
  </si>
  <si>
    <t>【设计依据】边界值分析/错误推测法-日期精度与失败
【测试类型】exception
【追溯信息】用例编号：UI-W2-27-2；原用例：W2-27-2；排期序号27/原表行31
【知识库依据】规范5.3、5.7；7.1 OWeLZt；7.3 topMRc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【待补判据】日期必填、比例合法精度对应的错误样例、字段原文、保存失败和恢复响应。未明确的子步骤记受阻。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</si>
  <si>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/SN318/W2/分区管理/分区维护（Zone / 分区类型）/interaction</t>
  </si>
  <si>
    <t>[1]使用具备“分区管理”页面权限的测试账号，进入本批提测环境。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[4]独立Zone/分区类型维护的PRD、导航入口和分类层级已批准。
[5]操作日志是否纳入PRD及专项判据待核对；依赖该结论的业务步骤受阻，已明确规范的UI步骤可先检查。</t>
  </si>
  <si>
    <t>[1]从菜单进入独立分区维护。
[2]切换Zone与分区类型视图，查看当前分类和操作对象。
[3]打开一个对象详情后返回。</t>
  </si>
  <si>
    <t>[1]入口可达，菜单、面包屑和页头标题一致。
[2]分类层级清楚，选中反馈与内容对应，新增/编辑属于当前视图。
[3]对象及返回路径明确，回到原分类，未跳到同名但不同承载页面。</t>
  </si>
  <si>
    <t>【设计依据】场景法-导航和承载位置
【测试类型】interaction
【追溯信息】用例编号：UI-W2-28-1；原用例：W2-28-1；排期序号28/原表行32
【知识库依据】排期32行 无入口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【待补判据】独立Zone/分区类型导航、是否使用树、层级及节点加载动作；先确认已进入PRD。未明确的子步骤记受阻。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</si>
  <si>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/SN318/W2/分区管理/分区维护（Zone / 分区类型）/exception</t>
  </si>
  <si>
    <t>[1]使用具备“分区管理”页面权限的测试账号，进入本批提测环境。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[4]提供三级及混合层级、长名称、空节点和节点加载失败样例。
[5]操作日志是否纳入PRD及专项判据待核对；依赖该结论的业务步骤受阻，已明确规范的UI步骤可先检查。</t>
  </si>
  <si>
    <t>[1]展开三级及混合层级树，选择最深节点。
[2]查看长节点名和空节点。
[3]对一个节点返回加载失败，点击局部重试。</t>
  </si>
  <si>
    <t>[1]缩进、箭头和选中态能表达层级；深层节点可达，不被当作普通无子项叶子。
[2]节点全文可读；无子项与未加载的节点可区分，展开动作不误切换当前对象。
[3]错误局限于对应节点并有恢复入口；其他已选对象和展开上下文不被整体清空。</t>
  </si>
  <si>
    <t>【设计依据】边界值分析/错误推测法-树层级与加载
【测试类型】exception
【追溯信息】用例编号：UI-W2-28-2；原用例：W2-28-2；排期序号28/原表行32
【知识库依据】规范4.5、7.3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【待补判据】独立Zone/分区类型导航、是否使用树、层级及节点加载动作；先确认已进入PRD。未明确的子步骤记受阻。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</si>
  <si>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/SN318/W2/分区管理/分区价格表与价卡引用/interaction</t>
  </si>
  <si>
    <t>[1]使用具备“分区管理”页面权限的测试账号，进入本批提测环境。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[4]价格表和引用入口已批准；有包含分区、币种、单位及引用价卡的样例。
[5]操作日志是否纳入PRD及专项判据待核对；依赖该结论的业务步骤受阻，已明确规范的UI步骤可先检查。</t>
  </si>
  <si>
    <t>[1]从批准入口打开分区价格表。
[2]点击一个价卡引用查看入口。
[3]使用返回/关闭入口回到价格表。</t>
  </si>
  <si>
    <t>[1]分区、币种和单位标签完整，当前表格对象可识别。
[2]打开对应价卡引用信息，能识别引用对象及与当前分区的关系。
[3]回到原价格表上下文，引用和操作区域未错位，不需要重新选择分区。</t>
  </si>
  <si>
    <t>【设计依据】场景法-引用对象与单位展示
【测试类型】interaction
【追溯信息】用例编号：UI-W2-29-1；原用例：W2-29-1；排期序号29/原表行33
【知识库依据】排期33行 无入口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【待补判据】分区价格表列、币种精度、引用详情入口及失效提示；先确认已进入PRD。未明确的子步骤记受阻。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</si>
  <si>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/SN318/W2/分区管理/分区价格表与价卡引用/boundary</t>
  </si>
  <si>
    <t>[1]使用具备“分区管理”页面权限的测试账号，进入本批提测环境。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[4]提供超宽表、长引用名、空/零价格及失效引用样例；按PRD展示精度。
[5]操作日志是否纳入PRD及专项判据待核对；依赖该结论的业务步骤受阻，已明确规范的UI步骤可先检查。</t>
  </si>
  <si>
    <t>[1]打开超宽价格表，左右滚动。
[2]查看空价、零价和长引用名，读取全文。
[3]切换引用失效样例，尝试查看该引用。</t>
  </si>
  <si>
    <t>[1]识别和操作列按规范固定且完整，表格内部滚动，页面不额外横向溢出。
[2]空零区分且单位保留；长引用名有全文入口，不覆盖操作。
[3]失效原因及允许动作有说明；不能跳到空白页或继续显示成有效引用。</t>
  </si>
  <si>
    <t>【设计依据】边界值分析/错误推测法-宽表与失效对象
【测试类型】boundary
【追溯信息】用例编号：UI-W2-29-2；原用例：W2-29-2；排期序号29/原表行33
【知识库依据】规范5.8、9.1、9.4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【待补判据】分区价格表列、币种精度、引用详情入口及失效提示；先确认已进入PRD。未明确的子步骤记受阻。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</si>
  <si>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/SN318/W2/产品管理参数配置/费用项/interaction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</si>
  <si>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[4]基础配置页头主分类及子项方案已批准；费用项列表/表单可达。</t>
  </si>
  <si>
    <t>[1]进入基础配置，选择费用项所在主分类及子项。
[2]查看费用项编码、名称及状态，再点击当前列表新增。
[3]检查表单标题和字段，取消返回。</t>
  </si>
  <si>
    <t>[1]页头主分类、内容区子项和当前列表层级清楚，不形成难辨的多层Tabs。
[2]编码/名称字段对齐；新增属于费用项列表而非整个主分类。
[3]新增费用项标题明确，字段/必填符合批准稿；返回仍选中费用项。</t>
  </si>
  <si>
    <t>【设计依据】场景法-Tabs分层和新增归属
【测试类型】interaction
【追溯信息】用例编号：UI-W2-50-1；原用例：W2-50-1；排期序号50/原表行54
【知识库依据】RV01/规范5.17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【待补判据】基础配置主/子分类设计稿、费用项字段/编码上限L、重复编码错误提示与归属。未明确的子步骤记受阻。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</si>
  <si>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[1]【通过】主分类计价底座、费用项子类和费用项对象层级可识别，与RV01页头主Tab/子项/列表新增的通用分层建议一致。
证据：R18-loaded, C09-cards-and-tabs
[2]【通过】编码/名称清楚，当前列表有新增费用项按钮，打开的是新增费用项表单。
证据：R18-loaded, F04-fee-create
[3]【受阻】已打开表单并取消回费用项；现有字段仍为分组编码及默认币种文本。本周产品PRD与M1字段映射、必填/选择控件采纳口径未取得，不能以能打开表单代替批准稿符合性。
缺条件：产品确认费用类型、分组、默认币种字段映射及采纳设计；对应D01。
证据：F04-fee-create, F08-fee-create-cancel</t>
  </si>
  <si>
    <t>W2-master-20261014-fd786de-8cdf1453
1440×900 / 100% / demo / dev Mock</t>
  </si>
  <si>
    <t>未执行 → 受阻；只比较记录轮次，不当作源码修复证明。</t>
  </si>
  <si>
    <t>/SN318/W2/产品管理参数配置/费用项/exception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</si>
  <si>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[4]PRD给出编码上限L；准备L-1/L/L+1及重复编码/保存失败响应样例。</t>
  </si>
  <si>
    <t>[1]新增费用项，分别输入L-1、L和L+1编码。
[2]用样例返回重复编码错误。
[3]修正编码后返回保存失败样例。</t>
  </si>
  <si>
    <t>[1]边界限制按PRD呈现；计数或超限提示清楚，输入不撑破字段区域。
[2]重复提示关联编码字段；其他字段输入保留，不以笼统失败代替可定位原因。
[3]旧字段错误清除；新失败提示明确，保存结束解锁并保留待修正输入。</t>
  </si>
  <si>
    <t>【设计依据】边界值分析/错误推测法-编码长度与错误提示
【测试类型】exception
【追溯信息】用例编号：UI-W2-50-2；原用例：W2-50-2；排期序号50/原表行54
【知识库依据】规范5.7、9.4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【待补判据】费用项编码字段/长度上限L、重复编码错误文案与保存失败响应；本条只检查提示和输入保留。未明确的子步骤记受阻。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</si>
  <si>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[1]【受阻】当前新增入口可达，但原前置要求的编码上限L未明确，不能自定L再测试L-1/L/L+1。
缺条件：PRD明确编码长度L及边界判据。
证据：F04-fee-create
[2]【不通过】重复FREIGHT只出现全局Toast“记录已存在，请检查编码或关联对象”，编码字段下没有对应重复错误，未满足本用例“提示关联编码字段”的预期；其他输入保留。
证据：F07-fee-duplicate-result
[3]【受阻】尚无不同于重复编码的可控保存失败响应；未制造新持久化记录来替代失败样例，字段错误纠正后的新失败链路未执行。
缺条件：非重复编码的可控保存失败响应及恢复样例。
证据：F07-fee-duplicate-result</t>
  </si>
  <si>
    <t>未执行 → 不通过；只比较记录轮次，不当作源码修复证明。</t>
  </si>
  <si>
    <t>/SN318/W2/产品管理参数配置/币种与汇率/UI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</si>
  <si>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[4]币种/汇率视图及币种对方向已批准；准备多个币种与生效日期样例。</t>
  </si>
  <si>
    <t>[1]进入币种视图，查看编码、名称及状态。
[2]切换汇率视图，查看币种对、方向、数值和生效日期。
[3]返回币种视图，再切回汇率。</t>
  </si>
  <si>
    <t>[1]币种信息层级清楚，当前分类和列表新增归属对应。
[2]来源币种、目标币种及方向可理解；数值右对齐，单位和日期没有遗漏。
[3]选中分类和内容始终一致，不残留另一个视图的工具栏或字段。</t>
  </si>
  <si>
    <t>【设计依据】场景法-分类切换与数值语义
【测试类型】UI
【追溯信息】用例编号：UI-W2-51-1；原用例：W2-51-1；排期序号51/原表行55
【知识库依据】RV01/规范5.8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【待补判据】币种/汇率视图、币种对方向、有效日期、显示精度及空零口径。未明确的子步骤记受阻。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</si>
  <si>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[1]【通过】币种视图的编码、名称和状态可识别，子对象币种与列表工具栏一致。
证据：R19-loaded, C07-switch-currency
[2]【不通过】汇率视图源币种/目标币种、直接倍率及生效日/结束日可识别，但7.1234实际内层左对齐，违反本步骤数值右对齐要求。
证据：C03-rate-metrics, C08-switch-rate
[3]【通过】从汇率切币种再切汇率，币种4条、汇率3条及各自字段/新增按钮与所选对象一致，未残留另一视图工具栏。
证据：C07-switch-currency, C08-switch-rate</t>
  </si>
  <si>
    <t>/SN318/W2/产品管理参数配置/币种与汇率/boundary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</si>
  <si>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[4]PRD已给出汇率显示精度；准备0、空、极小、极大、超精度及长币种名样例。</t>
  </si>
  <si>
    <t>[1]查看0和空汇率记录。
[2]查看极小、极大和超精度样例。
[3]查看长币种名并横向滚动或悬停。</t>
  </si>
  <si>
    <t>[1]两者按批准口径分别展示，空值不能被默认为数值0。
[2]显示精度与PRD一致，单位/币种方向保留；不为了布局擅自四舍五入到不同精度。
[3]全文可读取，数值与名称不重叠，仍可识别换算方向；本用例不核验换算算法。</t>
  </si>
  <si>
    <t>【设计依据】边界值分析-精度和数值范围展示
【测试类型】boundary
【追溯信息】用例编号：UI-W2-51-2；原用例：W2-51-2；排期序号51/原表行55
【知识库依据】规范9.1、9.2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【待补判据】币种/汇率视图、币种对方向、有效日期、显示精度及空零口径。未明确的子步骤记受阻。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</si>
  <si>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[1]【受阻】当前3条倍率为7.1234/7.8123/0.9123；没有0和空倍率专项记录。
缺条件：批准的空/零显示口径及0、空样例。
证据：R20-loaded
[2]【受阻】当前没有极小、极大及超精度样例；产品精度及版本维护冲突仍待D02裁决，不能用普通4位倍率替代专项。
缺条件：批准显示精度及极值/超精度样例。
证据：R20-loaded
[3]【受阻】当前为USD/EUR/HKD到CNY，未取得长币种名称样例；未将短编码样例的可读性当成本步骤通过。
缺条件：长币种名及全文读取样例。
证据：R20-loaded</t>
  </si>
  <si>
    <t>/SN318/W2/产品管理参数配置/服务段/UI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</si>
  <si>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[4]服务段列表和新增/编辑设计已批准；有一条可编辑服务段。</t>
  </si>
  <si>
    <t>[1]在基础配置中进入服务段。
[2]打开新增，查看标题、字段及必填。
[3]取消后打开已有服务段编辑。</t>
  </si>
  <si>
    <t>[1]当前子项高亮，列表编码、名称和状态与其他同类字典保持一致。
[2]新增对象明确；表单字段及主操作采用相同布局与文案规范。
[3]回显当前对象；新增/编辑的公共字段语义及操作位置一致。</t>
  </si>
  <si>
    <t>【设计依据】场景法-字典列表和表单一致性
【测试类型】UI
【追溯信息】用例编号：UI-W2-52-1；原用例：W2-52-1；排期序号52/原表行56
【知识库依据】RV01/规范6.1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【待补判据】服务段字段与新增/编辑承载、停用候选是否可选、空态及请求失败样例。未明确的子步骤记受阻。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</si>
  <si>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/SN318/W2/产品管理参数配置/服务段/exception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</si>
  <si>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[4]提供长中英文名称、空列表、停用项及请求失败样例。</t>
  </si>
  <si>
    <t>[1]展示长名称，悬停或展开全文。
[2]查看停用服务段及其在候选列表中的呈现。
[3]分别切换空列表和请求失败。</t>
  </si>
  <si>
    <t>[1]长文可完整阅读，状态标签及操作列未被遮挡。
[2]停用有文字标识，是否可选按批准规则反馈；不能只用浅色暗示原因。
[3]空态说明无数据并提供合适引导；失败有原因和重试，两种状态不混用。</t>
  </si>
  <si>
    <t>【设计依据】边界值分析/错误推测法-长文和停用候选
【测试类型】exception
【追溯信息】用例编号：UI-W2-52-2；原用例：W2-52-2；排期序号52/原表行56
【知识库依据】规范7.2、7.3、9.4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【待补判据】服务段字段与新增/编辑承载、停用候选是否可选、空态及请求失败样例。未明确的子步骤记受阻。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</si>
  <si>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/SN318/W2/产品管理参数配置/计费要素/interaction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</si>
  <si>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[4]已批准至少2类计费要素及对应字段/单位；类型切换的值保留策略明确。</t>
  </si>
  <si>
    <t>[1]进入计费要素新增或编辑，选择第一种类型。
[2]切换另一种类型，观察字段区。
[3]切回第一种类型，查看字段与操作区。</t>
  </si>
  <si>
    <t>[1]显示对应字段、单位和必填，分组标题与当前类型一致。
[2]显示该类型需要的字段；不适用字段按批准设计隐藏且不留下空白占位。
[3]字段组和单位恢复正确，值回显符合批准策略；保存/取消位置不因类型切换错位。</t>
  </si>
  <si>
    <t>【设计依据】场景法-类型联动和字段分组
【测试类型】interaction
【追溯信息】用例编号：UI-W2-53-1；原用例：W2-53-1；排期序号53/原表行57
【知识库依据】RV01/规范5.7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【待补判据】计费要素类型/字段/单位映射、切换时值及错误保留规则、提交失败响应。未明确的子步骤记受阻。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</si>
  <si>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/SN318/W2/产品管理参数配置/计费要素/exception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</si>
  <si>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[4]两种类型包含不同字段；提供长值、前端字段错误及保存失败样例。</t>
  </si>
  <si>
    <t>[1]在类型A输入长值或无效值，触发错误。
[2]切换类型B，查看A专属字段与错误。
[3]切回A并修正输入，再用样例返回保存失败。</t>
  </si>
  <si>
    <t>[1]错误关联当前字段，长文不撑破布局，其他输入保留。
[2]不适用字段及其错误不残留在B组；B的字段状态符合批准规则。
[3]A的值去留按批准策略回显；修正后的旧错误清除，失败可恢复且不清空当前输入。</t>
  </si>
  <si>
    <t>【设计依据】错误推测法-联动残值与失败恢复
【测试类型】exception
【追溯信息】用例编号：UI-W2-53-2；原用例：W2-53-2；排期序号53/原表行57
【知识库依据】阶段共识19、22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【待补判据】计费要素类型/字段/单位映射、切换时值及错误保留规则、提交失败响应。未明确的子步骤记受阻。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</si>
  <si>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/SN318/W2/产品管理参数配置/计费方式/interaction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</si>
  <si>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[4]至少2种计费方式及相关字段已批准；页面说明采用面向业务用户的文案。</t>
  </si>
  <si>
    <t>[1]进入计费方式配置，查看当前方式和说明。
[2]选择另一种方式，查看关联字段和单位。
[3]返回原方式，查看已填字段与说明。</t>
  </si>
  <si>
    <t>[1]名称和业务含义清楚，必要说明与操作关联，没有内部实现术语干扰。
[2]相关字段与当前选择一致，必填/只读表达明确。
[3]值去留遵循批准策略；当前说明不残留另一种方式内容。</t>
  </si>
  <si>
    <t>【设计依据】场景法-方式切换与必要信息
【测试类型】interaction
【追溯信息】用例编号：UI-W2-54-1；原用例：W2-54-1；排期序号54/原表行58
【知识库依据】RV01/RV04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【待补判据】计费方式说明及相关字段、切换值保留、候选禁用原因与失败反馈。未明确的子步骤记受阻。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</si>
  <si>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/SN318/W2/产品管理参数配置/计费方式/exception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</si>
  <si>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[4]提供0、1、多选项（含超过10项）、长说明、禁用项及获取失败样例。</t>
  </si>
  <si>
    <t>[1]分别展示0和1候选项的选择控件。
[2]展示超过10项候选，用搜索定位长名称选项。
[3]查看禁用项，再切换候选获取失败样例。</t>
  </si>
  <si>
    <t>[1]无候选有说明；单候选按批准方式展示，不能把无候选伪装为已选。
[2]Select提供搜索，候选全文可读，长说明不遮挡选择操作。
[3]禁用原因可理解；获取失败与无选项不同，有批准的重试或返回动作。</t>
  </si>
  <si>
    <t>【设计依据】边界值分析/错误推测法-候选数量与状态
【测试类型】exception
【追溯信息】用例编号：UI-W2-54-2；原用例：W2-54-2；排期序号54/原表行58
【知识库依据】规范5.3、9.4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【待补判据】计费方式说明及相关字段、切换值保留、候选禁用原因与失败反馈。未明确的子步骤记受阻。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</si>
  <si>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/SN318/W2/产品管理参数配置/下单限制/interaction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</si>
  <si>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[4]RV05方案已确认；准备至少3个限制选项和一组已确认选择。
[5]RV05的选中反馈方案已确认；待确认方案不作为失败判据。</t>
  </si>
  <si>
    <t>[1]打开下单限制选择，搜索并勾选一项。
[2]点击确认，返回查看已确认限制。
[3]重新打开，增删一项后点击取消。</t>
  </si>
  <si>
    <t>[1]搜索、选中及对象反馈符合批准稿，不无必要地重复堆叠Tag和计数。
[2]显示确认对象，数量与内容对应；当前操作归属清楚。
[3]取消只按批准策略撤销本次未确认改动，原有已确认项不被误清空。</t>
  </si>
  <si>
    <t>【设计依据】场景法-选择反馈与确认边界
【测试类型】interaction
【追溯信息】用例编号：UI-W2-55-1；原用例：W2-55-1；排期序号55/原表行59
【知识库依据】RV05 待确认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【待补判据】RV05选择反馈方案、全选范围、过滤时隐藏已选项计数、确认/取消策略。未明确的子步骤记受阻。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</si>
  <si>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/SN318/W2/产品管理参数配置/下单限制/boundary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</si>
  <si>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[4]提供多项长名称限制及已选项；搜索过滤时已选项呈现策略已批准。</t>
  </si>
  <si>
    <t>[1]勾选多项，再点击全选，查看已选数量。
[2]输入关键词，使部分已选项不在当前过滤结果中。
[3]输入无结果词，再清空搜索。
[4]取消全部选择。</t>
  </si>
  <si>
    <t>[1]全选/半选状态与实际对象范围一致，长名称不会挤占取消入口。
[2]隐藏已选项的保留和计数符合批准策略，用户可理解全部选择范围。
[3]无结果有清空引导；恢复候选后已选状态和数量保持一致。
[4]数量与勾选均清零，不残留旧的已选标签或无效确认暗示。</t>
  </si>
  <si>
    <t>【设计依据】状态转换-多选全选与过滤
【测试类型】boundary
【追溯信息】用例编号：UI-W2-55-2；原用例：W2-55-2；排期序号55/原表行59
【知识库依据】规范5.5、7.2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【待补判据】全选范围、搜索后隐藏已选项保留/计数、无结果后选择恢复、取消全部入口及RV05反馈设计。未明确的子步骤记受阻。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</si>
  <si>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/SN318/W2/产品管理参数配置/业务字典/interaction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</si>
  <si>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[4]业务字典已进入PRD；基础配置“主数据/计价底座”等分类及子列表方案已批准。
[5]操作日志是否纳入PRD及专项判据待核对；依赖该结论的业务步骤受阻，已明确规范的UI步骤可先检查。</t>
  </si>
  <si>
    <t>[1]进入基础配置，切换批准的主分类Tab。
[2]选择一个子类别，查看字典列表标题和工具栏。
[3]点击当前字典列表新增，再取消。</t>
  </si>
  <si>
    <t>[1]页头Tab表达同级分类，选中底条与当前主分类内容对应。
[2]子项与主分类层级清楚，当前字典对象可识别，不形成多层难辨Tab。
[3]新增属于当前子列表；取消回到原主/子分类，未跳到另一个字典。</t>
  </si>
  <si>
    <t>【设计依据】场景法-Tabs与子分类分层
【测试类型】interaction
【追溯信息】用例编号：UI-W2-56-1；原用例：W2-56-1；排期序号56/原表行60
【知识库依据】RV01/排期60行 原型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【待补判据】主/子分类与子列表设计、超过7类的Select/分区方案；先确认已进入PRD。未明确的子步骤记受阻。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</si>
  <si>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[1]【通过】通过主数据下的业务字典入口切换，当前监管方式位于字典子对象中；主/子分类分层符合已读取RV01通用建议。
证据：R17-loaded, D01-dictionary-create
[2]【通过】监管方式标题/列表字段及新增监管方式按钮可识别，属于当前字典对象。
证据：R17-loaded, D01-dictionary-create
[3]【受阻】点击新增监管方式再取消后仍回原监管方式对象。已完成当前M1普通UI步骤，但原前置的本周业务字典PRD/专项分类采纳稿及范围未核实，整条未据此判通过。
缺条件：补业务字典PRD映射及专项分类采纳稿；不阻塞已明确普通UI步骤。
证据：D01-dictionary-create, D02-dictionary-cancel</t>
  </si>
  <si>
    <t>/SN318/W2/产品管理参数配置/业务字典/boundary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</si>
  <si>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[4]批准稿给出超过7项分类或长名称的替代控件；有长类别名及大量类别样例。
[5]操作日志是否纳入PRD及专项判据待核对；依赖该结论的业务步骤受阻，已明确规范的UI步骤可先检查。</t>
  </si>
  <si>
    <t>[1]展示长类别名及超过7个同级类别。
[2]按批准方案切换或搜索首个、末个类别。
[3]对仍采用Tabs的区域使用Tab、方向键和Home/End。</t>
  </si>
  <si>
    <t>[1]使用批准的替代承载，避免堆叠多层Tabs；类别名称仍可完整识别。
[2]所有类别可达，内容与当前选择一致，没有仅能看见却无法选中的末项。
[3]焦点、选中和内容按5.17一致，ARIA关系可识别；空间不足换行，不产生组件内横滚。</t>
  </si>
  <si>
    <t>【设计依据】边界值分析-Tab长度数量与键盘
【测试类型】boundary
【追溯信息】用例编号：UI-W2-56-2；原用例：W2-56-2；排期序号56/原表行60
【知识库依据】规范5.17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【待补判据】主/子分类与子列表设计、超过7类的Select/分区方案；先确认已进入PRD。未明确的子步骤记受阻。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</si>
  <si>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[1]【受阻】当前字典子对象5项；未取得长类别名及超过7项同级分类样例。
缺条件：批准的&gt;7项/长类别替代承载设计及样例。
证据：R13-loaded, R17-loaded
[2]【受阻】当前5项都能分别选择并恢复列表，但不代替原用例首末项搜索/长类别样例切换。
缺条件：专项类别样例。
证据：R13-reset, R17-reset
[3]【受阻】本轮未在专项替代承载样例执行Tab/方向键/Home/End，未用DOM存在代替可访问性实测。
缺条件：专项承载样例及批准键盘/ARIA判据。
证据：D02-dictionary-cancel</t>
  </si>
  <si>
    <t>/SN318/W2/产品管理参数配置/可接货型/interaction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</si>
  <si>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[4]可接货型已进入批准PRD；有列表、选择控件及新增/编辑设计。
[5]操作日志是否纳入PRD及专项判据待核对；依赖该结论的业务步骤受阻，已明确规范的UI步骤可先检查。</t>
  </si>
  <si>
    <t>[1]进入可接货型列表，查看名称和状态。
[2]打开选择控件，选择一项并查看业务说明。
[3]打开新增/编辑后取消返回。</t>
  </si>
  <si>
    <t>[1]货型名称和状态可理解，当前对象明确。
[2]选中反馈与所选货型一致；业务限制说明单独可读，不混入选项名称造成歧义。
[3]标题和字段符合批准稿；返回当前货型视图，不遗留其他对象输入。</t>
  </si>
  <si>
    <t>【设计依据】场景法-列表与选择语义
【测试类型】interaction
【追溯信息】用例编号：UI-W2-57-1；原用例：W2-57-1；排期序号57/原表行61
【知识库依据】排期61行 原型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【待补判据】货型选择/维护入口、状态及限制说明、停用候选处理；先确认已进入PRD。未明确的子步骤记受阻。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</si>
  <si>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/SN318/W2/产品管理参数配置/可接货型/exception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</si>
  <si>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[4]提供长名、无选项、停用项及加载失败样例。
[5]操作日志是否纳入PRD及专项判据待核对；依赖该结论的业务步骤受阻，已明确规范的UI步骤可先检查。</t>
  </si>
  <si>
    <t>[1]展示长货型名称，读取完整内容。
[2]切换无选项与停用项样例。
[3]切换加载失败并点击重试。</t>
  </si>
  <si>
    <t>[1]名称可完整读取，状态及选择动作未被遮挡。
[2]无选项有说明；停用项状态/原因清楚，不能被误展示为有效已选项。
[3]失败与无候选区分；恢复后状态可更新，没有永久转圈或旧错误覆盖新内容。</t>
  </si>
  <si>
    <t>【设计依据】边界值分析/错误推测法-长候选与失败
【测试类型】exception
【追溯信息】用例编号：UI-W2-57-2；原用例：W2-57-2；排期序号57/原表行61
【知识库依据】规范5.3、7.2、9.4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【待补判据】货型选择/维护入口、状态及限制说明、停用候选处理；先确认已进入PRD。未明确的子步骤记受阻。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</si>
  <si>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/SN318/W2/产品管理参数配置/财务配置/UI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</si>
  <si>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[4]财务配置已进入PRD；分组、金额单位和敏感字段的只读/隐藏策略已批准。
[5]操作日志是否纳入PRD及专项判据待核对；依赖该结论的业务步骤受阻，已明确规范的UI步骤可先检查。</t>
  </si>
  <si>
    <t>[1]进入财务配置，查看当前分类与列表。
[2]打开新增或编辑，查看金额字段和单位。
[3]用前端样例展示只读及隐藏的敏感字段。</t>
  </si>
  <si>
    <t>[1]当前分类、标题及工具栏归属清楚，财务配置未与无关基础参数混排。
[2]单位完整，字段分组和必填/可选区分清楚。
[3]展示状态严格符合批准权限样例；只读不呈可输入暗示，隐藏内容不出现在可见提示中。</t>
  </si>
  <si>
    <t>【设计依据】场景法-配置层级与只读语义
【测试类型】UI
【追溯信息】用例编号：UI-W2-58-1；原用例：W2-58-1；排期序号58/原表行62
【知识库依据】排期62行 原型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【待补判据】财务字段/单位/精度、哪些敏感字段隐藏或只读、提交403及普通失败样例；先确认已进入PRD。未明确的子步骤记受阻。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</si>
  <si>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/SN318/W2/产品管理参数配置/财务配置/exception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</si>
  <si>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[4]按PRD精度提供空、0、极值及403/保存失败响应样例；不验证真实鉴权或财务算法。
[5]操作日志是否纳入PRD及专项判据待核对；依赖该结论的业务步骤受阻，已明确规范的UI步骤可先检查。</t>
  </si>
  <si>
    <t>[1]展示空、0及极值金额样例。
[2]在有效编辑表单点击保存，返回操作403样例。
[3]恢复允许操作样例，再返回普通提交失败。</t>
  </si>
  <si>
    <t>[1]按前置填写的精度和单位显示；空零可区分，数值不重叠或无提示截断；不核验财务算法。
[2]Toast说明“暂无操作权限”；原表单及输入保留，loading结束；不把操作失败强制替换为整页403。
[3]错误语义及恢复入口清楚，输入保留、按钮解锁；不显示保存成功。字段隐藏/只读的权限呈现另见UI-W2-58-1。</t>
  </si>
  <si>
    <t>【设计依据】边界值分析/错误推测法-数值与权限反馈
【测试类型】exception
【追溯信息】用例编号：UI-W2-58-2；原用例：W2-58-2；排期序号58/原表行62
【知识库依据】规范7.3局部异常 topMRc、权限操作错误 bkjAb2；9.1、9.2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【待补判据】财务字段/单位/精度、哪些敏感字段隐藏或只读、提交403及普通失败样例；先确认已进入PRD。未明确的子步骤记受阻。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</si>
  <si>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/SN318/W2/操作日志/操作日志/interaction</t>
  </si>
  <si>
    <t>[1]使用具备“操作日志”页面权限的测试账号，进入本批提测环境。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[4]操作日志实际页面可达；有时间、操作者、动作及对象样例。是否纳入PRD的结论单独记录。
[5]操作日志是否纳入PRD及专项判据待核对；依赖该结论的业务步骤受阻，已明确规范的UI步骤可先检查。</t>
  </si>
  <si>
    <t>[1]进入操作日志，查看时间、操作者、动作及对象列。
[2]按批准字段筛选，打开一条日志详情。
[3]关闭或返回详情。</t>
  </si>
  <si>
    <t>[1]信息层级清楚，日志仅供查看，未显示误导性修改/保存入口。
[2]查询有反馈；详情属于所选日志，长内容按组展示。
[3]回到原筛选和列表定位，仍能识别刚查看的日志。</t>
  </si>
  <si>
    <t>【设计依据】场景法-日志信息层级与返回
【测试类型】interaction
【追溯信息】用例编号：UI-W2-65-1；原用例：W2-65-1；排期序号65/原表行69
【知识库依据】排期69行 原型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【待补判据】日志列、筛选和详情入口、只读范围、页面403及长文本样例；专项范围是否进入PRD单独确认。未明确的子步骤记受阻。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</si>
  <si>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/SN318/W2/操作日志/操作日志/exception</t>
  </si>
  <si>
    <t>[1]使用具备“操作日志”页面权限的测试账号，进入本批提测环境。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[4]提供含长错误内容、尖括号/引号文本、无结果、无权限及加载失败的日志样例。
[5]操作日志是否纳入PRD及专项判据待核对；依赖该结论的业务步骤受阻，已明确规范的UI步骤可先检查。</t>
  </si>
  <si>
    <t>[1]打开长日志详情，展开内容并查看特殊字符。
[2]切换筛选无结果，再切换无权限样例。
[3]切换加载失败，使用重试或返回。</t>
  </si>
  <si>
    <t>[1]全文可读；特殊字符以文本显示，不执行内容或破坏布局。
[2]无结果提供清空筛选；无权限说明访问原因及允许返回，两者不混用。
[3]失败原因与恢复入口清楚，不显示为无日志或已成功；恢复后可继续查看。</t>
  </si>
  <si>
    <t>【设计依据】边界值分析/错误推测法-长文和页面状态
【测试类型】exception
【追溯信息】用例编号：UI-W2-65-2；原用例：W2-65-2；排期序号65/原表行69
【知识库依据】规范7.2、7.3、9.4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【待补判据】日志列、筛选和详情入口、只读范围、页面403及长文本样例；专项范围是否进入PRD单独确认。未明确的子步骤记受阻。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</si>
  <si>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/SN318/W2/已交付M1补测</t>
  </si>
  <si>
    <t>本地dev + useMockAuth/useMockData，demo角色，1440×900/100%；只判前端Mock表现。已交付M1本地Mock补测</t>
  </si>
  <si>
    <t>[1]输入NO_UI_20261014并查询
[2]阅读无结果说明和恢复入口
[3]点击重置</t>
  </si>
  <si>
    <t>[1]筛选保留且0条，不保留旧结果
[2]搜索无结果说明调整筛选，区别首次无数据
[3]清空测试词，恢复当前资源原列表</t>
  </si>
  <si>
    <t>【用例编号】UI-M1-001
【依据】M1开发基线；V1.2 7.2
【范围】已交付M1本地Mock补测
【工作包】M1补充，非W2专项代替</t>
  </si>
  <si>
    <t>未执行（新增记录无历史）</t>
  </si>
  <si>
    <t>[1]【通过】DOM完成态0条，测试词保留。
证据：B21-country-empty
[2]【不通过】显示暂无国家数据和新增入口，缺调整筛选说明；重置按钮虽在筛选区仍可用。
证据：B21-country-empty
[3]【通过】DOM记录原列表恢复，未串入其他资源。
证据：B21-country-reset</t>
  </si>
  <si>
    <t>[1]【通过】查询词NO_UI_20261014_RECHECK保留，当前列表/子表完成态为0条。
证据：M02-country-empty
[2]【不通过】筛选无结果显示“暂无国家数据”，没有“未找到相关结果/请调整筛选条件”的说明及清空筛选引导；工具栏重置仍可用。
证据：M02-country-empty
[3]【通过】点击重置后输入清空，原对象及原列表/子表记录恢复；当前证据中基线与恢复行内容一致。
证据：M01-country-baseline, M03-country-reset</t>
  </si>
  <si>
    <t>不通过 → 不通过；只比较记录轮次，不当作源码修复证明。</t>
  </si>
  <si>
    <t>【用例编号】UI-M1-002
【依据】M1开发基线；V1.2 7.2
【范围】已交付M1本地Mock补测
【工作包】M1补充，非W2专项代替</t>
  </si>
  <si>
    <t>[1]【通过】DOM完成态0条，测试词保留。
证据：B23-location-0-empty
[2]【不通过】显示暂无省/州数据和新增入口，缺调整筛选说明；重置按钮虽在筛选区仍可用。
证据：B23-location-0-empty
[3]【通过】DOM记录原列表恢复，未串入其他资源。
证据：B23-location-0-reset</t>
  </si>
  <si>
    <t>[1]【通过】查询词NO_UI_20261014_RECHECK保留，当前列表/子表完成态为0条。
证据：R4-empty
[2]【不通过】筛选无结果显示“暂无省 / 州数据”，没有“未找到相关结果/请调整筛选条件”的说明及清空筛选引导；工具栏重置仍可用。
证据：R4-empty
[3]【通过】点击重置后输入清空，原对象及原列表/子表记录恢复；当前证据中基线与恢复行内容一致。
证据：R4-loaded, R4-reset</t>
  </si>
  <si>
    <t>【用例编号】UI-M1-003
【依据】M1开发基线；V1.2 7.2
【范围】已交付M1本地Mock补测
【工作包】M1补充，非W2专项代替</t>
  </si>
  <si>
    <t>[1]【通过】DOM完成态0条，测试词保留。
证据：B23-location-1-empty
[2]【不通过】显示暂无城市数据和新增入口，缺调整筛选说明；重置按钮虽在筛选区仍可用。
证据：B23-location-1-empty
[3]【通过】DOM记录原列表恢复，未串入其他资源。
证据：B23-location-1-reset</t>
  </si>
  <si>
    <t>[1]【通过】查询词NO_UI_20261014_RECHECK保留，当前列表/子表完成态为0条。
证据：R5-empty
[2]【不通过】筛选无结果显示“暂无城市数据”，没有“未找到相关结果/请调整筛选条件”的说明及清空筛选引导；工具栏重置仍可用。
证据：R5-empty
[3]【通过】点击重置后输入清空，原对象及原列表/子表记录恢复；当前证据中基线与恢复行内容一致。
证据：R5-loaded, R5-reset</t>
  </si>
  <si>
    <t>【用例编号】UI-M1-004
【依据】M1开发基线；V1.2 7.2
【范围】已交付M1本地Mock补测
【工作包】M1补充，非W2专项代替</t>
  </si>
  <si>
    <t>[1]【通过】DOM完成态0条，测试词保留。
证据：B23-location-2-empty
[2]【不通过】显示暂无区县数据和新增入口，缺调整筛选说明；重置按钮虽在筛选区仍可用。
证据：B23-location-2-empty
[3]【通过】DOM记录原列表恢复，未串入其他资源。
证据：B23-location-2-reset</t>
  </si>
  <si>
    <t>[1]【通过】查询词NO_UI_20261014_RECHECK保留，当前列表/子表完成态为0条。
证据：R6-empty
[2]【不通过】筛选无结果显示“暂无区县数据”，没有“未找到相关结果/请调整筛选条件”的说明及清空筛选引导；工具栏重置仍可用。
证据：R6-empty
[3]【通过】点击重置后输入清空，原对象及原列表/子表记录恢复；当前证据中基线与恢复行内容一致。
证据：R6-loaded, R6-reset</t>
  </si>
  <si>
    <t>【用例编号】UI-M1-005
【依据】M1开发基线；V1.2 7.2
【范围】已交付M1本地Mock补测
【工作包】M1补充，非W2专项代替</t>
  </si>
  <si>
    <t>[1]【通过】DOM完成态0条，测试词保留。
证据：B23-location-3-empty
[2]【不通过】显示暂无邮编数据和新增入口，缺调整筛选说明；重置按钮虽在筛选区仍可用。
证据：B23-location-3-empty
[3]【通过】DOM记录原列表恢复，未串入其他资源。
证据：B23-location-3-reset</t>
  </si>
  <si>
    <t>[1]【通过】查询词NO_UI_20261014_RECHECK保留，当前列表/子表完成态为0条。
证据：R7-empty
[2]【不通过】筛选无结果显示“暂无邮编数据”，没有“未找到相关结果/请调整筛选条件”的说明及清空筛选引导；工具栏重置仍可用。
证据：R7-empty
[3]【通过】点击重置后输入清空，原对象及原列表/子表记录恢复；当前证据中基线与恢复行内容一致。
证据：R7-loaded, R7-reset</t>
  </si>
  <si>
    <t>【用例编号】UI-M1-006
【依据】M1开发基线；V1.2 7.2
【范围】已交付M1本地Mock补测
【工作包】M1补充，非W2专项代替</t>
  </si>
  <si>
    <t>[1]【通过】DOM完成态0条，测试词保留。
证据：B25-location-0-empty
[2]【不通过】显示暂无机场数据和新增入口，缺调整筛选说明；重置按钮虽在筛选区仍可用。
证据：B25-location-0-empty
[3]【通过】DOM记录原列表恢复，未串入其他资源。
证据：B25-location-0-reset</t>
  </si>
  <si>
    <t>[1]【通过】查询词NO_UI_20261014_RECHECK保留，当前列表/子表完成态为0条。
证据：R8-empty
[2]【不通过】筛选无结果显示“暂无机场数据”，没有“未找到相关结果/请调整筛选条件”的说明及清空筛选引导；工具栏重置仍可用。
证据：R8-empty
[3]【通过】点击重置后输入清空，原对象及原列表/子表记录恢复；当前证据中基线与恢复行内容一致。
证据：R8-loaded, R8-reset</t>
  </si>
  <si>
    <t>【用例编号】UI-M1-007
【依据】M1开发基线；V1.2 7.2
【范围】已交付M1本地Mock补测
【工作包】M1补充，非W2专项代替</t>
  </si>
  <si>
    <t>[1]【通过】DOM完成态0条，测试词保留。
证据：B25-location-1-empty
[2]【不通过】显示暂无港口数据和新增入口，缺调整筛选说明；重置按钮虽在筛选区仍可用。
证据：B25-location-1-empty
[3]【通过】DOM记录原列表恢复，未串入其他资源。
证据：B25-location-1-reset</t>
  </si>
  <si>
    <t>[1]【通过】查询词NO_UI_20261014_RECHECK保留，当前列表/子表完成态为0条。
证据：R9-empty
[2]【不通过】筛选无结果显示“暂无港口数据”，没有“未找到相关结果/请调整筛选条件”的说明及清空筛选引导；工具栏重置仍可用。
证据：R9-empty
[3]【通过】点击重置后输入清空，原对象及原列表/子表记录恢复；当前证据中基线与恢复行内容一致。
证据：R9-loaded, R9-reset</t>
  </si>
  <si>
    <t>【用例编号】UI-M1-008
【依据】M1开发基线；V1.2 7.2
【范围】已交付M1本地Mock补测
【工作包】M1补充，非W2专项代替</t>
  </si>
  <si>
    <t>[1]【通过】DOM完成态0条，测试词保留。
证据：B25-location-2-empty
[2]【不通过】显示暂无仓库数据和新增入口，缺调整筛选说明；重置按钮虽在筛选区仍可用。
证据：B25-location-2-empty
[3]【通过】DOM记录原列表恢复，未串入其他资源。
证据：B25-location-2-reset</t>
  </si>
  <si>
    <t>[1]【通过】查询词NO_UI_20261014_RECHECK保留，当前列表/子表完成态为0条。
证据：R10-empty
[2]【不通过】筛选无结果显示“暂无仓库数据”，没有“未找到相关结果/请调整筛选条件”的说明及清空筛选引导；工具栏重置仍可用。
证据：R10-empty
[3]【通过】点击重置后输入清空，原对象及原列表/子表记录恢复；当前证据中基线与恢复行内容一致。
证据：R10-loaded, R10-reset</t>
  </si>
  <si>
    <t>【用例编号】UI-M1-009
【依据】M1开发基线；V1.2 7.2
【范围】已交付M1本地Mock补测
【工作包】M1补充，非W2专项代替</t>
  </si>
  <si>
    <t>[1]【通过】DOM完成态0条，测试词保留。
证据：B27-region-empty
[2]【不通过】显示暂无航线区域数据和新增入口，缺调整筛选说明；重置按钮虽在筛选区仍可用。
证据：B27-region-empty
[3]【通过】DOM记录原列表恢复，未串入其他资源。
证据：B27-region-reset</t>
  </si>
  <si>
    <t>[1]【通过】查询词NO_UI_20261014_RECHECK保留，当前列表/子表完成态为0条。
证据：R11-empty
[2]【不通过】筛选无结果显示“暂无航线区域数据”，没有“未找到相关结果/请调整筛选条件”的说明及清空筛选引导；工具栏重置仍可用。
证据：R11-empty
[3]【通过】点击重置后输入清空，原对象及原列表/子表记录恢复；当前证据中基线与恢复行内容一致。
证据：R11-loaded, R11-reset</t>
  </si>
  <si>
    <t>【用例编号】UI-M1-010
【依据】M1开发基线；V1.2 7.2
【范围】已交付M1本地Mock补测
【工作包】M1补充，非W2专项代替</t>
  </si>
  <si>
    <t>[1]【通过】DOM完成态0条，测试词保留。
证据：B32-zone-empty
[2]【不通过】显示暂无Zone数据和新增入口，缺调整筛选说明；重置按钮虽在筛选区仍可用。
证据：B32-zone-empty
[3]【通过】DOM记录原列表恢复，未串入其他资源。
证据：B32-zone-reset</t>
  </si>
  <si>
    <t>[1]【通过】查询词NO_UI_20261014_RECHECK保留，当前列表/子表完成态为0条。
证据：R12-empty
[2]【不通过】筛选无结果显示“暂无Zone数据”，没有“未找到相关结果/请调整筛选条件”的说明及清空筛选引导；工具栏重置仍可用。
证据：R12-empty
[3]【通过】点击重置后输入清空，原对象及原列表/子表记录恢复；当前证据中基线与恢复行内容一致。
证据：R12-loaded, R12-reset</t>
  </si>
  <si>
    <t>【用例编号】UI-M1-011
【依据】M1开发基线；V1.2 7.2
【范围】已交付M1本地Mock补测
【工作包】W2-56</t>
  </si>
  <si>
    <t>[1]【通过】DOM完成态0条，测试词保留。
证据：B37-dict-airline-empty
[2]【不通过】显示暂无航空公司数据和新增入口，缺调整筛选说明；重置按钮虽在筛选区仍可用。
证据：B37-dict-airline-empty
[3]【通过】DOM记录原列表恢复，未串入其他资源。
证据：B37-dict-airline-reset</t>
  </si>
  <si>
    <t>[1]【通过】查询词NO_UI_20261014_RECHECK保留，当前列表/子表完成态为0条。
证据：R13-empty
[2]【不通过】筛选无结果显示“暂无航空公司数据”，没有“未找到相关结果/请调整筛选条件”的说明及清空筛选引导；工具栏重置仍可用。
证据：R13-empty
[3]【通过】点击重置后输入清空，原对象及原列表/子表记录恢复；当前证据中基线与恢复行内容一致。
证据：R13-loaded, R13-reset</t>
  </si>
  <si>
    <t>【用例编号】UI-M1-012
【依据】M1开发基线；V1.2 7.2
【范围】已交付M1本地Mock补测
【工作包】W2-56</t>
  </si>
  <si>
    <t>[1]【通过】DOM完成态0条，测试词保留。
证据：B39-dict-0-empty
[2]【不通过】显示暂无运输方式数据和新增入口，缺调整筛选说明；重置按钮虽在筛选区仍可用。
证据：B39-dict-0-empty
[3]【通过】DOM记录原列表恢复，未串入其他资源。
证据：B39-dict-0-reset</t>
  </si>
  <si>
    <t>[1]【通过】查询词NO_UI_20261014_RECHECK保留，当前列表/子表完成态为0条。
证据：R14-empty
[2]【不通过】筛选无结果显示“暂无运输方式数据”，没有“未找到相关结果/请调整筛选条件”的说明及清空筛选引导；工具栏重置仍可用。
证据：R14-empty
[3]【通过】点击重置后输入清空，原对象及原列表/子表记录恢复；当前证据中基线与恢复行内容一致。
证据：R14-loaded, R14-reset</t>
  </si>
  <si>
    <t>【用例编号】UI-M1-013
【依据】M1开发基线；V1.2 7.2
【范围】已交付M1本地Mock补测
【工作包】W2-56</t>
  </si>
  <si>
    <t>[1]【通过】DOM完成态0条，测试词保留。
证据：B39-dict-1-empty
[2]【不通过】显示暂无货物类型数据和新增入口，缺调整筛选说明；重置按钮虽在筛选区仍可用。
证据：B39-dict-1-empty
[3]【通过】DOM记录原列表恢复，未串入其他资源。
证据：B39-dict-1-reset</t>
  </si>
  <si>
    <t>[1]【通过】查询词NO_UI_20261014_RECHECK保留，当前列表/子表完成态为0条。
证据：R15-empty
[2]【不通过】筛选无结果显示“暂无货物类型数据”，没有“未找到相关结果/请调整筛选条件”的说明及清空筛选引导；工具栏重置仍可用。
证据：R15-empty
[3]【通过】点击重置后输入清空，原对象及原列表/子表记录恢复；当前证据中基线与恢复行内容一致。
证据：R15-loaded, R15-reset</t>
  </si>
  <si>
    <t>【用例编号】UI-M1-014
【依据】M1开发基线；V1.2 7.2
【范围】已交付M1本地Mock补测
【工作包】W2-56</t>
  </si>
  <si>
    <t>[1]【通过】DOM完成态0条，测试词保留。
证据：B39-dict-2-empty
[2]【不通过】显示暂无包装类型数据和新增入口，缺调整筛选说明；重置按钮虽在筛选区仍可用。
证据：B39-dict-2-empty
[3]【通过】DOM记录原列表恢复，未串入其他资源。
证据：B39-dict-2-reset</t>
  </si>
  <si>
    <t>[1]【通过】查询词NO_UI_20261014_RECHECK保留，当前列表/子表完成态为0条。
证据：R16-empty
[2]【不通过】筛选无结果显示“暂无包装类型数据”，没有“未找到相关结果/请调整筛选条件”的说明及清空筛选引导；工具栏重置仍可用。
证据：R16-empty
[3]【通过】点击重置后输入清空，原对象及原列表/子表记录恢复；当前证据中基线与恢复行内容一致。
证据：R16-loaded, R16-reset</t>
  </si>
  <si>
    <t>【用例编号】UI-M1-015
【依据】M1开发基线；V1.2 7.2
【范围】已交付M1本地Mock补测
【工作包】W2-56</t>
  </si>
  <si>
    <t>[1]【通过】DOM完成态0条，测试词保留。
证据：B17-dictionary-noresult
[2]【不通过】显示暂无监管方式数据和新增入口，缺调整筛选说明；重置按钮虽在筛选区仍可用。
证据：B17-dictionary-noresult
[3]【通过】DOM记录原列表恢复，未串入其他资源。
证据：B18-dictionary-reset</t>
  </si>
  <si>
    <t>[1]【通过】查询词NO_UI_20261014_RECHECK保留，当前列表/子表完成态为0条。
证据：R17-empty
[2]【不通过】筛选无结果显示“暂无监管方式数据”，没有“未找到相关结果/请调整筛选条件”的说明及清空筛选引导；工具栏重置仍可用。
证据：R17-empty
[3]【通过】点击重置后输入清空，原对象及原列表/子表记录恢复；当前证据中基线与恢复行内容一致。
证据：R17-loaded, R17-reset</t>
  </si>
  <si>
    <t>【用例编号】UI-M1-016
【依据】M1开发基线；V1.2 7.2
【范围】已交付M1本地Mock补测
【工作包】W2-50</t>
  </si>
  <si>
    <t>[1]【通过】DOM完成态0条，测试词保留。
证据：B41-fee-empty
[2]【不通过】显示暂无费用项数据和新增入口，缺调整筛选说明；重置按钮虽在筛选区仍可用。
证据：B41-fee-empty
[3]【通过】DOM记录原列表恢复，未串入其他资源。
证据：B41-fee-reset</t>
  </si>
  <si>
    <t>[1]【通过】查询词NO_UI_20261014_RECHECK保留，当前列表/子表完成态为0条。
证据：R18-empty
[2]【不通过】筛选无结果显示“暂无费用项数据”，没有“未找到相关结果/请调整筛选条件”的说明及清空筛选引导；工具栏重置仍可用。
证据：R18-empty
[3]【通过】点击重置后输入清空，原对象及原列表/子表记录恢复；当前证据中基线与恢复行内容一致。
证据：R18-loaded, R18-reset</t>
  </si>
  <si>
    <t>【用例编号】UI-M1-017
【依据】M1开发基线；V1.2 7.2
【范围】已交付M1本地Mock补测
【工作包】W2-51</t>
  </si>
  <si>
    <t>[1]【通过】DOM完成态0条，测试词保留。
证据：B43-currency-empty
[2]【不通过】显示暂无币种数据和新增入口，缺调整筛选说明；重置按钮虽在筛选区仍可用。
证据：B43-currency-empty
[3]【通过】DOM记录原列表恢复，未串入其他资源。
证据：B43-currency-reset</t>
  </si>
  <si>
    <t>[1]【通过】查询词NO_UI_20261014_RECHECK保留，当前列表/子表完成态为0条。
证据：R19-empty
[2]【不通过】筛选无结果显示“暂无币种数据”，没有“未找到相关结果/请调整筛选条件”的说明及清空筛选引导；工具栏重置仍可用。
证据：R19-empty
[3]【通过】点击重置后输入清空，原对象及原列表/子表记录恢复；当前证据中基线与恢复行内容一致。
证据：R19-loaded, R19-reset</t>
  </si>
  <si>
    <t>【用例编号】UI-M1-018
【依据】M1开发基线；V1.2 7.2
【范围】已交付M1本地Mock补测
【工作包】W2-51</t>
  </si>
  <si>
    <t>[1]【通过】DOM完成态0条，测试词保留。
证据：B45-rate-empty
[2]【不通过】显示暂无汇率数据和新增入口，缺调整筛选说明；重置按钮虽在筛选区仍可用。
证据：B45-rate-empty
[3]【通过】DOM记录原列表恢复，未串入其他资源。
证据：B45-rate-reset</t>
  </si>
  <si>
    <t>[1]【通过】查询词NO_UI_20261014_RECHECK保留，当前列表/子表完成态为0条。
证据：R20-empty
[2]【不通过】筛选无结果显示“暂无汇率数据”，没有“未找到相关结果/请调整筛选条件”的说明及清空筛选引导；工具栏重置仍可用。
证据：R20-empty
[3]【通过】点击重置后输入清空，原对象及原列表/子表记录恢复；当前证据中基线与恢复行内容一致。
证据：R20-loaded, R20-reset</t>
  </si>
  <si>
    <t>[1]在父对象详情明确点击关系/成员页签，再查询NO_UI_20261014
[2]查看关联子表空结果
[3]点击子表重置</t>
  </si>
  <si>
    <t>[1]查询只影响关联子表，父列表和对象保留
[2]搜索无结果有调整筛选引导
[3]恢复原父对象关系数据</t>
  </si>
  <si>
    <t>【用例编号】UI-M1-019
【依据】M1开发基线；V1.2 7.2
【范围】已交付M1本地Mock补测
【工作包】M1补充，非W2专项代替</t>
  </si>
  <si>
    <t>[1]【通过】子表0条，父列表仍3条，所选ASIA/Mock Zone不变。
证据：B29-region-relation-empty
[2]【不通过】显示暂无国家关系/成员数据及新增关系，缺筛选恢复说明。
证据：B29-region-relation-empty
[3]【通过】恢复关联行，父对象未串用。
证据：B30-region-relation-reset</t>
  </si>
  <si>
    <t>[1]【通过】查询词NO_UI_20261014_RECHECK保留，当前列表/子表完成态为0条。
证据：S19-relation-empty
[2]【不通过】筛选无结果显示“暂无国家关系数据
新增关系”，没有“未找到相关结果/请调整筛选条件”的说明及清空筛选引导；工具栏重置仍可用。
证据：S19-relation-empty
[3]【通过】点击重置后输入清空，原对象及原列表/子表记录恢复；当前证据中基线与恢复行内容一致。
证据：S19-relation-loaded, S19-relation-reset</t>
  </si>
  <si>
    <t>【用例编号】UI-M1-020
【依据】M1开发基线；V1.2 7.2
【范围】已交付M1本地Mock补测
【工作包】M1补充，非W2专项代替</t>
  </si>
  <si>
    <t>[1]【通过】子表0条，父列表仍3条，所选ASIA/Mock Zone不变。
证据：B34-zone-member-empty
[2]【不通过】显示暂无国家关系/成员数据及新增关系，缺筛选恢复说明。
证据：B34-zone-member-empty
[3]【通过】恢复关联行，父对象未串用。
证据：B35-zone-member-reset</t>
  </si>
  <si>
    <t>[1]【通过】查询词NO_UI_20261014_RECHECK保留，当前列表/子表完成态为0条。
证据：S20-relation-empty
[2]【不通过】筛选无结果显示“暂无成员数据
新增关系”，没有“未找到相关结果/请调整筛选条件”的说明及清空筛选引导；工具栏重置仍可用。
证据：S20-relation-empty
[3]【通过】点击重置后输入清空，原对象及原列表/子表记录恢复；当前证据中基线与恢复行内容一致。
证据：S20-relation-loaded, S20-relation-reset</t>
  </si>
  <si>
    <t>[1]打开FREIGHT编辑
[2]将名称改成UI临时修改_取消验证后取消</t>
  </si>
  <si>
    <t>[1]既有编码不可编辑
[2]取消不保存，原记录未改</t>
  </si>
  <si>
    <t>【用例编号】UI-M1-021
【依据】M1字段不可变/取消语义
【范围】已交付M1本地Mock补测
【工作包】W2-50</t>
  </si>
  <si>
    <t>[1]【通过】编码disabled，当前名称运费。
证据：B04-fee-edit
[2]【通过】原FREIGHT仍为运费，未提交修改。
证据：B05-fee-cancel</t>
  </si>
  <si>
    <t>[1]【通过】FREIGHT编码控件存在且disabled；名称运费可编辑。
证据：F01-fee-edit
[2]【通过】名称改为UI临时修改_取消验证后点击取消，FREIGHT仍显示运费，没有提交临时名称。
证据：F02-fee-edit-unsaved, F03-fee-edit-cancel</t>
  </si>
  <si>
    <t>通过 → 通过；只比较记录轮次，不当作源码修复证明。</t>
  </si>
  <si>
    <t>[1]新增空表单保存
[2]填写已有FREIGHT与有效其他字段保存</t>
  </si>
  <si>
    <t>[1]必填字段下提示且保持表单
[2]重复编码明确错误且输入保留、按钮解除loading</t>
  </si>
  <si>
    <t>【用例编号】UI-M1-022
【依据】M1必填/重复编码；规范7.3字段错误
【范围】已交付M1本地Mock补测
【工作包】W2-50</t>
  </si>
  <si>
    <t>[1]【通过】编码/名称等字段就地报错。
证据：B06-fee-required
[2]【受阻】停留表单、原3条记录未增；Toast已消失，错误文案未捕获，不能判完整通过。
缺条件：补充可持续错误捕获/按钮恢复采样
证据：B07-fee-duplicate-start、B08-fee-duplicate-result</t>
  </si>
  <si>
    <t>[1]【通过】空表单保存后费用项编码、名称、分组编码、默认币种分别有字段下必填提示，表单保持打开。
证据：F05-fee-empty-submit
[2]【通过】提交重复FREIGHT后捕获“记录已存在，请检查编码或关联对象”；各输入保留，保存按钮恢复可用，取消后列表仍3条。只判本条要求的明确重复反馈，不等同于字段错误映射通过。
证据：F06-fee-duplicate-ready, F07-fee-duplicate-result, F08-fee-create-cancel</t>
  </si>
  <si>
    <t>受阻 → 通过；只比较记录轮次，不当作源码修复证明。</t>
  </si>
  <si>
    <t>[1]打开币种编辑</t>
  </si>
  <si>
    <t>[1]已有code只读</t>
  </si>
  <si>
    <t>【用例编号】UI-M1-023
【依据】M1编码不可变
【范围】已交付M1本地Mock补测
【工作包】W2-51</t>
  </si>
  <si>
    <t>[1]【通过】code disabled；本条仅判编码不可输入，不将取消后落点合为已验证条件。
证据：B10-currency-edit</t>
  </si>
  <si>
    <t>[1]【通过】实际控件名称为“请输入ISO 4217 编码”，存在且disabled，当前CNY不可编辑；本条仅判编码只读。
证据：C01-currency-edit</t>
  </si>
  <si>
    <t>[1]打开已生效USD/CNY汇率编辑</t>
  </si>
  <si>
    <t>[1]源/目标/汇率/生效日不可改，调整结束区间；无普通删除</t>
  </si>
  <si>
    <t>【用例编号】UI-M1-024
【依据】M1已生效汇率版本规则；PRD正文/待确认项冲突另登记
【范围】已交付M1本地Mock补测
【工作包】W2-51</t>
  </si>
  <si>
    <t>[1]【通过】源目标、ratio7.1234、start2026-10-01 disabled；end/status可编辑，无删除入口。
证据：B11a-rate-loaded、B12a-rate-edit-loaded</t>
  </si>
  <si>
    <t>[1]【通过】已生效USD/CNY的源币种、目标币种、倍率7.1234、生效日2026-10-01均disabled；通过日历将结束日临时改为2026-10-30后取消，原结束日2026-10-31保留；当前无普通删除按钮。仅按原用例明确的M1呈现判定，D02产品规则裁决仍保留。
证据：C04-rate-edit, C05-rate-end-unsaved, C06-rate-cancel</t>
  </si>
  <si>
    <t>本地dev + useMockAuth/useMockData，demo角色，1440×900/100%；只判前端Mock表现。仅汇率实际对象量测，不替代全部资源字段专项</t>
  </si>
  <si>
    <t>[1]量测查询按钮
[2]量测表格正文与数字
[3]量测卡片</t>
  </si>
  <si>
    <t>[1]按钮圆角8px
[2]正文#4B5564，数字右对齐，操作左对齐
[3]圆角12px、padding24px</t>
  </si>
  <si>
    <t>【用例编号】UI-M1-025
【依据】V1.2 3.1/5.1/5.8/5.9
【范围】仅汇率实际对象量测，不替代全部资源字段专项
【工作包】W2-51</t>
  </si>
  <si>
    <t>[1]【不通过】32px高、圆角2px。
证据：B46-master-common-metrics
[2]【不通过】正文#1A2130、ratio内层左对齐、操作居中。
证据：B46-master-common-metrics
[3]【通过】两张公共卡片12px/24px。
证据：B46-master-common-metrics</t>
  </si>
  <si>
    <t>[1]【不通过】查询按钮32px高、圆角2px，预期8px。
证据：C03-rate-visual
[2]【不通过】正文#1A2130；ratio 7.1234的实际内层为left，操作内层居中、间距4px。预期正文#4B5564、数字右对齐、操作左对齐。
证据：C03-rate-visual, C03-rate-metrics
[3]【通过】实际表格卡片.by-card--default为圆角12px、padding24px；量测真实卡片祖先，未用表格容器8px替代。
证据：C09-cards-and-tabs</t>
  </si>
  <si>
    <t>本次执行状态（2026-10-14）</t>
  </si>
  <si>
    <t>本次实际结果/证据（原H/I/J保留）</t>
  </si>
  <si>
    <t>/pcs-front/通用模板/视觉规范/标题与容器</t>
  </si>
  <si>
    <t>[1]本地通用模板 http://127.0.0.1:5173/home 可访问；浏览器缩放100%。
[2]将视口设置为1440×900，进入示例管理的列表页。</t>
  </si>
  <si>
    <t>[1]查看页头标题，通过浏览器计算样式读取字号和字重。
[2]读取默认按钮高度及圆角。
[3]读取主卡片圆角及内边距。</t>
  </si>
  <si>
    <t>[1]H1字号20px、字重500；页面只有一个主要标题，标题含义与当前列表一致。
[2]默认按钮高32px、圆角8px，文字未被裁切，主次按钮语义清楚。
[3]卡片圆角12px、内边距24px；内容和边缘保留一致间距。</t>
  </si>
  <si>
    <t>【设计依据】视觉规范/标题与容器
【测试类型】UI
【追溯信息】用例编号：UI-TPL-001；原检查：T01；原设计修改项：无
【知识库依据】3.2 s4NgFa、3.4 jYqjvY、5.1 Jhut4D、5.9 O6GcDy
【准入状态】已确认差异，待修改复测。
【执行说明】2026-10-13实测见右侧；受阻项逐步保留原因。
【审查方式】浏览器实际操作、截图及只读DOM量测；Mock源码仅用于确认样例限制。
【全面复核】维持不通过，按钮2px圆角由既有量测确认。
【本次清单】M01</t>
  </si>
  <si>
    <t>2026-10-14复核｜本地dev/Mock｜/demo/list
[1]【通过】唯一H1“运单管理”，20px/500。
[2]【不通过】查询按钮32px高、圆角2px，规范8px。
[3]【通过】筛选及表格卡片圆角12px、padding24px。
证据：V02、A01；见配套复核证据.html。</t>
  </si>
  <si>
    <t>[1]【通过】唯一H1运单管理，20px/500。
证据：T01-list-baseline
[2]【不通过】查询32px高、圆角2px，要求8px。
证据：T01-list-baseline
[3]【受阻】本次未完成该分支判定；历史结果另保留。
缺条件：本轮列表外层卡片未独立量测；历史值不能代替本次
证据：T13-container-metrics</t>
  </si>
  <si>
    <t>W2-dev-20261014-5c6bc530
本地dev/Mock；不覆盖真实接口；逐步受阻见左列</t>
  </si>
  <si>
    <t>/pcs-front/通用模板/视觉规范/页头</t>
  </si>
  <si>
    <t>[1]本地通用模板 http://127.0.0.1:5173/home 可访问；浏览器缩放100%。
[2]1440×900视口；列表使用标准型页头，包含面包屑、主标题和操作区。</t>
  </si>
  <si>
    <t>[1]进入列表，确认页头为标准型。
[2]读取标准页头及面包屑的实际边界高度。
[3]查看页头右侧操作与标题底部的对齐。</t>
  </si>
  <si>
    <t>[1]页头具有标准型规定的组成，不将完整型或简洁型误作为本用例对象。
[2]标准页头总高94px，面包屑高18px；标题行高及间距符合4.2。
[3]无副标题时操作区与主标题底部对齐；没有额外空隙造成页头增高。</t>
  </si>
  <si>
    <t>【设计依据】视觉规范/页头
【测试类型】UI
【追溯信息】用例编号：UI-TPL-002；原检查：T02；原设计修改项：F02
【知识库依据】4.2 FFO2Ix、0rCax8
【准入状态】已确认差异，待修改复测。
【执行说明】2026-10-13实测见右侧；受阻项逐步保留原因。
【审查方式】浏览器实际操作、截图及只读DOM量测；Mock源码仅用于确认样例限制。
【全面复核】维持不通过；修正来源定位为4.2。
【本次清单】M02</t>
  </si>
  <si>
    <t>2026-10-14复核｜本地dev/Mock｜/demo/list
[1]【通过】标准型页头，面包屑、标题、操作齐全。
[2]【不通过】页头97px、面包屑18px，标准页头规范94px。
[3]【通过】标题及右侧按钮底部均y=133，底部对齐。
证据：V02、V76、A01；见配套复核证据.html。</t>
  </si>
  <si>
    <t>[1]【通过】标准页头含面包屑、标题和操作区。
证据：T01-list-baseline
[2]【不通过】标准页头97px；面包屑18px。要求94px。
证据：T01-list-baseline、T13-container-metrics
[3]【通过】标题与操作区底部对齐，截图可见。
证据：T01-list-baseline</t>
  </si>
  <si>
    <t>/pcs-front/通用模板/视觉规范/操作列</t>
  </si>
  <si>
    <t>[1]本地通用模板 http://127.0.0.1:5173/home 可访问；浏览器缩放100%。
[2]1440×900视口；列表首行包含“详情”“跟踪”等文字操作。</t>
  </si>
  <si>
    <t>[1]查看首行操作列，读取单元格内层对齐方式及按钮间距。
[2]将表格横向滚动到最右侧。
[3]将视口调整为1280和1024宽，重复查看行操作。</t>
  </si>
  <si>
    <t>[1]操作内容左对齐，文字按钮间距16px；以实际内容容器为准。
[2]操作列固定在最右侧，文字及按钮不被裁切，与主体列不重叠。
[3]操作仍完整可达，调整列宽后未产生固定列重叠或页面级横向滚动。</t>
  </si>
  <si>
    <t>【设计依据】视觉规范/操作列
【测试类型】UI
【追溯信息】用例编号：UI-TPL-003；原检查：T03；原设计修改项：F01
【知识库依据】5.8 tkqkxw、IOfbnI；4.5.2 lfEtqB
【准入状态】已确认差异，待修改复测。
【执行说明】2026-10-13实测见右侧；受阻项逐步保留原因。
【审查方式】浏览器实际操作、截图及只读DOM量测；Mock源码仅用于确认样例限制。
【全面复核】维持不通过：居中/8px，固定列已通过。
【本次清单】M03</t>
  </si>
  <si>
    <t>2026-10-14复核｜本地dev/Mock｜/demo/list
[1]【不通过】操作内层居中，按钮gap8px；规范左对齐、16px。
[2]【通过】1024宽横滚至157px，操作列sticky/right0。
[3]【通过】1280/1024无根级横向溢出；仅表格内部横滚。
证据：V02、V09、V10、V12。截图、DOM及量测见配套复核证据.html。</t>
  </si>
  <si>
    <t>[1]【不通过】实际内层居中、gap8px，要求左对齐/16px。
证据：T01-list-baseline、T13-container-metrics
[2]【受阻】本次未完成该分支判定；历史结果另保留。
缺条件：本轮横滚尝试scrollLeft仍为0，不能当作横滚完成
证据：T16-tablet-horizontal
[3]【通过】1280/1024无根级横向溢出；固定行操作在视口内。
证据：T14-list-1280、T15-list-1024、T16-tablet-horizontal</t>
  </si>
  <si>
    <t>/pcs-front/通用模板/视觉规范/正文颜色</t>
  </si>
  <si>
    <t>[1]本地通用模板 http://127.0.0.1:5173/home 可访问；浏览器缩放100%。
[2]列表含普通目的地、重量、日期文本，以及链接和状态标签。</t>
  </si>
  <si>
    <t>[1]读取目的地、重量和日期实际显示文本的计算颜色。
[2]查看标题、业务链接和状态Tag。
[3]选中或悬停一行后再次查看可读性。</t>
  </si>
  <si>
    <t>[1]普通正文使用color-text-body，即#4B5564。
[2]标题、链接及语义Tag使用各自规定颜色，不被普通正文色统一覆盖。
[3]背景变化后文字仍清楚；没有因整行覆盖色导致状态或链接含义丢失。</t>
  </si>
  <si>
    <t>【设计依据】视觉规范/正文颜色
【测试类型】UI
【追溯信息】用例编号：UI-TPL-004；原检查：T04；原设计修改项：F03
【知识库依据】3.1 hezLMm；5.8 IOfbnI
【准入状态】已确认差异，待修改复测。
【执行说明】2026-10-13实测见右侧；受阻项逐步保留原因。
【审查方式】浏览器实际操作、截图及只读DOM量测；Mock源码仅用于确认样例限制。
【全面复核】维持不通过。
【本次清单】M04</t>
  </si>
  <si>
    <t>2026-10-14实测复核｜本地dev/Mock｜/demo/list
[1]【不通过】目的地/重量/日期正文#1A2130，规范#4B5564。
[2]【不通过】链接#165DFF，现行3.1规定#046EFC；Tag各色未完整核对。
[3]【通过】选中/hover仍保留链接与标签含义（首轮V06/V77）。
证据：V02、V06、V77、A01、A03、A30；见配套复核证据.html。</t>
  </si>
  <si>
    <t>[1]【不通过】目的地/重量/日期普通文本#1A2130，要求#4B5564。
证据：T01-list-baseline
[2]【不通过】运单链接#165DFF，规范Brand Blue为#046EFC；Tag未全色核对。
证据：T01-list-baseline
[3]【受阻】本次未完成该分支判定；历史结果另保留。
缺条件：本轮未分别复测hover/选中下全部语义色；仅选中背景量测
证据：T06-selected</t>
  </si>
  <si>
    <t>/pcs-front/通用模板/视觉规范/表格行列</t>
  </si>
  <si>
    <t>[1]本地通用模板 http://127.0.0.1:5173/home 可访问；浏览器缩放100%。
[2]列表有至少2行记录，包含重量/运费及状态。</t>
  </si>
  <si>
    <t>[1]量测首两行数据行，读取表头背景、字重和行底线。
[2]读取重量和运费实际文本容器的对齐方式、字号和字重。
[3]查看名称、日期、状态和操作列，再悬停未选中行。</t>
  </si>
  <si>
    <t>[1]数据行高48px；表头背景#F7F7F7、字重500；数据行仅底部1px solid #EBEBEB分割线。
[2]数字右对齐，普通正文14px/400；以实际文本容器为准，不能仅凭外层td样式判断。
[3]名称、日期、状态、操作左对齐；未选中行hover背景#EBF3FD；文字、标签及按钮不重叠。</t>
  </si>
  <si>
    <t>【设计依据】视觉规范/表格行列
【测试类型】UI
【追溯信息】用例编号：UI-TPL-005；原检查：T05；原设计修改项：无
【知识库依据】5.8 IOfbnI、tkqkxw、hiuQkw；3.2 s4NgFa
【准入状态】已确认差异，待修改复测。
【执行说明】2026-10-13实测见右侧；受阻项逐步保留原因。
【审查方式】浏览器实际操作、截图及只读DOM量测；Mock源码仅用于确认样例限制。
【全面复核】原通过漏计操作列居中，按003同一证据修正为不通过。
【本次清单】M03</t>
  </si>
  <si>
    <t>2026-10-14复核｜本地dev/Mock｜/demo/list
[1]【通过】前两行48px，表头#F7F7F7/500，数据行底线1px #EBEBEB。
[2]【通过】重量/运费内层右对齐，14px/400。
[3]【不通过】操作仍居中；其他文字列左对齐，hover底色#EBF3FD。
证据：V02、V77。截图、DOM及量测见配套复核证据.html。</t>
  </si>
  <si>
    <t>[1]【受阻】本次未完成该分支判定；历史结果另保留。
缺条件：行底线未独立量测；已确认行高48/表头#F7F7F7/500
证据：T01-list-baseline
[2]【通过】重量/运费实际内层右对齐，14px/400。
证据：T01-list-baseline
[3]【不通过】操作列实际居中；名称等左对齐。hover背景本轮未量测。
证据：T01-list-baseline</t>
  </si>
  <si>
    <t>/pcs-front/通用模板/场景法/空结果</t>
  </si>
  <si>
    <t>[1]本地通用模板 http://127.0.0.1:5173/home 可访问；浏览器缩放100%。
[2]列表正常有数据；准备不存在的运单号“UI-NO-MATCH-20261013”。</t>
  </si>
  <si>
    <t>[1]在运单号输入框填写上述值，点击查询。
[2]查看无结果区域和筛选区。
[3]查找清空/重置入口。</t>
  </si>
  <si>
    <t>[1]查询有反馈，结果为0条，不继续展示旧查询结果。
[2]显示未找到相关结果及调整筛选说明；筛选输入保留。
[3]恢复入口清楚可达，用户能知道如何离开无结果状态。</t>
  </si>
  <si>
    <t>【设计依据】场景法/空结果
【测试类型】interaction
【追溯信息】用例编号：UI-TPL-006；原检查：T06；原设计修改项：无
【知识库依据】7.2 2xUUpH
【准入状态】本条修订后的步骤已覆盖。
【执行说明】2026-10-13实测见右侧；受阻项逐步保留原因。
【审查方式】浏览器实际操作、截图及只读DOM量测；Mock源码仅用于确认样例限制。
【全面复核】维持通过；文案换行/合理补充不按逐字错误处理。</t>
  </si>
  <si>
    <t>2026-10-14复核｜本地dev/Mock｜/demo/list
[1]【通过】查询UI-NO-MATCH-20261014，完成态0条、旧数据退出。
[2]【通过】“未找到相关结果 / 请调整筛选条件后重试”，输入保留。
[3]【通过】重置仍可达并能恢复列表。
证据：V03、V04、A07、A08；见配套复核证据.html。</t>
  </si>
  <si>
    <t>[1]【通过】不存在的NO_UI_20261014查询后0条，旧结果退出。
证据：T03-query-empty
[2]【通过】未找到相关结果/请调整筛选条件后重试，输入保留。
证据：T03-query-empty
[3]【通过】重置可达，能退出空结果。
证据：T04-reset-restored</t>
  </si>
  <si>
    <t>/pcs-front/通用模板/状态转换/筛选重置</t>
  </si>
  <si>
    <t>[1]本地通用模板 http://127.0.0.1:5173/home 可访问；浏览器缩放100%。
[2]先按UI-TPL-006进入无结果状态；记录模板初始筛选值。</t>
  </si>
  <si>
    <t>[1]点击重置按钮，查看筛选控件。
[2]查看列表刷新结束后的内容与总数。
[3]再次填写有效条件查询。</t>
  </si>
  <si>
    <t>[1]筛选恢复模板定义的初始值，不残留无结果测试词。
[2]退出无结果态并恢复当前Mock列表，页码与数据相互对应。
[3]筛选控件仍可操作，上一空态不覆盖新结果。</t>
  </si>
  <si>
    <t>【设计依据】状态转换/筛选重置
【测试类型】interaction
【追溯信息】用例编号：UI-TPL-007；原检查：T07；原设计修改项：无
【知识库依据】7.2 2xUUpH；2.1一致可预期
【准入状态】本条修订后的步骤已覆盖。
【执行说明】2026-10-13实测见右侧；受阻项逐步保留原因。
【审查方式】浏览器实际操作、截图及只读DOM量测；Mock源码仅用于确认样例限制。
【全面复核】维持通过；未宣称筛选持久化或数据业务正确性。</t>
  </si>
  <si>
    <t>2026-10-14复核｜本地dev/Mock｜/demo/list
[1]【通过】重置清空运单号，状态/渠道为全部，日期空。
[2]【通过】恢复86条及5页。
[3]【通过】再次查询BY10000001得到1条，旧空态不残留。
证据：V04、V05、A08、A09；见配套复核证据.html。</t>
  </si>
  <si>
    <t>[1]【通过】重置清空测试词、状态/渠道恢复默认、日期为空。
证据：T04-reset-restored
[2]【通过】恢复86条、页码和内容对应。
证据：T04-reset-restored
[3]【通过】再次查询BY10000001得到1条，旧空态退出。
证据：T05-valid-filter</t>
  </si>
  <si>
    <t>/pcs-front/通用模板/状态转换/批量栏</t>
  </si>
  <si>
    <t>[1]本地通用模板 http://127.0.0.1:5173/home 可访问；浏览器缩放100%。
[2]列表有至少一条记录且初始未选中。</t>
  </si>
  <si>
    <t>[1]勾选首行，观察表格顶部。
[2]查看批量操作与默认刷新/导出区域。
[3]点击取消选择。</t>
  </si>
  <si>
    <t>[1]显示已选择1项及批量操作栏，位置属于当前表格。
[2]批量模式和默认模式区分清楚，不出现两套工具栏重叠。
[3]勾选清空，批量栏消失，恢复默认工具栏。</t>
  </si>
  <si>
    <t>【设计依据】状态转换/批量栏
【测试类型】interaction
【追溯信息】用例编号：UI-TPL-008；原检查：T08；原设计修改项：无
【知识库依据】5.8 KJawbG
【准入状态】本条修订后的步骤已覆盖。
【执行说明】2026-10-13实测见右侧；受阻项逐步保留原因。
【审查方式】浏览器实际操作、截图及只读DOM量测；Mock源码仅用于确认样例限制。
【全面复核】维持通过。</t>
  </si>
  <si>
    <t>2026-10-14复核｜本地dev/Mock｜/demo/list
[1]【通过】勾BY10000001，显示已选择1项及批量栏。
[2]【通过】替换默认刷新区，无两套工具栏重叠。
[3]【通过】取消选择后勾选、批量栏清空，默认工具栏恢复。
证据：V06、V11、A10、A16；见配套复核证据.html。</t>
  </si>
  <si>
    <t>[1]【通过】首行选择后显示已选择1项。
证据：T06-selected
[2]【通过】批量栏替代默认操作栏，无重叠。
证据：T06-selected
[3]【通过】取消后选择清空、默认栏恢复。
证据：T08-selection-cleared</t>
  </si>
  <si>
    <t>/pcs-front/通用模板/视觉规范/选中行</t>
  </si>
  <si>
    <t>[1]本地通用模板 http://127.0.0.1:5173/home 可访问；浏览器缩放100%。
[2]列表有左右固定列；1440×900视口。</t>
  </si>
  <si>
    <t>[1]勾选首行并读取该行全部单元格背景。
[2]水平滚动表格，查看固定列边界。
[3]取消该行选择。</t>
  </si>
  <si>
    <t>[1]主体及左右固定单元格背景均为#D1E4FB。
[2]选中底色连续，未出现固定列白底断层或文字被盖住。
[3]所有列退出选中背景，未残留局部选中色。</t>
  </si>
  <si>
    <t>【设计依据】视觉规范/选中行
【测试类型】UI
【追溯信息】用例编号：UI-TPL-009；原检查：T09；原设计修改项：无
【知识库依据】5.8 hiuQkw、KJawbG；4.5.2 lfEtqB
【准入状态】本条修订后的步骤已覆盖。
【执行说明】2026-10-13实测见右侧；受阻项逐步保留原因。
【审查方式】浏览器实际操作、截图及只读DOM量测；Mock源码仅用于确认样例限制。
【全面复核】维持通过。</t>
  </si>
  <si>
    <t>2026-10-14复核｜本地dev/Mock｜/demo/list
[1]【通过】选中行9个单元格均#D1E4FB。
[2]【通过】1024宽横滚157px，左右固定列与主体底色连续。
[3]【通过】取消后9列恢复白底。
证据：V06、V10、V11、A10、A16；见配套复核证据.html。</t>
  </si>
  <si>
    <t>[1]【通过】全部主体/左右固定td均rgb(209,228,251)=#D1E4FB。
证据：T06-selected
[2]【受阻】本次未完成该分支判定；历史结果另保留。
缺条件：水平滚动未完成；不引用历史横滚作为本轮通过
证据：T16-tablet-horizontal
[3]【通过】取消后选择栏消失。
证据：T08-selection-cleared</t>
  </si>
  <si>
    <t>/pcs-front/通用模板/场景法/危险确认</t>
  </si>
  <si>
    <t>[1]本地通用模板 http://127.0.0.1:5173/home 可访问；浏览器缩放100%。
[2]列表选择1条；本用例只打开确认并取消，不执行删除。</t>
  </si>
  <si>
    <t>[1]点击批量删除，阅读确认内容。
[2]查看取消和确认删除按钮。
[3]点击取消，查看列表记录及状态。</t>
  </si>
  <si>
    <t>[1]正确说明将删除选中的1项，包含不可恢复风险及明确对象范围。
[2]取消在左，确认删除在右；危险动作名称清楚。
[3]确认关闭，原记录仍在；没有删除成功提示或提前移除行。</t>
  </si>
  <si>
    <t>【设计依据】场景法/危险确认
【测试类型】interaction
【追溯信息】用例编号：UI-TPL-010；原检查：T10；原设计修改项：无
【知识库依据】5.10 WJHXDG、t5GXhY；7.3 7j2jDv；8.3 GF7nRn
【准入状态】批量确认弹窗自身宽度等未量测，若扩展尺寸验收需补取证。
【执行说明】2026-10-13实测见右侧；受阻项逐步保留原因。
【审查方式】浏览器实际操作、截图及只读DOM量测；Mock源码仅用于确认样例限制。
【全面复核】维持本条交互通过；未量测的批量确认尺寸不借用组件页结果。</t>
  </si>
  <si>
    <t>2026-10-14复核｜本地dev/Mock｜/demo/list
[1]【通过】确认说明选中1项及“删除后不可恢复”。
[2]【通过】取消在左、确认删除在右。
[3]【通过】仅点击取消，BY10000001和86条仍在，无删除成功提示。
证据：V07、V08、A11、A12、A16；见配套复核证据.html。</t>
  </si>
  <si>
    <t>[1]【通过】明确删除1项及不可恢复说明。
证据：T07-delete-confirm
[2]【通过】取消在左、确认删除在右。
证据：T07-delete-confirm
[3]【通过】取消后原首行仍在，未执行删除。
证据：T08-selection-cleared</t>
  </si>
  <si>
    <t>/pcs-front/通用模板/场景法/详情抽屉</t>
  </si>
  <si>
    <t>[1]本地通用模板 http://127.0.0.1:5173/home 可访问；浏览器缩放100%。
[2]列表有可查看详情的运单；记录筛选和对象；按5.11记录默认480px或多内容宽抽屉640px的实际选型；准备可保持详情加载的样例。</t>
  </si>
  <si>
    <t>[1]点击详情，量测抽屉宽度、高度、标题、内边距和遮罩。
[2]查看对象和字段分组，滚动内容至末尾，查看标题与底部操作。
[3]从底部关闭、重新打开后从顶部关闭，再重新打开并点击遮罩。
[4]用受控样例延迟详情加载，尝试顶部关闭。</t>
  </si>
  <si>
    <t>[1]抽屉贴右并撑满视口；默认宽度480px，内容较多的宽抽屉640px；标题16px/500、内边距24px、遮罩rgba(0,0,0,0.45)。
[2]展示所选对象；内容区独立滚动，标题和有操作的底栏保持固定，底栏右对齐；字段不被底栏遮挡。
[3]关闭入口及遮罩点击均可关闭；回到原列表并保留原筛选，无残留遮罩或对象串用。
[4]加载只在内容区显示骨架或Spin；标题、关闭按钮仍可操作，关闭后不被迟到响应重新弹开。</t>
  </si>
  <si>
    <t>【设计依据】场景法/详情抽屉
【测试类型】interaction
【追溯信息】用例编号：UI-TPL-011；原检查：T11；原设计修改项：无
【知识库依据】5.11 7nFRad、IpxRU6；6.2 qif9bA
【准入状态】当前固定300ms Mock可进入加载并关闭，已完成本条本地验证。
【执行说明】2026-10-13实测见右侧；受阻项逐步保留原因。
【审查方式】浏览器实际操作、截图及只读DOM量测；Mock源码仅用于确认样例限制。
【全面复核】2026-10-14续测：末尾滚动/三种关闭/骨架及加载中关闭、迟到响应均已取证，改为通过。
【本次清单】B011</t>
  </si>
  <si>
    <t>2026-10-14受阻核实｜本地dev/Mock｜/demo/list
[1]【通过】宽抽屉640×900，标题16/500、遮罩0.45；实际内容.drawer-detail内边距24px，包装层为0。
[2]【通过】滚至末尾scrollTop158，标题/底栏固定，备注bottom786在底栏top835上方。
[3]【通过】底部、顶部、遮罩关闭均保留BY10000021筛选和1条记录。
[4]【通过】默认300ms Mock中内容骨架可见；加载中顶部关闭，迟到响应不重开。
范围：无。本条在当前固定300ms前端Mock范围完成；未扩展为真实后端验收。
本轮证据：B02、B03、B04、B05、B06、B07、B08、B09、B43、B44、B45、B46；见配套报告。</t>
  </si>
  <si>
    <t>[1]【受阻】本次未完成该分支判定；历史结果另保留。
缺条件：已量测宽高/标题/padding，但遮罩rgba本轮未复测
证据：T18-drawer-loaded
[2]【通过】所选对象信息正确；768视口内容scrollTop98，已到末尾，底栏固定831–900。
证据：T43-drawer-tablet
[3]【受阻】本次未完成该分支判定；历史结果另保留。
缺条件：仅底部关闭已完成；顶部/遮罩路径本轮未全部重跑
证据：T44-final-list
[4]【受阻】本次未完成该分支判定；历史结果另保留。
缺条件：加载时顶部关闭定位发生动画/节点替换，未完成点击与迟到响应验证
证据：T17-drawer-loading、T19-drawer-current</t>
  </si>
  <si>
    <t>/pcs-front/通用模板/等价类划分/必填错误</t>
  </si>
  <si>
    <t>[1]本地通用模板 http://127.0.0.1:5173/home 可访问；浏览器缩放100%。
[2]进入新建运单，保留模板合法默认值；目的地、日期、收件人、电话等可录入必填项未填，重量为默认0以触发错误。本条只检校验呈现及纠错，不检全部必填业务组合。</t>
  </si>
  <si>
    <t>[1]点击保存，查看表单反馈。
[2]逐个查看有错误的字段及相邻控件。
[3]修正其中一个必填字段，重新触发校验。</t>
  </si>
  <si>
    <t>[1]停留在表单，对未填必填项显示字段下方红色提示，不弹额外错误确认框。
[2]错误说明与字段对应，不遮挡标签、下一字段或底部操作。
[3]该字段旧错误清除；其他仍未填写的字段继续提示，不误清空已有输入。</t>
  </si>
  <si>
    <t>【设计依据】等价类划分/必填错误
【测试类型】interaction
【追溯信息】用例编号：UI-TPL-012；原检查：T12；原设计修改项：无
【知识库依据】5.7 UXf6DG；7.3 7j2jDv
【准入状态】业务类型为空组合未构造，留给功能字段校验；不宣称全部必填组合通过。
【执行说明】2026-10-13实测见右侧；受阻项逐步保留原因。
【审查方式】浏览器实际操作、截图及只读DOM量测；Mock源码仅用于确认样例限制。
【全面复核】前置改为保留合法默认值、清空可录入必填字段；已有3步UI证据通过。</t>
  </si>
  <si>
    <t>2026-10-14复核｜本地dev/Mock｜/demo/list/form
[1]【通过】保留默认快递及金额0；空保存提示目的地、日期、收件人、电话及重量错误。
[2]【通过】字段下就地红色提示，无额外错误确认框。
[3]【通过】修正目的地后旧错误清除，其余错误仍在，输入保留。
边界：未构造业务类型清空等全部业务组合。
证据：V21、V22、A17、A18；见配套复核证据.html。</t>
  </si>
  <si>
    <t>[1]【通过】空保存保持表单，字段下就地错误，无额外错误弹窗。
证据：T23-form-required
[2]【通过】错误与对应字段相邻，不盖住控件/底栏。
证据：T23-form-required、T27-form-tablet
[3]【通过】纠正目的地后其错误消失，其他必填错误保留。
证据：T24-field-corrected</t>
  </si>
  <si>
    <t>/pcs-front/通用模板/可用性补充/标签及错误关联</t>
  </si>
  <si>
    <t>[1]本地通用模板 http://127.0.0.1:5173/home 可访问；浏览器缩放100%。
[2]UI已确认键盘/读屏目标及关联方式；未确认前仅记录建议。
[3]打开新建表单并触发必填错误。</t>
  </si>
  <si>
    <t>[1]检查可见标签与输入框的for/id或ARIA关联。
[2]检查字段错误与控件的描述关联。
[3]修正字段后再次检查名称、描述及焦点。</t>
  </si>
  <si>
    <t>[1]控件有与可见标签一致的可访问名称，不依赖placeholder充当唯一标签。
[2]错误可通过对应描述被定位，且只关联当前字段。
[3]旧错误描述随修正清除，标签仍有效，焦点不跳到无关区域。</t>
  </si>
  <si>
    <t>【设计依据】可用性补充/标签及错误关联
【测试类型】exploratory
【追溯信息】用例编号：UI-TPL-013；原检查：T13；原设计修改项：F06
【知识库依据】5.7 UXf6DG；2.1信息优先（补充）
【准入状态】本期是否纳入键盘/读屏目标及具体验收标准。
【执行说明】2026-10-13实测见右侧；受阻项逐步保留原因。
【审查方式】浏览器实际操作、截图及只读DOM量测；Mock源码仅用于确认样例限制。
【全面复核】保留可用性建议，不将无ARIA归为这份规范的硬差异。
【本次清单】S02、B013</t>
  </si>
  <si>
    <t>2026-10-14受阻核实｜本地dev/Mock｜/demo/list/form
[1–2]【已观察】可见label无for，输入无id/aria-labelledby/aria-describedby；错误为role=alert。
[3]【已实测】修正目的地后其错误清除，其余错误保留；没有执行读屏器验收。
缺少条件：可引用的UI批准基线（可访问名称、错误关联方式）及指定浏览器/读屏器组合和验收路径。
本轮证据：B20、B23；见配套报告。</t>
  </si>
  <si>
    <t>[1]【受阻】本次未完成该分支判定；历史结果另保留。
缺条件：需批准可访问性验收方式/读屏基线；本轮仅DOM关联检查
证据：T25-form-association
[2]【受阻】本次未完成该分支判定；历史结果另保留。
缺条件：错误描述关联基线待确认
证据：T25-form-association
[3]【受阻】本次未完成该分支判定；历史结果另保留。
缺条件：未执行修正后读屏/焦点路径
证据：无本次动态证据</t>
  </si>
  <si>
    <t>/pcs-front/通用模板/可用性补充/首错定位</t>
  </si>
  <si>
    <t>[1]本地通用模板 http://127.0.0.1:5173/home 可访问；浏览器缩放100%。
[2]产品/UI已批准首错焦点或滚动策略；有足够长的表单使首错位于屏外。</t>
  </si>
  <si>
    <t>[1]滚动到底部，在首个必填字段为空时点击保存。
[2]修正首错，再次点击保存。
[3]确认焦点位置及屏幕中的提示和底部栏。</t>
  </si>
  <si>
    <t>[1]按已批准策略将首错带入可视范围或聚焦，用户无需猜测错误位置。
[2]继续定位下一处错误，已修正字段不重复抢占焦点。
[3]焦点及提示可见，不被固定栏遮挡，也不会突然跳离表单。</t>
  </si>
  <si>
    <t>【设计依据】可用性补充/首错定位
【测试类型】exploratory
【追溯信息】用例编号：UI-TPL-014；原检查：T14；原设计修改项：F06
【知识库依据】5.7 UXf6DG；2.1信息优先（补充）
【准入状态】首错策略及验收口径；已观察的遮挡建议修正，不等新设计规范数值。
【执行说明】2026-10-13实测见右侧；受阻项逐步保留原因。
【审查方式】浏览器实际操作、截图及只读DOM量测；Mock源码仅用于确认样例限制。
【全面复核】保留S01建议；可见错误提示规则和首错算法要求分开。
【本次清单】S01、B014</t>
  </si>
  <si>
    <t>2026-10-14受阻核实｜本地dev/Mock｜/demo/list/form
[1]【已实测】首错在屏外时从底部鼠标保存，焦点仍在保存，首错/提示被56px顶栏遮挡。B22坐标为滚动瞬态，不冒充稳定坐标。
[2]【已实测】修正目的地再保存，日期top372.38/bottom394.38可见，旧错误消失。
缺少条件：已批准的首错聚焦或滚动策略，明确固定顶栏安全区及修正后连续错误的验收规则。
本轮证据：B21、B22、B23、B24；见配套报告。</t>
  </si>
  <si>
    <t>[1]【受阻】本次未完成该分支判定；历史结果另保留。
缺条件：首错聚焦/滚动方案仍需确认；未复测长表单首错策略
证据：无本次动态证据
[2]【受阻】本次未完成该分支判定；历史结果另保留。
缺条件：次错定位未重跑
证据：无本次动态证据
[3]【受阻】本次未完成该分支判定；历史结果另保留。
缺条件：首错策略和键盘验收基线
证据：无本次动态证据</t>
  </si>
  <si>
    <t>/pcs-front/通用模板/边界值分析/备注长度</t>
  </si>
  <si>
    <t>[1]本地通用模板 http://127.0.0.1:5173/home 可访问；浏览器缩放100%。
[2]进入新建运单；该模板备注上限为200字，不作为业务字段上限。</t>
  </si>
  <si>
    <t>[1]向备注填入199个汉字，查看计数。
[2]增加1个汉字，查看计数。
[3]再增加1个汉字或粘贴201个汉字。</t>
  </si>
  <si>
    <t>[1]计数为199/200，输入区布局正常。
[2]计数为200/200，达到允许上限。
[3]模板按当前定义限制到200字，计数不超过200/200，未引起文本或操作区溢出。</t>
  </si>
  <si>
    <t>【设计依据】边界值分析/备注长度
【测试类型】boundary
【追溯信息】用例编号：UI-TPL-015；原检查：T15；原设计修改项：无
【知识库依据】5.7 UXf6DG；模板备注上限200
【准入状态】本条修订后的步骤已覆盖。
【执行说明】2026-10-13实测见右侧；受阻项逐步保留原因。
【审查方式】浏览器实际操作、截图及只读DOM量测；Mock源码仅用于确认样例限制。
【全面复核】维持通过，注明200并非所有业务备注的统一上限。</t>
  </si>
  <si>
    <t>2026-10-14复核｜本地dev/Mock｜/demo/list/form
[1]【通过】备注199字，计数199/200。
[2]【通过】加1字，计数200/200。
[3]【通过】再输入1字仍为200字/200，区域未溢出。
限制由组件执行；不声称设置了原生maxlength。
证据：V23、V24、V25、A19、A20；见配套复核证据.html。</t>
  </si>
  <si>
    <t>[1]【通过】199个汉字，计数199/200。
证据：T26-note-199
[2]【通过】200个汉字，计数200/200。
证据：T26-note-200
[3]【通过】实际尝试粘贴201字后保留200字，计数200/200；属于受控截断，非原生maxlength。
证据：T26-note-201</t>
  </si>
  <si>
    <t>/pcs-front/通用模板/可用性补充/取消及离开</t>
  </si>
  <si>
    <t>[1]本地通用模板 http://127.0.0.1:5173/home 可访问；浏览器缩放100%。
[2]产品已书面规定本表单重要输入需要离开二次确认；同时写明确认离开后是否保留草稿及重入内容。未批准二次确认时本候选用例不作失败判据。</t>
  </si>
  <si>
    <t>[1]新建运单填写目的地“UI未保存输入”和备注。
[2]点击取消，查看离开确认。
[3]选择继续编辑，再查看字段。
[4]再次点击取消并确认离开，然后重新打开新建。</t>
  </si>
  <si>
    <t>[1]输入显示在对应字段，表单处于已修改状态。
[2]按照已批准的二次确认方案展示“继续编辑”和“确认离开”等具体文案，表单尚未被清空或关闭。
[3]回到原表单，已填写目的地和备注保留，焦点及操作可用。
[4]确实退出表单；重入内容严格按前置填写的草稿规则判定，不以任意保留/清空结果通过，不串入其他对象。</t>
  </si>
  <si>
    <t>【设计依据】可用性补充/取消及离开
【测试类型】exploratory
【追溯信息】用例编号：UI-TPL-016；原检查：T16；原设计修改项：F05
【知识库依据】6.4表单模板；7.3 7j2jDv（补充）
【准入状态】本表单是否需要二次离开确认及草稿策略。
【执行说明】2026-10-13实测见右侧；受阻项逐步保留原因。
【审查方式】浏览器实际操作、截图及只读DOM量测；Mock源码仅用于确认样例限制。
【全面复核】保留受阻；不把重要附件删除确认套用于所有表单离开。
【本次清单】B016</t>
  </si>
  <si>
    <t>2026-10-14受阻核实｜本地dev/Mock｜/demo/list/form
[1]【已实测】目的地/备注输入回显。
[2–3]【观察】取消直接回列表，无二次确认或继续编辑分支。
[4]【已实测】重入新建目的地/备注为空、业务类型快递；不能据此判任意草稿策略通过。
缺少条件：本表单是否要求离开确认、继续/确认文案，以及离开后的草稿保留/重入规则的书面批准。
本轮证据：B23、B25、B26；见配套报告。</t>
  </si>
  <si>
    <t>[1]【通过】输入已改，可见目的地及备注。
证据：T28-form-cancel
[2]【受阻】本次未完成该分支判定；历史结果另保留。
缺条件：需批准离开确认及草稿策略；不以未弹框直接判缺陷
证据：T28-form-cancel
[3]【受阻】本次未完成该分支判定；历史结果另保留。
缺条件：继续编辑分支依赖批准方案
证据：无本次动态证据
[4]【受阻】本次未完成该分支判定；历史结果另保留。
缺条件：确认离开/重入草稿规则依赖批准方案
证据：无本次动态证据</t>
  </si>
  <si>
    <t>/pcs-front/通用模板/状态转换/分步表单</t>
  </si>
  <si>
    <t>[1]本地通用模板 http://127.0.0.1:5173/home 可访问；浏览器缩放100%。
[2]1024×768视口；打开新建运单并切换分步表单，第一步必填为空。</t>
  </si>
  <si>
    <t>[1]点击下一步，查看步骤指示器与字段。
[2]填写当前步有效值，再点击下一步。
[3]点击上一步返回。</t>
  </si>
  <si>
    <t>[1]仍停留第一步，对该步必填字段显示就地错误。
[2]进入下一步，步骤指示器与内容对应。
[3]返回第一步，已填写内容按模板定义回显，错误不无故残留。</t>
  </si>
  <si>
    <t>【设计依据】状态转换/分步表单
【测试类型】interaction
【追溯信息】用例编号：UI-TPL-017；原检查：T17；原设计修改项：无
【知识库依据】5.7 UXf6DG；6.4表单模板；5.17正文禁止将多步流程用Tabs
【准入状态】本条修订后的步骤已覆盖。
【执行说明】2026-10-13实测见右侧；受阻项逐步保留原因。
【审查方式】浏览器实际操作、截图及只读DOM量测；Mock源码仅用于确认样例限制。
【全面复核】维持此交互通过；Tablet列数差异由022/037处理。</t>
  </si>
  <si>
    <t>2026-10-14复核｜本地dev/Mock｜/demo/list/form
[1]【通过】1024×768，空第一步点击下一步，停在基本信息并就地提示。
[2]【通过】填写目的地、选今天2026-10-14，进入物流信息。
[3]【通过】上一步返回，目的地与2026-10-14回显，旧错误清除。
证据：V32、V33、V34、A22、A23、A24；见配套复核证据.html。</t>
  </si>
  <si>
    <t>[1]【通过】缺日期点击下一步停在基本信息并给就地错误。
证据：T29-step-validation
[2]【通过】填写有效日期后进入物流步，指示器与内容对应。
证据：T30-step-next
[3]【通过】上一步保留目的地/日期且错误清除。
证据：T31-step-return</t>
  </si>
  <si>
    <t>/pcs-front/通用模板/等价类划分/空文件选择</t>
  </si>
  <si>
    <t>[1]本地通用模板 http://127.0.0.1:5173/home 可访问；浏览器缩放100%。
[2]从列表打开导入弹窗，尚未选择文件。</t>
  </si>
  <si>
    <t>[1]查看支持格式、大小及数量说明。
[2]不选文件，点击保存。
[3]点击取消后重新打开导入。</t>
  </si>
  <si>
    <t>[1]上传限制在选择文件前可见，文件区域与确认动作关系清楚。
[2]提示请选择文件，导入弹窗保持，不展示导入成功。
[3]可正常关闭并再次打开，没有残留loading或上一次错误遮罩。</t>
  </si>
  <si>
    <t>【设计依据】等价类划分/空文件选择
【测试类型】interaction
【追溯信息】用例编号：UI-TPL-018；原检查：T18；原设计修改项：无
【知识库依据】5.6 PG7Wxg、AsS314；7.3 7j2jDv
【准入状态】文件数边界与具体业务限制不在本空文件用例的通过结论内。
【执行说明】2026-10-13实测见右侧；受阻项逐步保留原因。
【审查方式】浏览器实际操作、截图及只读DOM量测；Mock源码仅用于确认样例限制。
【全面复核】维持通过；规范未规定所有上传必须在此文案显示数量上限。</t>
  </si>
  <si>
    <t>2026-10-14复核｜本地dev/Mock｜/demo/list
[1]【通过】导入前可见XLSX/XLS/CSV及单文件10MB说明；数量上限文案未见，不推断无限。
[2]【通过】无文件保存，Toast“请选择文件”，弹窗保持。
[3]【通过】取消关闭后可重新打开，无残留loading。
边界：本条验证空文件路径，未验证数量上限。
证据：V35、V36、V37、A13、A14、A15；见配套复核证据.html。</t>
  </si>
  <si>
    <t>[1]【通过】选择前显示XLSX/XLS/CSV、10MB限制。
证据：T36-import-spec
[2]【通过】未选文件保存提示请选择文件，弹窗保留。
证据：T37-import-empty
[3]【通过】取消重开为干净状态，无残留loading。
证据：T38-import-reopen</t>
  </si>
  <si>
    <t>/pcs-front/通用模板/场景法/刷新定位</t>
  </si>
  <si>
    <t>[1]本地通用模板 http://127.0.0.1:5173/home 可访问；浏览器缩放100%。
[2]当前页面为 http://127.0.0.1:5173/demo/list；本用例只核对路由保持。</t>
  </si>
  <si>
    <t>[1]确认当前页标题和地址，再刷新浏览器。
[2]查看侧栏当前项、面包屑及页面标题。
[3]打开一条详情并关闭。</t>
  </si>
  <si>
    <t>[1]刷新完成后仍是/demo/list，未跳到首页或其他示例页。
[2]导航状态与当前列表一致，没有刷新后菜单失去选中或标题错位。
[3]刷新后交互仍可用，没有因路由恢复导致按钮失效。</t>
  </si>
  <si>
    <t>【设计依据】场景法/刷新定位
【测试类型】interaction
【追溯信息】用例编号：UI-TPL-019；原检查：T19；原设计修改项：无
【知识库依据】4.3内容承载与跳转决策；4.5.2导航规则；RV21专项
【准入状态】本地刷新路由及导航已有可复现差异，待修改。
【执行说明】2026-10-13实测见右侧；受阻项逐步保留原因。
【审查方式】浏览器实际操作、截图及只读DOM量测；Mock源码仅用于确认样例限制。
【全面复核】二次核对原前置没有持久会话要求；刷新进入登录、恢复后无菜单选中，改为不通过。
【本次清单】B019</t>
  </si>
  <si>
    <t>2026-10-14实测复核｜本地dev/Mock｜/demo/list
[1]【不通过】刷新/demo/list后进入/login?redirect=/demo/list，未保持原路由。
[2]【不通过】自动登录恢复标题和面包屑，但无demo/list菜单选中项。
[3]【通过】重登录后BY10000001详情页可打开并返回列表。
原前置没有持久会话要求，撤销上一版据此判受阻的理由；只判本地Mock行为。
证据：V69、V70、V71、A02、A03、A04、A05；见配套复核证据.html。</t>
  </si>
  <si>
    <t>[1]【不通过】实际reload后进入/login?redirect=/demo/list，未保持当前已登录列表。
证据：T35-refresh-login
[2]【受阻】本次未完成该分支判定；历史结果另保留。
缺条件：登录已丢失，刷新后的列表导航条件不满足
证据：T35-refresh-login
[3]【受阻】本次未完成该分支判定；历史结果另保留。
缺条件：刷新后需重新登录，未按原前置完成详情
证据：无本次动态证据</t>
  </si>
  <si>
    <t>/pcs-front/通用模板/场景法/入口可发现性</t>
  </si>
  <si>
    <t>[1]本地通用模板 http://127.0.0.1:5173/home 可访问；浏览器缩放100%。
[2]产品已确定模板顶栏搜索/通知的演示或接入方式；准备对应结果/空态样例。</t>
  </si>
  <si>
    <t>[1]在顶栏搜索输入测试词并按Enter。
[2]点击通知入口。
[3]关闭反馈并清空测试搜索。</t>
  </si>
  <si>
    <t>[1]按批准方案显示搜索反馈或明确演示说明，不能点击后无可见响应。
[2]展示通知内容、无通知说明或批准的占位反馈，用户能理解当前状态。
[3]可回到当前页面，顶栏和内容区无残留遮罩，不误跳转到无关对象。</t>
  </si>
  <si>
    <t>【设计依据】场景法/入口可发现性
【测试类型】interaction
【追溯信息】用例编号：UI-TPL-020；原检查：T20；原设计修改项：F04
【知识库依据】4.5.2 JwsjUF（元素举例）；2.1状态完整；RV11范围
【准入状态】本期搜索/通知演示或接入范围及可点击入口、结果/空态样例。
【执行说明】2026-10-13实测见右侧；受阻项逐步保留原因。
【审查方式】浏览器实际操作、截图及只读DOM量测；Mock源码仅用于确认样例限制。
【全面复核】通知显示规则不再标缺设计值；未把举例表解读为新增搜索/通知功能授权。
【本次清单】B020</t>
  </si>
  <si>
    <t>2026-10-14受阻核实｜本地dev/Mock｜/demo/list、/demo/components
[1–3]【入口核实】列表与组件页顶栏均只有菜单、系统名、demo用户，无搜索输入及通知入口；无相应反馈可关闭。
缺少条件：搜索/通知已接入的可运行构建；批准的演示或接入方案，及搜索结果、通知有/无数据样例。
本轮证据：B01、B30；见配套报告。</t>
  </si>
  <si>
    <t>[1]【受阻】本次未完成该分支判定；历史结果另保留。
缺条件：当前顶栏无搜索入口且批准占位方案未提供
证据：T44-final-list
[2]【受阻】本次未完成该分支判定；历史结果另保留。
缺条件：通知入口/批准占位方案缺失
证据：无本次动态证据
[3]【受阻】本次未完成该分支判定；历史结果另保留。
缺条件：前两入口未提供
证据：无本次动态证据</t>
  </si>
  <si>
    <t>/pcs-front/通用模板/可用性检查/浮动入口遮挡</t>
  </si>
  <si>
    <t>[1]本地通用模板 http://127.0.0.1:5173/home 可访问；浏览器缩放100%。
[2]在1280×800及1440×900视口打开长列表；助手入口处于收起状态。</t>
  </si>
  <si>
    <t>[1]在1280×800和1440×900视口收起助手面板，滚动至入口靠近行操作的位置。
[2]尝试点击入口附近的行操作及助手入口，检查实际点击目标。
[3]若展开了助手面板，使用标题栏关闭，再操作同一行。</t>
  </si>
  <si>
    <t>[1]规范11.2入口固定右下角，距右及底24px、头像48×48px；记录入口与行操作边界，区分规范尺寸和可用性风险。
[2]记录是否发生遮挡或误触；发生重叠时登记具体位置及点击结果，不仅凭按钮存在于DOM判可用。
[3]规范11.3面板可收起且不挤压列表；入口移动/隐藏方案需产品确认，不能要求模板执行未提供的避让动作。</t>
  </si>
  <si>
    <t>【设计依据】可用性检查/浮动入口遮挡
【测试类型】interaction
【追溯信息】用例编号：UI-TPL-021；原检查：T21；原设计修改项：F07
【知识库依据】11.2 ZPMHjA；11.3 hXl5Vj；2.2.3以功能需求落地
【准入状态】启用助手的同一前端样例及重叠点击位置。
【执行说明】2026-10-13实测见右侧；受阻项逐步保留原因。
【审查方式】浏览器实际操作、截图及只读DOM量测；Mock源码仅用于确认样例限制。
【全面复核】保留受阻，只有当前AI关闭导致无入口；不再等尺寸批准。
【本次清单】B021</t>
  </si>
  <si>
    <t>2026-10-14受阻核实｜本地dev/Mock｜/demo/list
[1]【入口核实】1440×900及1280×800无浮动助手；1280助手DOM计数0。
[2–3]【受阻】无法交叉点击行操作或展开/收起面板。配置只读核对：dev的aiEnabled/aiAssistantEnabled为false。
缺少条件：助手已启用的目标本地构建（对应两项配置为true）及可展开/收起面板样例，才能测实际遮挡位置和点击。
本轮证据：B01、B16、B48；见配套报告。</t>
  </si>
  <si>
    <t>[1]【受阻】本次未完成该分支判定；历史结果另保留。
缺条件：当前配置aiEnabled关闭；本期助手入口/方案未确认
证据：无本次动态证据
[2]【受阻】本次未完成该分支判定；历史结果另保留。
缺条件：无可操作助手
证据：无本次动态证据
[3]【受阻】本次未完成该分支判定；历史结果另保留。
缺条件：无可操作助手
证据：无本次动态证据</t>
  </si>
  <si>
    <t>/pcs-front/通用模板/响应式检查/Tablet表单</t>
  </si>
  <si>
    <t>[1]本地通用模板 http://127.0.0.1:5173/home 可访问；浏览器缩放100%。
[2]1024×768视口，打开新建运单表单。</t>
  </si>
  <si>
    <t>[1]查看表单列数、标签、输入框及间距。
[2]滚动至末尾并触发必填错误。
[3]查看取消/保存按钮并使用键盘定位。</t>
  </si>
  <si>
    <t>[1]1024属于Tablet，表单采用单列，标签在上、输入框铺满所在列；两侧padding16px，间距遵循5.7。
[2]错误文本可读，末尾字段未被固定操作栏遮挡。
[3]底栏及按钮可达，没有页面级横向溢出或屏外焦点。</t>
  </si>
  <si>
    <t>【设计依据】响应式检查/Tablet表单
【测试类型】UI
【追溯信息】用例编号：UI-TPL-022；原检查：T22；原设计修改项：无
【知识库依据】4.5.2 oppJwY；5.7 UXf6DG
【准入状态】Header Tablet48px等扩展量测尚未纳入现有证据。
【执行说明】2026-10-13实测见右侧；受阻项逐步保留原因。
【审查方式】浏览器实际操作、截图及只读DOM量测；Mock源码仅用于确认样例限制。
【全面复核】维持不通过M08。
【本次清单】M08</t>
  </si>
  <si>
    <t>2026-10-14复核｜本地dev/Mock｜/demo/list/form
[1]【不通过】1024×768仍双列，控件约297–306px；规范4.5.2要求Tablet单列。
[2]【通过】滚到末尾，备注及提示可读，备注bottom≈646.7，在固定栏上方。
[3]【通过】取消/保存36px高；Tab从取消到保存，保存y708–744，无根级横向溢出。
证据：V30、V31、S08、A25；见配套复核证据.html。</t>
  </si>
  <si>
    <t>[1]【不通过】1024属于Tablet；收件人与电话仍在同一行双列，要求单列。无页面横溢。
证据：T27-form-tablet
[2]【通过】末尾字段和必填错误可见，未被固定栏遮挡。
证据：T27-form-tablet
[3]【受阻】本次未完成该分支判定；历史结果另保留。
缺条件：本轮未完成底栏键盘定位；仅可见按钮量测
证据：T27-form-tablet</t>
  </si>
  <si>
    <t>/pcs-front/通用模板/响应式检查/Mobile列表</t>
  </si>
  <si>
    <t>[1]本地通用模板 http://127.0.0.1:5173/home 可访问；浏览器缩放100%。
[2]产品已确认本项目启用Mobile，并已提供卡片列表设计；否则标记本期不适用。</t>
  </si>
  <si>
    <t>[1]将视口调整为390×844，进入列表。
[2]查看长文字及主操作触达区域。
[3]浏览多条记录并打开详情后返回。</t>
  </si>
  <si>
    <t>[1]Mobile纳入本期时按4.5.2显示卡片列表，关键信息和操作可识别。
[2]长文可读，触达区域至少44px，遵循4.5.2，不以桌面宽表横滚替代已要求的卡片。
[3]浏览和返回路径可用，页面不横向溢出，当前对象仍可定位。</t>
  </si>
  <si>
    <t>【设计依据】响应式检查/Mobile列表
【测试类型】boundary
【追溯信息】用例编号：UI-TPL-023；原检查：T23；原设计修改项：F08
【知识库依据】4.5.1 cHhLBb；4.5.2 lfEtqB、7HCReU
【准入状态】项目Mobile范围；若纳入，卡片及长文样例。
【执行说明】2026-10-13实测见右侧；受阻项逐步保留原因。
【审查方式】浏览器实际操作、截图及只读DOM量测；Mock源码仅用于确认样例限制。
【全面复核】保留受阻；删除触达尺寸仍需批准的说法，保留是否纳入本期条件。
【本次清单】B023</t>
  </si>
  <si>
    <t>2026-10-14受阻核实｜本地dev/Mock｜/demo/list
[1–2]【已观察】390×844仍为1100px宽表；根宽375无根级溢出，详情按钮高28px。
[3]【已实测】BY10000001窄屏抽屉可开关并回原列表。未把未知Mobile范围写成已确认不适用。
缺少条件：产品明确Mobile是否纳入本期；纳入时需批准的卡片设计和长文样例，明确不纳入时才改本期不适用。
本轮证据：B17、B18、B19；见配套报告。</t>
  </si>
  <si>
    <t>[1]【受阻】本次未完成该分支判定；历史结果另保留。
缺条件：Mobile是否纳入W2没有批准结论
证据：无本次动态证据
[2]【受阻】本次未完成该分支判定；历史结果另保留。
缺条件：缺Mobile长文/触达样例及范围判据
证据：无本次动态证据
[3]【受阻】本次未完成该分支判定；历史结果另保留。
缺条件：范围未定，未运行390分支
证据：无本次动态证据</t>
  </si>
  <si>
    <t>/pcs-front/通用模板/异常页面/403展示</t>
  </si>
  <si>
    <t>[1]本地通用模板 http://127.0.0.1:5173/home 可访问；浏览器缩放100%。
[2]直接打开 http://127.0.0.1:5173/403；本用例仅检验展示页。</t>
  </si>
  <si>
    <t>[1]直接打开/403，查看标题、说明、图标、字号和按钮位置。
[2]点击“返回首页”。
[3]记录到达方式和最终地址。</t>
  </si>
  <si>
    <t>[1]标题“暂无访问权限”，说明“请联系管理员获取相应权限”；图标120px，标题18px/500/#1A2130，说明14px/400/#9DA3AE；操作居中，距说明24px。
[2]返回首页可用，退出403展示页；不提供误导性新增或重复请求入口。
[3]实际结果注明“直接访问展示路由”；此结果只证明展示和返回，整页403响应链路另见UI-TPL-039。</t>
  </si>
  <si>
    <t>【设计依据】异常页面/403展示
【测试类型】UI
【追溯信息】用例编号：UI-TPL-024；原检查：T24；原设计修改项：无
【知识库依据】7.3 2WRfcT、CIIazx
【准入状态】本条修订后的步骤已覆盖。
【执行说明】2026-10-13实测见右侧；受阻项逐步保留原因。
【审查方式】浏览器实际操作、截图及只读DOM量测；Mock源码仅用于确认样例限制。
【全面复核】维持展示通过；不替代039初始化403链路。</t>
  </si>
  <si>
    <t>2026-10-14复核｜本地dev/Mock｜/403
[1]【通过】直接展示“暂无访问权限 / 请联系管理员获取相应权限”；图标120px，标题18/500/#1A2130，说明14/400/#9DA3AE，按钮居中且间距24px。
[2]【通过】返回首页退出403，经Mock自动登录进入基础配置。
[3]【通过】本条仅直接展示路由及返回；未触发初始化403响应链路。
证据：V63、V64、V65。截图、DOM及量测见配套复核证据.html。</t>
  </si>
  <si>
    <t>[1]【受阻】本次未完成该分支判定；历史结果另保留。
缺条件：图标/文字值已符合；操作距说明24px本轮未读取，完整样式步骤受阻
证据：E01-403-display
[2]【受阻】本次未完成该分支判定；历史结果另保留。
缺条件：返回按钮已退出403至/login；已登录首页落点未验证，不能直接宣称到达首页
证据：E02-403-return
[3]【通过】到达方式为直接展示路由；初始化403链路未验。
证据：E01-403-display、E02-403-return</t>
  </si>
  <si>
    <t>/pcs-front/通用模板/异常页面/500展示</t>
  </si>
  <si>
    <t>[1]本地通用模板 http://127.0.0.1:5173/home 可访问；浏览器缩放100%。
[2]直接打开 http://127.0.0.1:5173/500；本用例未触发真实接口错误。</t>
  </si>
  <si>
    <t>[1]直接打开/500，查看异常说明及按钮。
[2]点击“刷新重试”，观察反馈。
[3]点击“返回首页”，记录触发方式和最终地址。</t>
  </si>
  <si>
    <t>[1]标题“服务器开小差了”，说明“系统出现异常，请稍后重试”；展示“刷新重试”“返回首页”，无堆栈、SQL或技术报错。
[2]确有刷新/重试反馈，按钮可操作；直接错误展示路由仍停在500时如实记录，不据此认定真实错误恢复。
[3]可返回首页；实际结果注明“直接访问展示路由”，未验证真实接口500处理链路。</t>
  </si>
  <si>
    <t>【设计依据】异常页面/500展示
【测试类型】UI
【追溯信息】用例编号：UI-TPL-025；原检查：T25；原设计修改项：无
【知识库依据】7.3 2WRfcT、CIIazx
【准入状态】本条修订后的步骤已覆盖。
【执行说明】2026-10-13实测见右侧；受阻项逐步保留原因。
【审查方式】浏览器实际操作、截图及只读DOM量测；Mock源码仅用于确认样例限制。
【全面复核】维持展示通过；未宣称真实500恢复。</t>
  </si>
  <si>
    <t>2026-10-14复核｜本地dev/Mock｜/500
[1]【通过】直接展示“服务器开小差了 / 系统出现异常，请稍后重试”，两动作可见，无堆栈/SQL文案。
[2]【通过】刷新重试重新显示/500；无真实接口恢复条件，不认定错误已恢复。
[3]【通过】返回首页，经Mock自动登录进入基础配置；仅展示路由验证。
证据：V66、V67、V68。截图、DOM及量测见配套复核证据.html。</t>
  </si>
  <si>
    <t>[1]【通过】直接/500：服务器开小差了及两操作，未见堆栈。
证据：E03-500-display
[2]【通过】刷新重试触发页面加载；地址仍/500。这只证明刷新动作。
证据：E04-500-retry
[3]【受阻】本次未完成该分支判定；历史结果另保留。
缺条件：返回按钮已退出500至/login；需在可保持登录的前置下验证首页落点
证据：E05-500-return</t>
  </si>
  <si>
    <t>/pcs-front/通用模板/规范适配/Tabs示例</t>
  </si>
  <si>
    <t>[1]本地通用模板 http://127.0.0.1:5173/home 可访问；浏览器缩放100%。
[2]提供页头及列表Tabs专项样例；准备长标签、7项以内正常样例、8项同级入口、数量999/1000和内容加载样例。</t>
  </si>
  <si>
    <t>[1]分别打开页头Tabs和列表Tabs，量测容器、文字、项间距及选中底条。
[2]点击不同Tab，再用Tab进入、左右键切换、Home/End到首末项。
[3]展示数量999和1000、长标签及8个同级入口，再收窄视口。
[4]在所选Tab加载内容时查看选中态和占位。</t>
  </si>
  <si>
    <t>[1]Desktop单行页头高48px、14px/500、项间距24px；列表高40px、14px/400、项间距16px；底条2px、无圆角、#046EFC。
[2]仅一项选中；内容及aria-selected同步切换，tablist/tab/tabpanel关系有效；无额外确认按钮和整页刷新。
[3]999仍显示999，1000显示999+；超过7项改Select或分区；适用Tabs空间不足换行、无组件内横滚，容器随行数扩展；Mobile触达高度至少44px。
[4]保留当前Tab与内容骨架，未先清空选中项；默认文字#4B5564，hover仅文字#046EFC，active为#046EFC/500，不改变透明底色。</t>
  </si>
  <si>
    <t>【设计依据】规范适配/Tabs示例
【测试类型】interaction
【追溯信息】用例编号：UI-TPL-026；原检查：T26；原设计修改项：F10
【知识库依据】5.17正文内嵌表格及Tabs示例R008
【准入状态】页头/列表Tabs、边界数据及内容加载样例。
【执行说明】2026-10-13实测见右侧；受阻项逐步保留原因。
【审查方式】浏览器实际操作、截图及只读DOM量测；Mock源码仅用于确认样例限制。
【引用复核】5.17为规范正文内嵌表格，非独立飞书工作表；已从原文核实。
【全面复核】保留受阻；缺运行示例而非缺规范。
【本次清单】B026</t>
  </si>
  <si>
    <t>2026-10-14受阻核实｜本地dev/Mock｜/demo/components
[1–4]【入口核实】组件目录17类，DOM无tablist；当前分类按钮及普通链接不能替代页头/列表Tabs专项。
缺少条件：可运行的页头/列表Tabs样例：长标签、7/8入口、999/1000计数、内容加载切换，以及键盘/ARIA状态。
本轮证据：B30；见配套报告。</t>
  </si>
  <si>
    <t>[1]【受阻】本次未完成该分支判定；历史结果另保留。
缺条件：组件目录无Tabs专项页；业务关联Tabs不含两种标准完整样例
证据：C01-components-entry
[2]【受阻】本次未完成该分支判定；历史结果另保留。
缺条件：未执行完整键盘/ARIA专项
证据：无本次动态证据
[3]【受阻】本次未完成该分支判定；历史结果另保留。
缺条件：999/1000/长标签/8项受控样例缺失
证据：无本次动态证据
[4]【受阻】本次未完成该分支判定；历史结果另保留。
缺条件：缺Tabs加载占位切换样例
证据：无本次动态证据</t>
  </si>
  <si>
    <t>/pcs-front/通用模板/规范适配/导航状态</t>
  </si>
  <si>
    <t>[1]本地通用模板 http://127.0.0.1:5173/home 可访问；浏览器缩放100%。
[2]提供至少两个一级分类和三级/混合层级菜单样例；RV02交互口径已确认。</t>
  </si>
  <si>
    <t>[1]手动依次展开两个一级分类。
[2]从一个分类点击另一个分类的子菜单。
[3]展开三级菜单并进入最深页面，再返回。</t>
  </si>
  <si>
    <t>[1]手动展开允许多个分类同时保持展开，不因手动操作强制收起其他分类。
[2]选中与当前页面对应；跨分类选择时按RV02处理其他分类的收起。
[3]三级入口可达，路径、高亮和面包屑一致；展开箭头本身不误触发页面导航。</t>
  </si>
  <si>
    <t>【设计依据】规范适配/导航状态
【测试类型】interaction
【追溯信息】用例编号：UI-TPL-027；原检查：T27；原设计修改项：F09
【知识库依据】4.5.2正文导航、hhnM72；RV02专项
【准入状态】至少2个一级分类的菜单fixture；不得据目录缺样例判核心库不支持。
【执行说明】2026-10-13实测见右侧；受阻项逐步保留原因。
【审查方式】浏览器实际操作、截图及只读DOM量测；Mock源码仅用于确认样例限制。
【全面复核】保留受阻，只缺多个一级与三级/混合层级运行样例。
【本次清单】B027</t>
  </si>
  <si>
    <t>2026-10-14受阻核实｜本地dev/Mock｜当前系统菜单
[1–3]【入口核实】展开后仅1个一级“系统配置”和“基础配置”子项，无第二分类或三级/混合层级。RV02规则已有，不再以设计口径未知解释受阻。
缺少条件：至少两个一级分类及三级/混合层级的运行菜单样例，使手动多展开、跨分类选择及高亮可逐步操作。
本轮证据：B01、B47；见配套报告。</t>
  </si>
  <si>
    <t>[1]【受阻】本次未完成该分支判定；历史结果另保留。
缺条件：当前侧栏缺两个手动分类及三级可达样例
证据：T44-final-list
[2]【受阻】本次未完成该分支判定；历史结果另保留。
缺条件：跨分类样例缺失
证据：无本次动态证据
[3]【受阻】本次未完成该分支判定；历史结果另保留。
缺条件：三级菜单样例缺失
证据：无本次动态证据</t>
  </si>
  <si>
    <t>/pcs-front/通用模板/状态转换/异常恢复</t>
  </si>
  <si>
    <t>[1]本地通用模板 http://127.0.0.1:5173/home 可访问；浏览器缩放100%。
[2]提供示例列表“查询”请求的受控slow、timeout、offline、500和恢复成功响应；记录切换入口/配置、请求位置和预置查询条件。</t>
  </si>
  <si>
    <t>[1]触发局部查询，保持slow响应后查看查询按钮及数据区域。
[2]返回timeout，再分别返回offline和500。
[3]查看列表数据区域，保持筛选条件并点击重试。
[4]恢复成功响应后再次重试。</t>
  </si>
  <si>
    <t>[1]查询按钮loading并禁止重复点击；数据区域显示Spin，筛选区和其他模块仍可操作，不替换整页。
[2]timeout提示“请求超时，请重试”；offline提示“网络异常，请检查网络后重试”；500提示“系统繁忙，请稍后重试”，无技术堆栈。
[3]列表区域显示“加载失败，点击重试”和重试按钮；不以0条/无数据代替加载失败，筛选内容保留。
[4]数据区域恢复列表；旧错误、Spin和遮罩清除，查询按钮解除loading，其他模块不被重置。</t>
  </si>
  <si>
    <t>【设计依据】状态转换/异常恢复
【测试类型】exception
【追溯信息】用例编号：UI-TPL-028；原检查：T28；原设计修改项：无
【知识库依据】7.1 OWeLZt；7.3 topMRc、bkjAb2
【准入状态】已确认查询按钮加载态差异，待修改；异常响应样例仍待补。
【执行说明】2026-10-13实测见右侧；受阻项逐步保留原因。
【审查方式】浏览器实际操作、截图及只读DOM量测；Mock源码仅用于确认样例限制。
【全面复核】2026-10-14实测：数据区Spin与查询按钮状态不一致，整体改为不通过；异常子步骤保留受阻。
【本次清单】B028</t>
  </si>
  <si>
    <t>2026-10-14实测复核｜本地dev/Mock｜/demo/list
[1]【部分实测/不通过】普通短查询时数据区Spin，查询无loading类且disabled=false；违反请求期间按钮loading规则。未执行受控slow或重复触发计数。
[2–4]【受阻】timeout/offline/500、失败态重试及失败→成功切换仍缺。
V78/A06为加载瞬态DOM；V79为Spin截图，其后DOM已结束，不能视为同一时刻。
证据：V78、V79、A06；见配套复核证据.html。</t>
  </si>
  <si>
    <t>[1]【不通过】本地查询时列表Spin出现，但查询按钮未loading、disabled=false。
证据：T02-query-loading
[2]【受阻】本次未完成该分支判定；历史结果另保留。
缺条件：没有从UI可切换的timeout/offline/500响应样例
证据：无本次动态证据
[3]【受阻】本次未完成该分支判定；历史结果另保留。
缺条件：加载失败/重试入口无法从当前列表真实触发
证据：无本次动态证据
[4]【受阻】本次未完成该分支判定；历史结果另保留。
缺条件：异常后恢复成功样例缺失
证据：无本次动态证据</t>
  </si>
  <si>
    <t>/pcs-front/通用模板/状态转换/跨页选择</t>
  </si>
  <si>
    <t>[1]本地通用模板 http://127.0.0.1:5173/home 可访问；浏览器缩放100%。
[2]有超过一页记录；PRD已明确全选范围、跨页与筛选后的选择策略。</t>
  </si>
  <si>
    <t>[1]勾选表头全选，再取消其中一行。
[2]切到下一页，再修改筛选条件。
[3]打开批量确认核对数量后取消，再清空选择。</t>
  </si>
  <si>
    <t>[1]表头从全选变半选，显示数量与实际勾选对象一致。
[2]保留/清空表现与批准策略一致；界面能说明当前选择范围。
[3]确认对象与界面显示一致；取消后可继续操作，清空后无残留已选态。</t>
  </si>
  <si>
    <t>【设计依据】状态转换/跨页选择
【测试类型】boundary
【追溯信息】用例编号：UI-TPL-029；原检查：T29；原设计修改项：无
【知识库依据】5.5 PgGeh9、6zh2eV；5.8 KJawbG
【准入状态】PRD说明本页/全部数据全选范围、跨页及改筛选策略。
【执行说明】2026-10-13实测见右侧；受阻项逐步保留原因。
【审查方式】浏览器实际操作、截图及只读DOM量测；Mock源码仅用于确认样例限制。
【全面复核】已执行全选/半选/确认数量保留通过；跨页策略仍受阻。
【本次清单】B029</t>
  </si>
  <si>
    <t>2026-10-14受阻核实｜本地dev/Mock｜/demo/list
[1]【已实测】全选后取消首行，19项/表头半选。
[2]【已实测】翻第二页清空；选1项改筛选也清空。
[3]【已实测】19项删除确认显示19，仅取消后继续翻页；未执行删除。
缺少条件：批准的全选范围（本页/全量）以及跨页、改筛选时保留或清空规则；多页数据及取消路径已可测。
本轮证据：B10、B11、B12、B13；见配套报告。</t>
  </si>
  <si>
    <t>[1]【通过】20条全选后取消首行，数量19且表头半选。
证据：T09-half-selected
[2]【受阻】本次未完成该分支判定；历史结果另保留。
缺条件：翻页实际清空选择，但保留/清空批准策略未提供；本轮未完成改筛选分支
证据：T11-page2-selection
[3]【通过】确认19项后取消，无删除，随后清空选择。
证据：T10-confirm-19、T11-page2-selection</t>
  </si>
  <si>
    <t>/pcs-front/通用模板/边界值分析/专项造数</t>
  </si>
  <si>
    <t>[1]本地通用模板 http://127.0.0.1:5173/home 可访问；浏览器缩放100%。
[2]提供null/空字符串、真实0、极大值及长名称/地址/备注样例，记录字段及原值。默认按9.2：金额4位小数与货币符号、重量3位与KG、数量整数千分位；业务专项不同规则需明确引用。另准备多页列表首末记录。</t>
  </si>
  <si>
    <t>[1]切换空值、0及长文本样例，查看列表与详情。
[2]展示极大数值和多页列表，滚动/翻页至首末记录。
[3]展开、收起长详情，再切换另一条记录。</t>
  </si>
  <si>
    <t>[1]模板空值统一“—”，0按数值显示；表格长文单行省略、hover Tooltip全文；详情普通字段最多3行、备注/描述最多2行，超出可展开。
[2]按9.2默认精度/单位（或明确引用的专项规则）显示，不改变精度来凑列宽；数字右对齐，无重叠，首末行及操作均可达。
[3]全文可读且操作可达；没有上条记录展开内容残留。本用例只验呈现；业务L±1输入合法性由原字段校验测试判定。</t>
  </si>
  <si>
    <t>【设计依据】边界值分析/专项造数
【测试类型】boundary
【追溯信息】用例编号：UI-TPL-030；原检查：T30；原设计修改项：无
【知识库依据】9.1 XHtuKi；9.2 dzigLS；9.4 AWFQWE
【准入状态】null/空串/0/长文本/极大数值；末页第86条未核验，不能称超大列表已通过。
【执行说明】2026-10-13实测见右侧；受阻项逐步保留原因。
【审查方式】浏览器实际操作、截图及只读DOM量测；Mock源码仅用于确认样例限制。
【全面复核】删除默认精度仍需批准的前置；只缺极值/长文/空值数据及未执行的末页核对。
【本次清单】B030</t>
  </si>
  <si>
    <t>2026-10-14受阻核实｜本地dev/Mock｜/demo/list
[2]【部分通过】重测第5页6条81–86，重量3位/金额4位，末记录操作可达。
[1、3]【受阻】固定Mock短字段，不含null/空串/真实0、极值及超行数详情；未执行长文全文交互。
缺少条件：带记录ID/原值的列表与详情样例：null、空串、真实0、极大数值、长名/地址、超2–3行详情及全文Tooltip/展开收起。
本轮证据：B15、B48；见配套报告。</t>
  </si>
  <si>
    <t>[1]【受阻】本次未完成该分支判定；历史结果另保留。
缺条件：空/0/长文受控组合样例缺失
证据：无本次动态证据
[2]【受阻】本次未完成该分支判定；历史结果另保留。
缺条件：末页81–86已验证；极大数值精度与单位样例缺失
证据：T12-last-page
[3]【受阻】本次未完成该分支判定；历史结果另保留。
缺条件：长详情展开及换对象样例缺失
证据：无本次动态证据</t>
  </si>
  <si>
    <t>/pcs-front/通用模板/规范走查/示例图对照</t>
  </si>
  <si>
    <t>[1]本地通用模板 http://127.0.0.1:5173/home 可访问；浏览器缩放100%。
[2]取得通用规范结构化条款、关联整体/组件示例及版本，选取列表、表单、详情同类样例；不用每页另交同名封板稿作为前置。</t>
  </si>
  <si>
    <t>[1]并排打开规范关联示例图和同类模板页面，统一视口及缩放。
[2]对照页头、卡片、表格、表单和浮层的层级、间距与布局。
[3]逐一对照默认、悬浮、激活、禁用、加载等实际使用状态。
[4]保存同状态截图，记录规范版本、页面和差异位置。</t>
  </si>
  <si>
    <t>[1]对比对象属于相同页面类型及状态，视口/缩放差异已排除。
[2]整体视觉层级和组件布局符合相应示例；差异以图中位置和具体条款记录。
[3]有对应状态图或文字标准；未提供或未触发的状态标待补，不判整体走查通过。
[4]每项判定能回溯到规范图/条款及现场截图，不能仅凭“看起来正常”通过。</t>
  </si>
  <si>
    <t>【设计依据】规范走查/示例图对照
【测试类型】UI
【追溯信息】用例编号：UI-TPL-031；新增补充用例
【知识库依据】使用指引qIcanC；3–7章及R001–R010
【准入状态】active/慢加载/异常状态尚缺同状态运行证据；不做整页内容像素差。
【执行说明】2026-10-13实测见右侧；受阻项逐步保留原因。
【审查方式】浏览器实际操作、截图及只读DOM量测；Mock源码仅用于确认样例限制。
【全面复核】移除同名业务整页稿的额外门槛，参考取得子步通过；整条仍不通过。
【本次清单】M01、M02、M03、M04、M05、M07、M08、B031</t>
  </si>
  <si>
    <t>2026-10-14复核｜本地dev/Mock｜/demo/list、/demo/list/form、/demo/components
[1]【复核】规范正文rev5256与10/13相同；R001–R010为历史规范图，本轮未重渲染全部10图。
[2]【不通过】当前仍有按钮2px圆角、页头97px、操作居中/gap8、正文#1A2130、标签/占位色差及Tablet双列表单。
[3]【受阻】active、慢加载、失败等完整状态链路仍缺。
[4]【通过】当前截图/DOM/量测与历史规范图分别标记，可追溯。
证据：V02、V30、V40、V41、V74、S08、S09、S10、A30；见配套复核证据.html。</t>
  </si>
  <si>
    <t>[1]【受阻】本次未完成该分支判定；历史结果另保留。
缺条件：本轮未并排渲染关联规范示例图与同态页面
证据：无本次动态证据
[2]【受阻】本次未完成该分支判定；历史结果另保留。
缺条件：当前数值差异另见001–005/022；不能替代整体图对照
证据：无本次动态证据
[3]【受阻】本次未完成该分支判定；历史结果另保留。
缺条件：hover/active/disabled/loading对应图未全加载
证据：无本次动态证据
[4]【通过】当前截图、DOM和现行规范表分别打包，已标注截图采样限制。
证据：T01-list-baseline、C02-button-metrics</t>
  </si>
  <si>
    <t>/pcs-front/通用模板/状态转换/按钮五态</t>
  </si>
  <si>
    <t>[1]本地通用模板 http://127.0.0.1:5173/home 可访问；浏览器缩放100%。
[2]提供Primary、Default、Text、Danger四类按钮的default/hover/active/disabled/loading样例；仅使用不落库的演示动作。</t>
  </si>
  <si>
    <t>[1]分别查看四类按钮默认态。
[2]依次悬停四类按钮，再按下并移开鼠标，不完成业务提交。
[3]切换disabled，尝试鼠标及键盘触发。
[4]切换loading，连续点击后恢复完成态。</t>
  </si>
  <si>
    <t>[1]四类默认按钮32px高、8px圆角；Primary背景#046EFC/文字白；Default背景白、边框#DDDDDD、文字#1A2130；Text透明背景/文字#046EFC；Danger背景#E24B4A/文字白。
[2]Primary hover/active为#035ED4/#0242A8；Default背景#F7F7F7/#DDDDDD、边框#9DA3AE；Text文字#035ED4/#0242A8；Danger背景#D43F3E/#BE3838；尺寸不跳变。
[3]四类opacity均0.4，不能触发动作；禁用原因是否需说明由业务批准稿补齐。
[4]加载中左侧Spin、原文字保留、不可点击、无重复触发；结束后loading解除、Spin消失，按钮恢复规定状态且原文字可辨。</t>
  </si>
  <si>
    <t>【设计依据】状态转换/按钮五态
【测试类型】interaction
【追溯信息】用例编号：UI-TPL-032；新增补充用例
【知识库依据】3.4 jYqjvY；5.1 Jhut4D、AzCyCe；7.1 OWeLZt
【准入状态】active=true稳定取证及loading到完成、重复触发计数样例。
【执行说明】2026-10-13实测见右侧；受阻项逐步保留原因。
【审查方式】浏览器实际操作、截图及只读DOM量测；Mock源码仅用于确认样例限制。
【全面复核】补默认尺寸/圆角预期，既有四类均2px，修正不通过M01；保留未触发状态缺口。
【本次清单】M01、R07、B032</t>
  </si>
  <si>
    <t>2026-10-14实测复核｜本地dev/Mock｜/demo/components
[1]【不通过】四类默认按钮32px/圆角2px（规范8px）；默认色符合。
[2]【历史/受阻】hover用10/13 E054；未取得持续active同态。
[3]【部分观察】禁用均opacity0.4、原生disabled；缺动作计数，不判“不能触发动作”已完整实测。
[4]【观察/受阻】loading保留Spin与文字，原生disabled=false；Text宽46→64正常。缺完成态与重复触发证据，不能从disabled=false推断可重复点击。
证据：V40、A26；见配套复核证据.html。</t>
  </si>
  <si>
    <t>[1]【不通过】四类按钮32px高、各颜色符合默认值；均2px圆角，要求8px。
证据：C02-button-metrics
[2]【受阻】本次未完成该分支判定；历史结果另保留。
缺条件：本轮未逐类完成悬停/按下移出检查
证据：无本次动态证据
[3]【受阻】本次未完成该分支判定；历史结果另保留。
缺条件：禁用展示值已核对；四类禁用鼠标/键盘路径未全执行
证据：C02-button-metrics
[4]【受阻】本次未完成该分支判定；历史结果另保留。
缺条件：静态加载样例无结束切换/请求计数；disabled=false本身不能证明可重复点击
证据：C02-button-metrics</t>
  </si>
  <si>
    <t>/pcs-front/通用模板/状态转换/输入控件状态</t>
  </si>
  <si>
    <t>[1]本地通用模板 http://127.0.0.1:5173/home 可访问；浏览器缩放100%。
[2]提供输入框default/hover/focus/filled/error/disabled六态；使用已确认校验规则和不落库样例。</t>
  </si>
  <si>
    <t>[1]查看空输入框，再悬停。
[2]点击聚焦，再填写有效内容并移出焦点。
[3]触发已确认错误样例，再修正输入。
[4]切换disabled，尝试鼠标及键盘输入。</t>
  </si>
  <si>
    <t>[1]默认1px #DDDDDD边框/白底、placeholder #C0C4CC；hover边框#9DA3AE，内容与标签不重叠。
[2]focus边框#046EFC，光晕0 0 0 3px rgba(4,110,252,0.15)；filled为#DDDDDD边框/白底、文字#1A2130。
[3]error边框#E24B4A，字段下同色错误提示；修正后旧错误消失，内容保留，标签/提示不覆盖相邻控件。
[4]边框#DDDDDD、背景#F7F7F7、文字#9DA3AE，不能输入；默认尺寸32px高、8px圆角、14px字号。</t>
  </si>
  <si>
    <t>【设计依据】状态转换/输入控件状态
【测试类型】interaction
【追溯信息】用例编号：UI-TPL-033；新增补充用例
【知识库依据】5.2 70qKQb、XDkulo；5.7 UXf6DG
【准入状态】已确认差异，待修改复测。
【执行说明】2026-10-13实测见右侧；受阻项逐步保留原因。
【审查方式】浏览器实际操作、截图及只读DOM量测；Mock源码仅用于确认样例限制。
【全面复核】维持不通过M05；已执行修正及键盘跳过不等同完整读屏验收。
【本次清单】M05</t>
  </si>
  <si>
    <t>2026-10-14实测复核｜本地dev/Mock｜/demo/components
[1]【不通过】灰边/白底；placeholder#86909C，规范#C0C4CC。hover未取同态，删除误引的按钮E054。
[2]【通过】focus蓝边/3px光晕，filled灰边且输入保留。
[3]【通过】空值失焦出现“请输入内容”，修正消失；无相邻控件覆盖。
[4]【部分验证】禁用原生disabled、灰边/浅底/次色，32px/8px/14px；Tab跳过，未执行鼠标点击后输入。
证据：V41、V42、V43、V44、V45、A27、A28、A29、A31、A32、A33；见配套复核证据.html。</t>
  </si>
  <si>
    <t>[1]【受阻】本次未完成该分支判定；历史结果另保留。
缺条件：默认/禁用展示尺寸已核对；hover和placeholder逐态值未完整执行
证据：C03-input-default
[2]【受阻】本次未完成该分支判定；历史结果另保留。
缺条件：填充后采样边框#B6C9E3，hover/focus未排除，不能据此归类filled缺陷
证据：C04-input-filled
[3]【受阻】本次未完成该分支判定；历史结果另保留。
缺条件：错误及修正行为已执行；错误边框/提示色未完整量测
证据：T23-form-required、T24-field-corrected
[4]【受阻】本次未完成该分支判定；历史结果另保留。
缺条件：禁用鼠标/键盘输入路径本轮未完成
证据：C03-input-default</t>
  </si>
  <si>
    <t>/pcs-front/通用模板/状态转换/三类空态</t>
  </si>
  <si>
    <t>[1]本地通用模板 http://127.0.0.1:5173/home 可访问；浏览器缩放100%。
[2]提供首次空列表、筛选0结果、无筛选且全部清空后0记录三类样例。无筛选0记录按7.2复用暂无数据及新增引导；记录分页恢复表现，不自加第三套固定文案。</t>
  </si>
  <si>
    <t>[1]打开未添加过记录的空列表样例。
[2]填写查询条件，切换0结果样例。
[3]切换完成清空后0记录样例，查看总数、分页和引导。</t>
  </si>
  <si>
    <t>[1]按7.2显示“暂无数据”并引导有权限的新增；未把首次空列表报成请求失败。
[2]显示“未找到相关结果，请调整筛选条件”，保留条件并给清空筛选入口；与首次空列表有明确区别。
[3]总数0，页码无越界或空末页困住；无筛选清空后复用“暂无数据”并给有权限的新增引导。7.2未规定第三套固定文案，不要求三类空态必须使用三种不同字符串。</t>
  </si>
  <si>
    <t>【设计依据】状态转换/三类空态
【测试类型】interaction
【追溯信息】用例编号：UI-TPL-034；新增补充用例
【知识库依据】7.2 2xUUpH；7.3 topMRc
【准入状态】首次0记录、无筛选清空后0记录样例；页码恢复细则未明，不造第三套固定字符串。
【执行说明】2026-10-13实测见右侧；受阻项逐步保留原因。
【审查方式】浏览器实际操作、截图及只读DOM量测；Mock源码仅用于确认样例限制。
【全面复核】删除等第三套空态文案审批的门槛；只缺首次空及清空成功场景。
【本次清单】B034</t>
  </si>
  <si>
    <t>2026-10-14受阻核实｜本地dev/Mock｜/demo/list
[2]【通过】新测试词查询0条，“未找到相关结果/请调整筛选条件后重试”，条件保留，重置恢复86条。
[1、3]【受阻】固定池86条，无首次无筛选0条及清空后无筛选0条切换；未删除原记录凑空态。
缺少条件：可切换首次空列表与清空成功后total=0的无筛选响应样例，及有新增权限的展示状态；不需要第三套固定文案。
本轮证据：B14、B15、B48；见配套报告。</t>
  </si>
  <si>
    <t>[1]【受阻】本次未完成该分支判定；历史结果另保留。
缺条件：未添加过记录的独立首次空列表样例缺失
证据：无本次动态证据
[2]【通过】搜索无结果保留条件，重置能恢复。
证据：T03-query-empty、T04-reset-restored
[3]【受阻】本次未完成该分支判定；历史结果另保留。
缺条件：未执行清空记录；清空后零记录样例未提供
证据：无本次动态证据</t>
  </si>
  <si>
    <t>/pcs-front/通用模板/异常恢复/权限呈现</t>
  </si>
  <si>
    <t>[1]本地通用模板 http://127.0.0.1:5173/home 可访问；浏览器缩放100%。
[2]提供新建表单提交请求返回403的受控前端样例；填写字段和校验已通过；记录请求及切换入口。</t>
  </si>
  <si>
    <t>[1]在有效表单点击保存，返回提交操作403。
[2]查看表单、已录字段及保存按钮。
[3]恢复允许操作的样例，修改一项输入后重试或取消。</t>
  </si>
  <si>
    <t>[1]以Toast提示“暂无操作权限”；不把操作失败直接替换为整页403，也不显示保存成功。
[2]表单保留，输入不清空；loading结束，按钮恢复可操作状态，没有遗留全页遮罩。
[3]重试有可见反馈，取消可退出；不沿用上一错误Toast作为当前结果。本用例不验证后端权限判定。</t>
  </si>
  <si>
    <t>【设计依据】异常恢复/权限呈现
【测试类型】exception
【追溯信息】用例编号：UI-TPL-035；新增补充用例
【知识库依据】7.3 topMRc、bkjAb2
【准入状态】有效输入提交403与恢复；静态/403不能替代。
【执行说明】2026-10-13实测见右侧；受阻项逐步保留原因。
【审查方式】浏览器实际操作、截图及只读DOM量测；Mock源码仅用于确认样例限制。
【全面复核】保留受阻，只缺操作403到允许响应样例。
【本次清单】B035</t>
  </si>
  <si>
    <t>2026-10-14受阻核实｜本地dev/Mock｜/demo/list/form
【前置补测】有效目的地、日期、收件人、电话、重量提交后校验错误0，保存loading，随后“保存成功”回列表。
[1–3]【受阻】这只是成功Mock；未触发提交403，不能推断失败Toast、保留输入、解除loading或恢复重试。
缺少条件：submitForm可控的403拒绝与恢复允许响应切换及其触发入口；有效输入已验证，不再列为缺口。
本轮证据：B27、B28、B29、B48；见配套报告。</t>
  </si>
  <si>
    <t>[1]【受阻】本次未完成该分支判定；历史结果另保留。
缺条件：有效表单提交403受控响应缺失；/403展示不替代
证据：无本次动态证据
[2]【受阻】本次未完成该分支判定；历史结果另保留。
缺条件：未触发提交403
证据：无本次动态证据
[3]【受阻】本次未完成该分支判定；历史结果另保留。
缺条件：403后恢复样例缺失
证据：无本次动态证据</t>
  </si>
  <si>
    <t>/pcs-front/通用模板/状态转换/弹窗提交中</t>
  </si>
  <si>
    <t>[1]本地通用模板 http://127.0.0.1:5173/home 可访问；浏览器缩放100%。
[2]在1440×900视口提供普通/长内容弹窗及提交中、提交失败样例；按5.10默认480px、大640px及内容类型选型，记录响应切换入口。</t>
  </si>
  <si>
    <t>[1]打开普通及长内容弹窗，读取尺寸、标题、内边距并滚动到末尾。
[2]填写有效输入，点击确认，保持提交中响应。
[3]提交中连续点击确认，并点击遮罩。
[4]返回提交失败，查看输入、按钮和取消。</t>
  </si>
  <si>
    <t>[1]宽度按普通480px/大640px及内容类型规范选用，圆角16px、内边距24px、标题16px/500；高度不超过720px（视口80%）；底栏固定右对齐，取消在左、确认在右，不遮挡末尾字段。
[2]确认按钮显示loading、保留原文字且禁止再次触发；弹窗位置及布局不跳变。
[3]确认不重复触发；遮罩不能点击关闭弹窗；不把加载态的遮罩规则套用于普通详情抽屉。
[4]Toast说明错误；输入保留，loading解除，用户可修正、重试或取消；不能清空表单或误显示成功。</t>
  </si>
  <si>
    <t>【设计依据】状态转换/弹窗提交中
【测试类型】exception
【追溯信息】用例编号：UI-TPL-036；新增补充用例
【知识库依据】5.10 WJHXDG、H95Rke、t5GXhY；7.3 topMRc
【准入状态】长内容可滚动及loading/失败/恢复响应入口。
【执行说明】2026-10-13实测见右侧；受阻项逐步保留原因。
【审查方式】浏览器实际操作、截图及只读DOM量测；Mock源码仅用于确认样例限制。
【全面复核】取消宽度审批门槛；短例尺寸已核，长内容/提交中/失败未覆盖。
【本次清单】B036</t>
  </si>
  <si>
    <t>2026-10-14受阻核实｜本地dev/Mock｜/demo/components
[1]【部分通过】普通480/大640、圆角16，短内容高189.42；取消左确认右，两例无输入字段。
[2–4]【受阻】普通确认立即关闭并Toast提交成功，无持续loading、失败或长内容样例；未验证提交中的遮罩/重复点击。
缺少条件：带长内容/输入的弹窗、可持续confirm-loading及失败→成功切换；能核对重复触发和失败后输入保留的样例。
本轮证据：B31、B32、B33、B48；见配套报告。</t>
  </si>
  <si>
    <t>[1]【受阻】本次未完成该分支判定；历史结果另保留。
缺条件：480/640及圆角/标题/padding已核对；长内容末尾/固定底栏分支未全执行
证据：C05-modal-default、C07-modal-large-stable
[2]【受阻】本次未完成该分支判定；历史结果另保留。
缺条件：组件静态确认样例无受控提交中响应
证据：无本次动态证据
[3]【受阻】本次未完成该分支判定；历史结果另保留。
缺条件：缺请求计数及加载时遮罩关闭样例
证据：无本次动态证据
[4]【受阻】本次未完成该分支判定；历史结果另保留。
缺条件：缺提交失败保留输入/恢复样例
证据：无本次动态证据</t>
  </si>
  <si>
    <t>/pcs-front/通用模板/边界值分析/767与768断点</t>
  </si>
  <si>
    <t>[1]本地通用模板 http://127.0.0.1:5173/home 可访问；浏览器缩放100%。
[2]Desktop/Tablet设计已确认；准备767、768、1279、1280宽度视口；单独登记Mobile是否纳入本期。</t>
  </si>
  <si>
    <t>[1]在1279和1280宽度打开相同列表、表单，查看侧栏、页头、固定列及操作。
[2]在768宽度查看长文本和底部操作，打开详情后返回。
[3]仅在Mobile已纳入本期时检查767宽度；否则记录该子步骤不适用。</t>
  </si>
  <si>
    <t>[1]1279属Tablet，1280属Desktop；布局按4.5.2切换（Tablet表单单列、Header48px/导航抽屉280px；Desktop Header56px及分段侧栏），主操作可达，固定列不重叠；不以Desktop细节硬套Tablet。
[2]768属Tablet；文字可读、底部操作可达、返回当前对象，无意外页面横向溢出。
[3]已纳入时767采用Mobile设计，列表卡片等要求按4.5检查；未纳入时写明不适用，仍独立判定前两步Desktop/Tablet结果。</t>
  </si>
  <si>
    <t>【设计依据】边界值分析/767与768断点
【测试类型】boundary
【追溯信息】用例编号：UI-TPL-037；新增补充用例
【知识库依据】4.5.1 cHhLBb；4.5.2 hhnM72、oppJwY、JwsjUF
【准入状态】扩展Header48量测未完成；Mobile子步骤范围待确认；长文见030。
【执行说明】2026-10-13实测见右侧；受阻项逐步保留原因。
【审查方式】浏览器实际操作、截图及只读DOM量测；Mock源码仅用于确认样例限制。
【全面复核】维持不通过M08；补预期中已有的断点、Header56/48、侧栏规格。
【本次清单】M08、B037</t>
  </si>
  <si>
    <t>2026-10-14复核｜本地dev/Mock｜/demo/list、/demo/list/form
[1]【不通过】1279为Tablet，Header48px；1280为Desktop，Header56px。Tablet表单仍双列，主操作可达。
[2]【不通过】768表单仍双列；无根级横向溢出，底栏可达。长文专项仍缺。
[3]【受阻】767仍宽表，Mobile本期范围未确认；不将该步骤受阻扩展到已有Tablet差异。
证据：V30、V31、V60、S08。截图、DOM及量测见配套复核证据.html。</t>
  </si>
  <si>
    <t>[1]【不通过】1279属Tablet时表单仍双列；1280及1024已有对应取证。
证据：T39-list-1279、T40-form-1279、T14-list-1280、T27-form-tablet
[2]【通过】768无根级横溢，列表操作及640px抽屉可达，关闭后回列表。
证据：T41-form-768、T42-list-768、T43-drawer-tablet、T44-final-list
[3]【受阻】本次未完成该分支判定；历史结果另保留。
缺条件：Mobile范围无批准结论，不能写不适用
证据：无本次动态证据</t>
  </si>
  <si>
    <t>/pcs-front/通用模板/状态转换/长任务反馈</t>
  </si>
  <si>
    <t>[1]本地通用模板 http://127.0.0.1:5173/home 可访问；浏览器缩放100%。
[2]提供上传中、用户取消、失败、重试成功的前端样例及响应切换入口；文件类型/大小符合已确认限制。</t>
  </si>
  <si>
    <t>[1]选择允许文件并开始上传，保持上传中样例。
[2]点击取消，再选择该文件重新开始上传。
[3]返回上传失败，再点击该文件的重试。</t>
  </si>
  <si>
    <t>[1]用Progress展示百分比进度及文件对象；上传中有取消入口，不以只有Spin代替进度。
[2]取消有可理解反馈并终止该文件上传状态；重新上传对象明确，不沿用已取消任务的成功结果。
[3]失败有明确原因及重试入口；重试有进度反馈，成功样例恢复为完成；未完成内容不标为成功。</t>
  </si>
  <si>
    <t>【设计依据】状态转换/长任务反馈
【测试类型】exception
【追溯信息】用例编号：UI-TPL-038；新增补充用例
【知识库依据】5.6 AsS314；7.1 OWeLZt
【准入状态】可切换同一文件失败到成功的handler/运行样例。
【执行说明】2026-10-13实测见右侧；受阻项逐步保留原因。
【审查方式】浏览器实际操作、截图及只读DOM量测；Mock源码仅用于确认样例限制。
【全面复核】保留受阻，失败提示及重试已执行；同文件恒拒绝不判规范未定义。
【本次清单】B038</t>
  </si>
  <si>
    <t>2026-10-14受阻核实｜本地dev/Mock｜/demo/components
[1–2]【通过】测试PDF进度可见，0%取消移除；同文件重传完成，仅1个同名对象。
[3]【部分实测】真实失败文件有原因/重试；重试20%后再次失败。预置异常凭证重试仅去掉错误，无File；含“失败”文件恒reject，不能替代成功恢复。
缺少条件：同一带File对象的失败→重试成功响应切换；不能改名/换新文件冒充同一失败任务恢复。
本轮证据：B34、B35、B36、B37、B38、B39、B40、B41、B42、B48；见配套报告。</t>
  </si>
  <si>
    <t>[1]【通过】真实合成PDF选择后可见百分比及取消入口，重试采样20%；预置60%仅作展示。
证据：C08-upload-file-selected、C10-upload-retry-progress
[2]【受阻】本次未完成该分支判定；历史结果另保留。
缺条件：取消已完成；取消后重新选择同文件分支未完成
证据：C11-upload-cancel
[3]【受阻】本次未完成该分支判定；历史结果另保留。
缺条件：重试进度可见，但该PDF始终网络异常，无重试成功样例
证据：C09-upload-auto-error、C10-upload-retry-progress</t>
  </si>
  <si>
    <t>/pcs-front/通用模板/异常反馈/页面初始化403</t>
  </si>
  <si>
    <t>[1]本地通用模板 http://127.0.0.1:5173/home 可访问；浏览器缩放100%。
[2]提供页面初始化请求返回403及恢复允许访问的受控样例；本用例与UI-TPL-035提交权限失败分开。</t>
  </si>
  <si>
    <t>[1]先正常打开页面，再对该页面初始化/重新加载返回403样例。
[2]查看标题、说明、图标及操作。
[3]点击返回首页，再恢复允许访问样例并重开原页面。
[4]记录实际触发请求、响应、入口和截图。</t>
  </si>
  <si>
    <t>[1]进入整页无权限状态；受限页面内容不继续呈现，不把403显示为0条数据或服务器500。
[2]标题“暂无访问权限”、说明“请联系管理员获取相应权限”；展示居中的返回首页入口，样式遵循7.3异常页。
[3]返回有效；恢复后显示新页面内容，不反复陷入403循环或残留旧受限页面。
[4]证据包含从页面加载触发403的过程；不以直接访问/403截图替代，也不据此判服务端权限机制通过。</t>
  </si>
  <si>
    <t>【设计依据】错误推测法/场景法
【测试类型】exception
【追溯信息】用例编号：UI-TPL-039；本次复查补充
【知识库依据】7.3 2WRfcT、CIIazx；与bkjAb2操作错误区分
【准入状态】从正常页面初始化请求触发403到恢复，不用展示路由替代。
【执行说明】2026-10-13实测见右侧；受阻项逐步保留原因。
【审查方式】浏览器实际操作、截图及只读DOM量测；Mock源码仅用于确认样例限制。
【全面复核】保留受阻，只缺初始化403真实前端触发及恢复样例。
【本次清单】B039</t>
  </si>
  <si>
    <t>2026-10-14受阻核实｜本地dev/Mock｜/demo/list
【基线核实】列表正常初始化仍为86条。源码getList直接调用固定300ms成功Mock，没有初始化403切换。
[1–4]【受阻】未进入由初始化响应触发的无权限页，也未执行403→允许恢复；直接/403展示不能替代。
缺少条件：页面初始化getList可控403与恢复允许的响应样例、触发入口及调用/响应过程证据。
本轮证据：B01、B15、B48；见配套报告。</t>
  </si>
  <si>
    <t>[1]【受阻】本次未完成该分支判定；历史结果另保留。
缺条件：正常页面初始化返回403的受控入口缺失
证据：无本次动态证据
[2]【受阻】本次未完成该分支判定；历史结果另保留。
缺条件：只有直接/403展示取证，非本条链路
证据：E01-403-display
[3]【受阻】本次未完成该分支判定；历史结果另保留。
缺条件：初始化403后恢复入口缺失
证据：无本次动态证据
[4]【受阻】本次未完成该分支判定；历史结果另保留。
缺条件：未取得实际初始化403触发请求与响应
证据：无本次动态证据</t>
  </si>
  <si>
    <t>/pcs-front/通用模板/附件预览/安全区与关闭</t>
  </si>
  <si>
    <t>[1]本地通用模板 http://127.0.0.1:5173/home 可访问；浏览器缩放100%。
[2]提供支持预览的图片样例（小图、超大横图、超大竖图）及长文件名；记录预览入口。</t>
  </si>
  <si>
    <t>[1]在1440×900打开小图及超大横图、竖图预览，量测安全区和关闭位置。
[2]切换1024×768后再次打开超大图片。
[3]关闭预览，重新打开另一张图片，再滚动原页面。</t>
  </si>
  <si>
    <t>[1]Desktop内容距四边至少48px，最大宽1344px/高804px，关闭按钮距边24px；图片等比缩小，不裁切、不拉伸。
[2]Tablet内容距四边至少32px，最大宽960px/高704px，关闭按钮距边20px；长文件名不盖住图片或关闭入口。
[3]可明确退出预览；无残留遮罩、旧图或滚动锁；文件列表和当前对象仍可识别。</t>
  </si>
  <si>
    <t>【设计依据】边界值分析/场景法
【测试类型】boundary
【追溯信息】用例编号：UI-TPL-040；本次复查补充
【知识库依据】5.6 Z8M50N；4.5.1 cHhLBb
【准入状态】本条修订后的步骤已覆盖。
【执行说明】2026-10-13实测见右侧；受阻项逐步保留原因。
【审查方式】浏览器实际操作、截图及只读DOM量测；Mock源码仅用于确认样例限制。
【全面复核】维持通过，尺寸可计算，无需额外批准稿。</t>
  </si>
  <si>
    <t>2026-10-14复核｜本地dev/Mock｜/demo/components
[1]【通过】1440×900：小图160×100不放大；横图1116.66×804、竖图556.61×804；安全区≥48px，关闭距边24px。
[2]【通过】1024×768：横图959.97×691.19、竖图487.38×704；安全区≥32px，关闭距边20px；等比缩小，长文件名不覆盖操作。
[3]【通过】关闭后预览移除、body滚动恢复；切图显示新对象。
证据：V56、V57、V58。截图、DOM及量测见配套复核证据.html。</t>
  </si>
  <si>
    <t>[1]【通过】Desktop小图160×100未放大；横图2500×1800→1116.66×804，竖图1800×2600→556.61×804，等比；四边≥48，关闭距24。判定用DOM量测，截图未同步呈现浮层。
证据：C12-preview-small、C13-preview-landscape、C14a-preview-portrait-stable
[2]【通过】1024×768横图959.97×691.19，四边≥32；关闭距20。
证据：C15-preview-tablet
[3]【通过】关闭后预览img/close为空、body overflow恢复空值，点击上传标题后原文件列表可定位；通过DOM判定，未以不同步截图代替。
证据：C16-preview-exit</t>
  </si>
  <si>
    <t>SN318 W2 UI与交互用例执行说明</t>
  </si>
  <si>
    <t>安排：今天（2026-10-13）输出前端页面UI规范审查和修改清单；W2（10/12—10/16）正式全面介入UI与交互。排期“UI/开”表示UI设计与开发并行，不能套用“开、测”默认周三提测规则。</t>
  </si>
  <si>
    <t>执行基线：116条=76条业务候选+40条通用模板；业务候选对应38项W2“UI/开”工作包。另24项“需”仅准备需求与判据，不计本周业务UI执行范围。全面介入按页面实际交付推进，不表示已全部执行或验收。</t>
  </si>
  <si>
    <t>本轮逐条核实原受阻16条：011改通过，其余15条保留受阻并写明已测步骤与具体缺少条件。通用40条汇总：通过13、不通过12、受阻15。新增J列人工二次复核，40行留空；业务76条保持原样。</t>
  </si>
  <si>
    <t>通用规范已明确的UI步骤先检查；专项判据、状态或样例缺失仅阻塞相关步骤，并记录原因、所需条件与已执行证据。缺入口时整条受阻。L=字段长度上限，B=文件字节上限，K=文件数上限，N=每页条数。</t>
  </si>
  <si>
    <t>只验证布局、可见状态、交互路径及恢复。算法、计价、引用规则、版本生成、数据落库和真实鉴权按原功能测试安排。</t>
  </si>
  <si>
    <t>本周按工作包优先级和实际交付顺序介入：先审查、列修改项，再随修改复测；补边界、异常及缺样例步骤。每批记录Build、URL、角色、样例和截图。旧文件中的逐日顺序为历史建议，不作为本周强制提测日期。</t>
  </si>
  <si>
    <t>业务表依据排期、通用规范及UI Review；本轮未读取各业务封板PRD/专项设计稿。排期“PRD”仅为来源标签。明确的通用规格可先查；业务字段、策略和状态判据缺口见每条备注，不将其作为整页通用UI审查的统一门槛。</t>
  </si>
  <si>
    <t>本地dev/Mock；本轮范围为原受阻16条，能执行的步骤已续测，未切换源码或把普通成功当403/失败恢复。011使用当前固定300ms Mock验证骨架及关闭。J列人工二次复核留空，由人工填结论、复核人、日期与意见；程序结果及缺少条件在I列。</t>
  </si>
  <si>
    <t>排期：https://example.invalid/source/7cdefbaffe</t>
  </si>
  <si>
    <t>设计规范：https://example.invalid/source/05cc32fecc</t>
  </si>
  <si>
    <t>UI Review：https://example.invalid/source/e04459bb0b</t>
  </si>
  <si>
    <t>二次读取规范V1.2正文仍rev5256，现行3.1嵌入色板确认链接文字#046EFC；指定UI Review视图仍显示24条（含空白）、修改时间10/12 17:23。Review具体文本及3.4/4.2/4.5.2使用首轮10/14截图；其他嵌入表及R001–R010仍为10/13参考。历史图与量测已另标日期打包，不宣称所有来源逐记录重读。</t>
  </si>
  <si>
    <t>源序号</t>
  </si>
  <si>
    <t>原表行</t>
  </si>
  <si>
    <t>业务区域</t>
  </si>
  <si>
    <t>工作包</t>
  </si>
  <si>
    <t>原始来源</t>
  </si>
  <si>
    <t>W2阶段</t>
  </si>
  <si>
    <t>新版用例编号</t>
  </si>
  <si>
    <t>准入状态</t>
  </si>
  <si>
    <t>服务单元</t>
  </si>
  <si>
    <t>服务单元列表与筛选</t>
  </si>
  <si>
    <t>PRD</t>
  </si>
  <si>
    <t>UI/开</t>
  </si>
  <si>
    <t>UI-W2-01-1、UI-W2-01-2</t>
  </si>
  <si>
    <t>实际交付后介入UI；专项缺口逐步记录</t>
  </si>
  <si>
    <t>服务单元批量操作</t>
  </si>
  <si>
    <t>UI-W2-02-1、UI-W2-02-2</t>
  </si>
  <si>
    <t>新增/编辑服务单元（弹窗）</t>
  </si>
  <si>
    <t>UI-W2-03-1、UI-W2-03-2</t>
  </si>
  <si>
    <t>服务单元详情（只读）</t>
  </si>
  <si>
    <t>UI-W2-04-1、UI-W2-04-2</t>
  </si>
  <si>
    <t>禁用编排/启用 与产品引用关系</t>
  </si>
  <si>
    <t>UI-W2-05-1、UI-W2-05-2</t>
  </si>
  <si>
    <t>AI 报价建档（三套方案 + 四步流程）</t>
  </si>
  <si>
    <t>原型</t>
  </si>
  <si>
    <t>需</t>
  </si>
  <si>
    <t>—</t>
  </si>
  <si>
    <t>需求阶段，本周不安排UI执行</t>
  </si>
  <si>
    <t>服务组合</t>
  </si>
  <si>
    <t>服务组合列表页</t>
  </si>
  <si>
    <t>UI-W2-07-1、UI-W2-07-2</t>
  </si>
  <si>
    <t>新增/编辑服务组合</t>
  </si>
  <si>
    <t>UI-W2-08-1、UI-W2-08-2</t>
  </si>
  <si>
    <t>详情与历史版本（只读）</t>
  </si>
  <si>
    <t>UI-W2-09-1、UI-W2-09-2</t>
  </si>
  <si>
    <t>删除引用校验与并发控制</t>
  </si>
  <si>
    <t>UI-W2-10-1、UI-W2-10-2</t>
  </si>
  <si>
    <t>策略配置</t>
  </si>
  <si>
    <t>策略列表/详情</t>
  </si>
  <si>
    <t>UI-W2-11-1、UI-W2-11-2</t>
  </si>
  <si>
    <t>成本价卡</t>
  </si>
  <si>
    <t>成本价卡列表页</t>
  </si>
  <si>
    <t>UI-W2-12-1、UI-W2-12-2</t>
  </si>
  <si>
    <t>新增/编辑成本价卡-价卡头</t>
  </si>
  <si>
    <t>UI-W2-13-1、UI-W2-13-2</t>
  </si>
  <si>
    <t>价卡计费明细字段配置</t>
  </si>
  <si>
    <t>UI-W2-14-1、UI-W2-14-2</t>
  </si>
  <si>
    <t>计费明细行操作与校验</t>
  </si>
  <si>
    <t>UI-W2-15-1、UI-W2-15-2</t>
  </si>
  <si>
    <t>计价范围选择器（起终点分区）</t>
  </si>
  <si>
    <t>UI-W2-16-1、UI-W2-16-2</t>
  </si>
  <si>
    <t>成本价卡批量生成（计费要素模板五步）</t>
  </si>
  <si>
    <t>原型（待确认）</t>
  </si>
  <si>
    <t>UI-W2-17-1、UI-W2-17-2</t>
  </si>
  <si>
    <t>计费要素模板维护</t>
  </si>
  <si>
    <t>UI-W2-18-1、UI-W2-18-2</t>
  </si>
  <si>
    <t>成本价卡导入（Excel / AI 文件导入四步）</t>
  </si>
  <si>
    <t>UI-W2-19-1、UI-W2-19-2</t>
  </si>
  <si>
    <t>成本价卡高级复制与覆盖</t>
  </si>
  <si>
    <t>原型（无入口）</t>
  </si>
  <si>
    <t>UI-W2-20-1、UI-W2-20-2</t>
  </si>
  <si>
    <t>成本价卡校验</t>
  </si>
  <si>
    <t>UI-W2-21-1、UI-W2-21-2</t>
  </si>
  <si>
    <t>地点与Zone（分区维护）</t>
  </si>
  <si>
    <t>地点与邮编页签</t>
  </si>
  <si>
    <t>UI-W2-22-1、UI-W2-22-2</t>
  </si>
  <si>
    <t>Zone 清单页签</t>
  </si>
  <si>
    <t>UI-W2-23-1、UI-W2-23-2</t>
  </si>
  <si>
    <t>导入地点与邮编（批量）</t>
  </si>
  <si>
    <t>UI-W2-24-1、UI-W2-24-2</t>
  </si>
  <si>
    <t>可复用邮编组</t>
  </si>
  <si>
    <t>UI-W2-25-1、UI-W2-25-2</t>
  </si>
  <si>
    <t>燃油费规则</t>
  </si>
  <si>
    <t>燃油费规则列表</t>
  </si>
  <si>
    <t>UI-W2-26-1、UI-W2-26-2</t>
  </si>
  <si>
    <t>新增/编辑燃油费规则</t>
  </si>
  <si>
    <t>UI-W2-27-1、UI-W2-27-2</t>
  </si>
  <si>
    <t>分区管理</t>
  </si>
  <si>
    <t>分区维护（Zone / 分区类型）</t>
  </si>
  <si>
    <t>UI-W2-28-1、UI-W2-28-2</t>
  </si>
  <si>
    <t>分区价格表与价卡引用</t>
  </si>
  <si>
    <t>UI-W2-29-1、UI-W2-29-2</t>
  </si>
  <si>
    <t>产品编排</t>
  </si>
  <si>
    <t>按服务范围选择履约能力</t>
  </si>
  <si>
    <t>履约流程画布（节点与排序）</t>
  </si>
  <si>
    <t>产品基础信息</t>
  </si>
  <si>
    <t>产品业务成本价卡</t>
  </si>
  <si>
    <t>下单限制聚合（只读）</t>
  </si>
  <si>
    <t>底部操作与产品状态机</t>
  </si>
  <si>
    <t>联动视图与下单限制联动保存</t>
  </si>
  <si>
    <t>服务范围覆盖校验提示</t>
  </si>
  <si>
    <t>计算模拟</t>
  </si>
  <si>
    <t>固定试算参数</t>
  </si>
  <si>
    <t>动态试算字段（按覆盖范围生成）</t>
  </si>
  <si>
    <t>跨范围共享-货物基本信息</t>
  </si>
  <si>
    <t>执行计算校验</t>
  </si>
  <si>
    <t>计算结果展示</t>
  </si>
  <si>
    <t>计费历史</t>
  </si>
  <si>
    <t>计费历史列表</t>
  </si>
  <si>
    <t>费用明细详情弹窗</t>
  </si>
  <si>
    <t>重新计费与差异对比</t>
  </si>
  <si>
    <t>计费快照保存</t>
  </si>
  <si>
    <t>产品管理参数配置</t>
  </si>
  <si>
    <t>费用项</t>
  </si>
  <si>
    <t>UI-W2-50-1、UI-W2-50-2</t>
  </si>
  <si>
    <t>UI-W2-51-1、UI-W2-51-2</t>
  </si>
  <si>
    <t>服务段</t>
  </si>
  <si>
    <t>UI-W2-52-1、UI-W2-52-2</t>
  </si>
  <si>
    <t>计费要素</t>
  </si>
  <si>
    <t>UI-W2-53-1、UI-W2-53-2</t>
  </si>
  <si>
    <t>计费方式</t>
  </si>
  <si>
    <t>UI-W2-54-1、UI-W2-54-2</t>
  </si>
  <si>
    <t>下单限制</t>
  </si>
  <si>
    <t>UI-W2-55-1、UI-W2-55-2</t>
  </si>
  <si>
    <t>业务字典</t>
  </si>
  <si>
    <t>UI-W2-56-1、UI-W2-56-2</t>
  </si>
  <si>
    <t>可接货型</t>
  </si>
  <si>
    <t>UI-W2-57-1、UI-W2-57-2</t>
  </si>
  <si>
    <t>财务配置</t>
  </si>
  <si>
    <t>UI-W2-58-1、UI-W2-58-2</t>
  </si>
  <si>
    <t>任务一</t>
  </si>
  <si>
    <t>页面布局与交互</t>
  </si>
  <si>
    <t>任务二</t>
  </si>
  <si>
    <t>修改价卡信息</t>
  </si>
  <si>
    <t>任务三</t>
  </si>
  <si>
    <t>查询类处理</t>
  </si>
  <si>
    <t>任务四</t>
  </si>
  <si>
    <t>修改服务单元信息</t>
  </si>
  <si>
    <t>任务五</t>
  </si>
  <si>
    <t>文件解析类处理</t>
  </si>
  <si>
    <t>操作日志</t>
  </si>
  <si>
    <t>UI-W2-65-1、UI-W2-65-2</t>
  </si>
  <si>
    <t>百运网系统对接</t>
  </si>
  <si>
    <t>同步触发节点 + 字段映射（渠道基本信息约 41 字段、渠道价格表、费用折扣、产品详情与查价 / 附加费限制）+ 供应商等基础数据获取</t>
  </si>
  <si>
    <t>PRD待完善</t>
  </si>
  <si>
    <t>Review引用索引（按record_id回溯）</t>
  </si>
  <si>
    <t>引用ID</t>
  </si>
  <si>
    <t>原优先级</t>
  </si>
  <si>
    <t>页面/模块</t>
  </si>
  <si>
    <t>record_id</t>
  </si>
  <si>
    <t>原始确认状态</t>
  </si>
  <si>
    <t>说明</t>
  </si>
  <si>
    <t>RV01</t>
  </si>
  <si>
    <t>基础配置</t>
  </si>
  <si>
    <t>review-67fb39add5</t>
  </si>
  <si>
    <t>设计完毕</t>
  </si>
  <si>
    <t>原始Review记录</t>
  </si>
  <si>
    <t>RV02</t>
  </si>
  <si>
    <t>左侧菜单</t>
  </si>
  <si>
    <t>review-4122ab1853</t>
  </si>
  <si>
    <t>RV03</t>
  </si>
  <si>
    <t>全局</t>
  </si>
  <si>
    <t>review-294de09d51</t>
  </si>
  <si>
    <t>修改中</t>
  </si>
  <si>
    <t>无Review建议，不作独立判据</t>
  </si>
  <si>
    <t>RV04</t>
  </si>
  <si>
    <t>review-5cb0b5dcb6</t>
  </si>
  <si>
    <t>RV05</t>
  </si>
  <si>
    <t>review-24220c26b9</t>
  </si>
  <si>
    <t>RV06</t>
  </si>
  <si>
    <t>review-de7057751b</t>
  </si>
  <si>
    <t>RV07</t>
  </si>
  <si>
    <t>review-331da30eb4</t>
  </si>
  <si>
    <t>未填</t>
  </si>
  <si>
    <t>RV08</t>
  </si>
  <si>
    <t>review-2a5a56bb27</t>
  </si>
  <si>
    <t>RV09</t>
  </si>
  <si>
    <t>review-c79c73690c</t>
  </si>
  <si>
    <t>RV10</t>
  </si>
  <si>
    <t>review-e3abcc238c</t>
  </si>
  <si>
    <t>RV11</t>
  </si>
  <si>
    <t>顶部导航</t>
  </si>
  <si>
    <t>review-a2a817eb2a</t>
  </si>
  <si>
    <t>RV12</t>
  </si>
  <si>
    <t>所有页头栏</t>
  </si>
  <si>
    <t>review-716a17fbb6</t>
  </si>
  <si>
    <t>RV13</t>
  </si>
  <si>
    <t>所有查询区</t>
  </si>
  <si>
    <t>review-96579d37d7</t>
  </si>
  <si>
    <t>RV14</t>
  </si>
  <si>
    <t>所有列表区</t>
  </si>
  <si>
    <t>review-92624f2e97</t>
  </si>
  <si>
    <t>RV15</t>
  </si>
  <si>
    <t>review-08ef6a1468</t>
  </si>
  <si>
    <t>RV16</t>
  </si>
  <si>
    <t>review-79dfb7278b</t>
  </si>
  <si>
    <t>RV17</t>
  </si>
  <si>
    <t>review-42f80e1fec</t>
  </si>
  <si>
    <t>RV18</t>
  </si>
  <si>
    <t>review-6436a27114</t>
  </si>
  <si>
    <t>RV19</t>
  </si>
  <si>
    <t>review-a7e8b941e2</t>
  </si>
  <si>
    <t>RV20</t>
  </si>
  <si>
    <t>Ai 建档解析</t>
  </si>
  <si>
    <t>review-f228825adf</t>
  </si>
  <si>
    <t>RV21</t>
  </si>
  <si>
    <t>review-70bd2614ce</t>
  </si>
  <si>
    <t>RV22</t>
  </si>
  <si>
    <t>review-f828afea0f</t>
  </si>
  <si>
    <t>RV23</t>
  </si>
  <si>
    <t>review-b8b8e36a2b</t>
  </si>
  <si>
    <t>RV24</t>
  </si>
  <si>
    <t>review-dfa7090250</t>
  </si>
  <si>
    <t>本次复查修订记录</t>
  </si>
  <si>
    <t>复核项</t>
  </si>
  <si>
    <t>序号</t>
  </si>
  <si>
    <t>相关用例</t>
  </si>
  <si>
    <t>修订内容</t>
  </si>
  <si>
    <t>判定依据</t>
  </si>
  <si>
    <t>变更类型</t>
  </si>
  <si>
    <t>依据版本</t>
  </si>
  <si>
    <t>执行边界</t>
  </si>
  <si>
    <t>权限反馈</t>
  </si>
  <si>
    <t>UI-TPL-035 / UI-TPL-039 / UI-W2-58-2</t>
  </si>
  <si>
    <t>拆开提交403与初始化403，分别按局部Toast与整页异常判定。</t>
  </si>
  <si>
    <t>规范7.3 topMRc、bkjAb2、2WRfcT</t>
  </si>
  <si>
    <t>分支拆分</t>
  </si>
  <si>
    <t>正文rev5256 / 表格rev3138</t>
  </si>
  <si>
    <t>设计复核；本轮页面未执行</t>
  </si>
  <si>
    <t>可判定规格</t>
  </si>
  <si>
    <t>UI-TPL-005 / 011 / 026 / 032 / 033</t>
  </si>
  <si>
    <t>补足表格、抽屉、Tabs、按钮、输入框实际数值和状态。</t>
  </si>
  <si>
    <t>规范3.2、5.1、5.2、5.8、5.11、5.17</t>
  </si>
  <si>
    <t>文本复核</t>
  </si>
  <si>
    <t>日期组件边界</t>
  </si>
  <si>
    <t>UI-W2-13-2 / UI-W2-27-2</t>
  </si>
  <si>
    <t>倒置日期按组件限制检查；同日合法性留给原功能用例。</t>
  </si>
  <si>
    <t>规范5.3；阶段共识20</t>
  </si>
  <si>
    <t>适用范围</t>
  </si>
  <si>
    <t>UI-TPL-021 / 034 / 037 / 038</t>
  </si>
  <si>
    <t>助手避让标建议；清空文案待补；桌面平板可独立执行；停止规则收敛到上传。</t>
  </si>
  <si>
    <t>规范4.5、5.6、7.2、11.2/11.3</t>
  </si>
  <si>
    <t>图片预览</t>
  </si>
  <si>
    <t>新增Desktop/Tablet安全区、等比缩放和关闭恢复。</t>
  </si>
  <si>
    <t>规范5.6 Z8M50N</t>
  </si>
  <si>
    <t>新增用例</t>
  </si>
  <si>
    <t>业务依据</t>
  </si>
  <si>
    <t>全部76条业务候选用例</t>
  </si>
  <si>
    <t>补封板基线/入口/角色/样例，明确排期PRD标签不等于已读取PRD。</t>
  </si>
  <si>
    <t>排期阶段共识2/3/17/20/24</t>
  </si>
  <si>
    <t>引用核实</t>
  </si>
  <si>
    <t>UI-TPL-026及5.17相关用例</t>
  </si>
  <si>
    <t>5.17正文实际存在，保留已验证条款；不依据工作表索引缺失删条款。</t>
  </si>
  <si>
    <t>规范正文rev5256</t>
  </si>
  <si>
    <t>全部用例</t>
  </si>
  <si>
    <t>执行状态保持未执行，首次观察与新步骤结论分开。</t>
  </si>
  <si>
    <t>本轮仅复核和修改用例</t>
  </si>
  <si>
    <t>模板原实测环境与全面规范复核（2026-10-13）</t>
  </si>
  <si>
    <t>原执行环境快照：dev HEAD b2efcdb15e949a07b7d5d74aa997c082106a6b0f；5173由node PID21172监听；/home HTTP200、Mock自动登录可进入。本轮规范复核未重新健康检查。</t>
  </si>
  <si>
    <t>范围：/home落入基础配置；40条通用用例使用/demo/list、/demo/list/form、/demo/components及静态/403、/500。未执行业务76条功能测试。</t>
  </si>
  <si>
    <t>数据与授权条件：Mock数据/认证、权限全部授予；AI助手关闭。刷新会重置内存身份，重新自动登录可恢复目标路由。</t>
  </si>
  <si>
    <t>129个步骤：通过64、不通过11、受阻54。整条：通过12条、不通过10条、受阻18条。005漏计操作列左对齐改不通过；032默认圆角2px改不通过；012明确修订UI校验呈现范围后通过。022/037维持不通过。</t>
  </si>
  <si>
    <t>证据：92张应用截图、10张规范参考截图，另有DOM量测JSON、环境记录、逐步日志与规范附件SHA索引。E078/E079是无效Mobile视口尝试，正确证据为E080/E081。</t>
  </si>
  <si>
    <t>修改清单：7项规范差异、3项可用性建议、1项口径修订、18条执行条件、3条失败用例的子步骤缺口。005/032复用M03/M01，没有新增不同缺陷；本轮未修改应用源码。</t>
  </si>
  <si>
    <t>静态/403和/500只证明展示与返回。初始化403、提交403、查询timeout/offline/500等没有可切换Mock响应，本次分别受阻。</t>
  </si>
  <si>
    <t>配套报告：SN318_通用模板40条_UI交互实测报告_20261013.html。截图及量测：evidence/template-execution-20261013。证据包解压后可打开报告查看相对路径图片。</t>
  </si>
  <si>
    <t>全面规范复核：正文5256/表格3138未变，已检查当前124张引用表。011/030/034/036等规格已有依据，不再等额外批准稿；012业务类型空组合未执行。032加载宽度可因Spin增加。来源快照及40条索引见norm-full-audit-*.json/txt。</t>
  </si>
  <si>
    <t>40条通用模板规范全面复核索引（条款、结论、证据及剩余缺口）</t>
  </si>
  <si>
    <t>本轮仅续测/核实原受阻16条，011从受阻改通过；其他15条保留受阻，缺少条件按运行入口、响应样例或批准策略分别写清。新增B编号证据；A为二次复核，V/S为10/14首轮，E/R为10/13历史。人工列未代填。</t>
  </si>
  <si>
    <t>用例编号</t>
  </si>
  <si>
    <t>原状态</t>
  </si>
  <si>
    <t>规范依据</t>
  </si>
  <si>
    <t>明确规则与复核结论</t>
  </si>
  <si>
    <t>规则性质</t>
  </si>
  <si>
    <t>本次状态</t>
  </si>
  <si>
    <t>后续缺口</t>
  </si>
  <si>
    <t>原证据</t>
  </si>
  <si>
    <t>H1 20/500；默认按钮32/圆角8；卡片12/内边距24。
维持不通过，按钮2px圆角由既有量测确认。</t>
  </si>
  <si>
    <t>规范明确</t>
  </si>
  <si>
    <t>本条步骤无新增执行缺口。</t>
  </si>
  <si>
    <t>E005
E006</t>
  </si>
  <si>
    <t>标准页头94px、面包屑18px，标题与操作对齐。
维持不通过；修正来源定位为4.2。</t>
  </si>
  <si>
    <t>E006</t>
  </si>
  <si>
    <t>操作左对齐、间距16px、溢出时锚点及操作固定。
维持不通过：居中/8px，固定列已通过。</t>
  </si>
  <si>
    <t>E006
E007
E008</t>
  </si>
  <si>
    <t>正文#4B5564；现行3.1链接文字#046EFC。
二次实测正文#1A2130、链接#165DFF：两个子项不通过；Tag未完整逐色核对。</t>
  </si>
  <si>
    <t>首轮：V02/V06/V77
二次：A01/A03/A30色板</t>
  </si>
  <si>
    <t>48px行高、数字右对齐；操作亦必须左对齐。
原通过漏计操作列居中，按003同一证据修正为不通过。</t>
  </si>
  <si>
    <t>E006
E007</t>
  </si>
  <si>
    <t>筛选无结果与首次空态区分，保留条件并引导清空筛选。
维持通过；文案换行/合理补充不按逐字错误处理。</t>
  </si>
  <si>
    <t>E009</t>
  </si>
  <si>
    <t>重置可退出无结果态，恢复初始控件及列表。
维持通过；未宣称筛选持久化或数据业务正确性。</t>
  </si>
  <si>
    <t>规范+模板交互</t>
  </si>
  <si>
    <t>E010
E011</t>
  </si>
  <si>
    <t>至少1项选中出现批量栏，清空后恢复。
维持通过。</t>
  </si>
  <si>
    <t>E012
E016</t>
  </si>
  <si>
    <t>选中色#D1E4FB贯穿固定列与主体。
维持通过。</t>
  </si>
  <si>
    <t>E012
E015
E016</t>
  </si>
  <si>
    <t>危险动作先确认；取消/确认顺序、语义及取消不执行。
维持本条交互通过；未量测的批量确认尺寸不借用组件页结果。</t>
  </si>
  <si>
    <t>批量确认弹窗自身宽度等未量测，若扩展尺寸验收需补取证。</t>
  </si>
  <si>
    <t>E013
E014</t>
  </si>
  <si>
    <t>[1]【通过】宽抽屉640×900，标题16/500、遮罩0.45；实际内容.drawer-detail内边距24px，包装层为0。
[2]【通过】滚至末尾scrollTop158，标题/底栏固定，备注bottom786在底栏top835上方。
[3]【通过】底部、顶部、遮罩关闭均保留BY10000021筛选和1条记录。
[4]【通过】默认300ms Mock中内容骨架可见；加载中顶部关闭，迟到响应不重开。</t>
  </si>
  <si>
    <t>规范明确+状态缺口</t>
  </si>
  <si>
    <t>无。本条在当前固定300ms前端Mock范围完成；未扩展为真实后端验收。</t>
  </si>
  <si>
    <t>本轮：B02、B03、B04、B05、B06、B07、B08、B09、B43、B44、B45、B46
前轮记录保留在配套报告</t>
  </si>
  <si>
    <t>已触发的必填错误应位于字段下，修正后清除并保留输入。
前置改为保留合法默认值、清空可录入必填字段；已有3步UI证据通过。</t>
  </si>
  <si>
    <t>业务类型为空组合未构造，留给功能字段校验；不宣称全部必填组合通过。</t>
  </si>
  <si>
    <t>E025
E026
E092</t>
  </si>
  <si>
    <t>[1–2]【已观察】可见label无for，输入无id/aria-labelledby/aria-describedby；错误为role=alert。
[3]【已实测】修正目的地后其错误清除，其余错误保留；没有执行读屏器验收。</t>
  </si>
  <si>
    <t>补充验收待确认</t>
  </si>
  <si>
    <t>可引用的UI批准基线（可访问名称、错误关联方式）及指定浏览器/读屏器组合和验收路径。</t>
  </si>
  <si>
    <t>本轮：B20、B23
前轮记录保留在配套报告</t>
  </si>
  <si>
    <t>[1]【已实测】首错在屏外时从底部鼠标保存，焦点仍在保存，首错/提示被56px顶栏遮挡。B22坐标为滚动瞬态，不冒充稳定坐标。
[2]【已实测】修正目的地再保存，日期top372.38/bottom394.38可见，旧错误消失。</t>
  </si>
  <si>
    <t>已批准的首错聚焦或滚动策略，明确固定顶栏安全区及修正后连续错误的验收规则。</t>
  </si>
  <si>
    <t>本轮：B21、B22、B23、B24
前轮记录保留在配套报告</t>
  </si>
  <si>
    <t>上限200来自模板字段定义，规范约束计数与状态可读性。
维持通过，注明200并非所有业务备注的统一上限。</t>
  </si>
  <si>
    <t>规范+模板参数</t>
  </si>
  <si>
    <t>E027
E028
E029</t>
  </si>
  <si>
    <t>[1]【已实测】目的地/备注输入回显。
[2–3]【观察】取消直接回列表，无二次确认或继续编辑分支。
[4]【已实测】重入新建目的地/备注为空、业务类型快递；不能据此判任意草稿策略通过。</t>
  </si>
  <si>
    <t>业务补充待确认</t>
  </si>
  <si>
    <t>本表单是否要求离开确认、继续/确认文案，以及离开后的草稿保留/重入规则的书面批准。</t>
  </si>
  <si>
    <t>本轮：B23、B25、B26
前轮记录保留在配套报告</t>
  </si>
  <si>
    <t>步骤指示及内容同步，校验失败保持当前步。
维持此交互通过；Tablet列数差异由022/037处理。</t>
  </si>
  <si>
    <t>E035
E036
E037</t>
  </si>
  <si>
    <t>选择前说明类型/大小，未选文件保存有反馈且保留弹窗。
维持通过；规范未规定所有上传必须在此文案显示数量上限。</t>
  </si>
  <si>
    <t>文件数边界与具体业务限制不在本空文件用例的通过结论内。</t>
  </si>
  <si>
    <t>E041
E042
E043</t>
  </si>
  <si>
    <t>原前置未要求持久会话。
刷新进入/login?redirect=/demo/list；恢复后demo菜单未选中，按原预期改不通过；详情页打开/返回已重测。</t>
  </si>
  <si>
    <t>环境前置缺失</t>
  </si>
  <si>
    <t>修复/明确本地刷新路由与菜单映射；不再增设持久会话作为本条前置。</t>
  </si>
  <si>
    <t>二次：A02/A03/A04/A05
首轮：V69/V70/V71</t>
  </si>
  <si>
    <t>[1–3]【入口核实】列表与组件页顶栏均只有菜单、系统名、demo用户，无搜索输入及通知入口；无相应反馈可关闭。</t>
  </si>
  <si>
    <t>功能适用范围待确认</t>
  </si>
  <si>
    <t>搜索/通知已接入的可运行构建；批准的演示或接入方案，及搜索结果、通知有/无数据样例。</t>
  </si>
  <si>
    <t>本轮：B01、B30
前轮记录保留在配套报告</t>
  </si>
  <si>
    <t>[1]【入口核实】1440×900及1280×800无浮动助手；1280助手DOM计数0。
[2–3]【受阻】无法交叉点击行操作或展开/收起面板。配置只读核对：dev的aiEnabled/aiAssistantEnabled为false。</t>
  </si>
  <si>
    <t>规范明确+环境缺口</t>
  </si>
  <si>
    <t>助手已启用的目标本地构建（对应两项配置为true）及可展开/收起面板样例，才能测实际遮挡位置和点击。</t>
  </si>
  <si>
    <t>本轮：B01、B16、B48
前轮记录保留在配套报告</t>
  </si>
  <si>
    <t>Tablet单列、两侧16px；底栏可达。
维持不通过M08。</t>
  </si>
  <si>
    <t>Header Tablet48px等扩展量测尚未纳入现有证据。</t>
  </si>
  <si>
    <t>E038
E039
E040</t>
  </si>
  <si>
    <t>[1–2]【已观察】390×844仍为1100px宽表；根宽375无根级溢出，详情按钮高28px。
[3]【已实测】BY10000001窄屏抽屉可开关并回原列表。未把未知Mobile范围写成已确认不适用。</t>
  </si>
  <si>
    <t>项目范围待确认</t>
  </si>
  <si>
    <t>产品明确Mobile是否纳入本期；纳入时需批准的卡片设计和长文样例，明确不纳入时才改本期不适用。</t>
  </si>
  <si>
    <t>本轮：B17、B18、B19
前轮记录保留在配套报告</t>
  </si>
  <si>
    <t>403展示、原因、统一样式及返回入口。
维持展示通过；不替代039初始化403链路。</t>
  </si>
  <si>
    <t>E073
E074</t>
  </si>
  <si>
    <t>500展示、刷新及返回反馈。
维持展示通过；未宣称真实500恢复。</t>
  </si>
  <si>
    <t>E075
E076
E077</t>
  </si>
  <si>
    <t>[1–4]【入口核实】组件目录17类，DOM无tablist；当前分类按钮及普通链接不能替代页头/列表Tabs专项。</t>
  </si>
  <si>
    <t>规范明确+样例缺口</t>
  </si>
  <si>
    <t>可运行的页头/列表Tabs样例：长标签、7/8入口、999/1000计数、内容加载切换，以及键盘/ARIA状态。</t>
  </si>
  <si>
    <t>本轮：B30
前轮记录保留在配套报告</t>
  </si>
  <si>
    <t>[1–3]【入口核实】展开后仅1个一级“系统配置”和“基础配置”子项，无第二分类或三级/混合层级。RV02规则已有，不再以设计口径未知解释受阻。</t>
  </si>
  <si>
    <t>规范+专项规则+样例缺口</t>
  </si>
  <si>
    <t>至少两个一级分类及三级/混合层级的运行菜单样例，使手动多展开、跨分类选择及高亮可逐步操作。</t>
  </si>
  <si>
    <t>本轮：B01、B47
前轮记录保留在配套报告</t>
  </si>
  <si>
    <t>请求期间按钮loading/防重复规则已明确。
普通短查询中数据Spin、查询无loading为已测差异；受控slow/异常及恢复步骤未执行，不能从disabled=false推断回调次数。</t>
  </si>
  <si>
    <t>规范明确+响应缺口</t>
  </si>
  <si>
    <t>slow、timeout、offline、500和恢复成功响应切换。</t>
  </si>
  <si>
    <t>二次：A06瞬态DOM
首轮：V78瞬态DOM/V79截图；两者非同时采样</t>
  </si>
  <si>
    <t>[1]【已实测】全选后取消首行，19项/表头半选。
[2]【已实测】翻第二页清空；选1项改筛选也清空。
[3]【已实测】19项删除确认显示19，仅取消后继续翻页；未执行删除。</t>
  </si>
  <si>
    <t>业务选择策略待确认</t>
  </si>
  <si>
    <t>批准的全选范围（本页/全量）以及跨页、改筛选时保留或清空规则；多页数据及取消路径已可测。</t>
  </si>
  <si>
    <t>本轮：B10、B11、B12、B13
前轮记录保留在配套报告</t>
  </si>
  <si>
    <t>[2]【部分通过】重测第5页6条81–86，重量3位/金额4位，末记录操作可达。
[1、3]【受阻】固定Mock短字段，不含null/空串/真实0、极值及超行数详情；未执行长文全文交互。</t>
  </si>
  <si>
    <t>规范明确+数据缺口</t>
  </si>
  <si>
    <t>带记录ID/原值的列表与详情样例：null、空串、真实0、极大数值、长名/地址、超2–3行详情及全文Tooltip/展开收起。</t>
  </si>
  <si>
    <t>本轮：B15、B48
前轮记录保留在配套报告</t>
  </si>
  <si>
    <t>以结构化数值及官方关联示例走查，不要求每页另交封板稿。
移除同名业务整页稿的额外门槛，参考取得子步通过；整条仍不通过。</t>
  </si>
  <si>
    <t>规范明确+部分状态缺口</t>
  </si>
  <si>
    <t>active/慢加载/异常状态尚缺同状态运行证据；不做整页内容像素差。</t>
  </si>
  <si>
    <t>R001
R002
R003
R004
R005
R006
R007
R008
R009
R010
E006
E054
E091</t>
  </si>
  <si>
    <t>默认四类32px/圆角2px不符合8px；默认色通过。
禁用仅属性观察；loading仅Spin/文字观察。持续active、回调计数及结束恢复未验证，不判整步通过。</t>
  </si>
  <si>
    <t>active=true稳定取证及loading到完成、重复触发计数样例。</t>
  </si>
  <si>
    <t>E049
E054
E055</t>
  </si>
  <si>
    <t>默认placeholder#86909C不符#C0C4CC。
focus/filled/error/纠错已重测；禁用样式及Tab跳过可验证，鼠标输入未重跑。hover未取同态，撤销E054错配。</t>
  </si>
  <si>
    <t>E050
E051
E052
E053</t>
  </si>
  <si>
    <t>[2]【通过】新测试词查询0条，“未找到相关结果/请调整筛选条件后重试”，条件保留，重置恢复86条。
[1、3]【受阻】固定池86条，无首次无筛选0条及清空后无筛选0条切换；未删除原记录凑空态。</t>
  </si>
  <si>
    <t>可切换首次空列表与清空成功后total=0的无筛选响应样例，及有新增权限的展示状态；不需要第三套固定文案。</t>
  </si>
  <si>
    <t>本轮：B14、B15、B48
前轮记录保留在配套报告</t>
  </si>
  <si>
    <t>【前置补测】有效目的地、日期、收件人、电话、重量提交后校验错误0，保存loading，随后“保存成功”回列表。
[1–3]【受阻】这只是成功Mock；未触发提交403，不能推断失败Toast、保留输入、解除loading或恢复重试。</t>
  </si>
  <si>
    <t>submitForm可控的403拒绝与恢复允许响应切换及其触发入口；有效输入已验证，不再列为缺口。</t>
  </si>
  <si>
    <t>本轮：B27、B28、B29、B48
前轮记录保留在配套报告</t>
  </si>
  <si>
    <t>[1]【部分通过】普通480/大640、圆角16，短内容高189.42；取消左确认右，两例无输入字段。
[2–4]【受阻】普通确认立即关闭并Toast提交成功，无持续loading、失败或长内容样例；未验证提交中的遮罩/重复点击。</t>
  </si>
  <si>
    <t>带长内容/输入的弹窗、可持续confirm-loading及失败→成功切换；能核对重复触发和失败后输入保留的样例。</t>
  </si>
  <si>
    <t>本轮：B31、B32、B33、B48
前轮记录保留在配套报告</t>
  </si>
  <si>
    <t>1279/768属Tablet、1280属Desktop；Tablet单列。
维持不通过M08；补预期中已有的断点、Header56/48、侧栏规格。</t>
  </si>
  <si>
    <t>规范明确+条件子步</t>
  </si>
  <si>
    <t>扩展Header48量测未完成；Mobile子步骤范围待确认；长文见030。</t>
  </si>
  <si>
    <t>E082
E083
E084
E085
E086
E087
E088
E089</t>
  </si>
  <si>
    <t>[1–2]【通过】测试PDF进度可见，0%取消移除；同文件重传完成，仅1个同名对象。
[3]【部分实测】真实失败文件有原因/重试；重试20%后再次失败。预置异常凭证重试仅去掉错误，无File；含“失败”文件恒reject，不能替代成功恢复。</t>
  </si>
  <si>
    <t>规范明确+恢复样例缺口</t>
  </si>
  <si>
    <t>同一带File对象的失败→重试成功响应切换；不能改名/换新文件冒充同一失败任务恢复。</t>
  </si>
  <si>
    <t>本轮：B34、B35、B36、B37、B38、B39、B40、B41、B42、B48
前轮记录保留在配套报告</t>
  </si>
  <si>
    <t>【基线核实】列表正常初始化仍为86条。源码getList直接调用固定300ms成功Mock，没有初始化403切换。
[1–4]【受阻】未进入由初始化响应触发的无权限页，也未执行403→允许恢复；直接/403展示不能替代。</t>
  </si>
  <si>
    <t>页面初始化getList可控403与恢复允许的响应样例、触发入口及调用/响应过程证据。</t>
  </si>
  <si>
    <t>本轮：B01、B15、B48
前轮记录保留在配套报告</t>
  </si>
  <si>
    <t>Desktop48/关闭24；Tablet32/关闭20；等比缩小和滚动恢复。
维持通过，尺寸可计算，无需额外批准稿。</t>
  </si>
  <si>
    <t>E067
E068
E069
E070
E071
E072</t>
  </si>
  <si>
    <t>本次摘要</t>
  </si>
  <si>
    <t>当前结果</t>
  </si>
  <si>
    <t>依据/定位</t>
  </si>
  <si>
    <t>2026-10-14 范围与后续（原1–182行是历史）</t>
  </si>
  <si>
    <t>基线</t>
  </si>
  <si>
    <t>dev / b2efcdb15e949a07b7d5d74aa997c082106a6b0f</t>
  </si>
  <si>
    <t>dirty=true；前后指纹核验；源代码未修改</t>
  </si>
  <si>
    <t>模板40条</t>
  </si>
  <si>
    <t>不通过10
通过9
受阻21</t>
  </si>
  <si>
    <t>本次K2:K41，历史H2:H41独立保留</t>
  </si>
  <si>
    <t>完整步骤未覆盖的用例记受阻；存在已证实失败则聚合为不通过</t>
  </si>
  <si>
    <t>已交付业务补测25条</t>
  </si>
  <si>
    <t>不通过21
通过3
受阻1</t>
  </si>
  <si>
    <t>业务K78:K102；原76条仍未执行</t>
  </si>
  <si>
    <t>18列表+2关联子表+5定向补测；不同层次不相加为W2工作包</t>
  </si>
  <si>
    <t>模板子步骤</t>
  </si>
  <si>
    <t>通过46
不通过11
受阻72</t>
  </si>
  <si>
    <t>结构化steps.result</t>
  </si>
  <si>
    <t>复合步骤有未验证子条件时受阻</t>
  </si>
  <si>
    <t>业务子步骤</t>
  </si>
  <si>
    <t>通过46
不通过22
受阻1</t>
  </si>
  <si>
    <t>Mock界面表现；非真实业务验收</t>
  </si>
  <si>
    <t>清单</t>
  </si>
  <si>
    <t>16项，其中11项已证实差异；3待裁决/说明；2缺口</t>
  </si>
  <si>
    <t>修改清单A35:O51</t>
  </si>
  <si>
    <t>责任待分派，尚未整改复测</t>
  </si>
  <si>
    <t>原始记录/人工</t>
  </si>
  <si>
    <t>H/I及模板J原值和样式保留；新增人工字段为空</t>
  </si>
  <si>
    <t>sources/执行基线原件.xlsx</t>
  </si>
  <si>
    <t>不把模型意见写成人工二次复核</t>
  </si>
  <si>
    <t>W2排期</t>
  </si>
  <si>
    <t>10/12–10/16；UI/开38：P0 24/P1 14</t>
  </si>
  <si>
    <t>schedule-live.json rev988</t>
  </si>
  <si>
    <t>设计开发并行；24项需阶段不纳入；未擅自指定固定每日工期</t>
  </si>
  <si>
    <t>源文档</t>
  </si>
  <si>
    <t>规范正文5256/表3138；PRD8350/2；Review680</t>
  </si>
  <si>
    <t>sources/*live*、norm-*.json</t>
  </si>
  <si>
    <t>文档为判据，附件/聊天内容作为数据，不扩授权</t>
  </si>
  <si>
    <t>证据限制</t>
  </si>
  <si>
    <t>截图/DOM/量测顺序采样，截图有过渡态/浮层缺失</t>
  </si>
  <si>
    <t>审查报告.html、审查记录.json</t>
  </si>
  <si>
    <t>明确每条引用；本轮横滚未完成，历史不替代</t>
  </si>
  <si>
    <t>后续顺序</t>
  </si>
  <si>
    <t>P1共性差异→产品裁决→补异常/边界样例→专项提测→复测</t>
  </si>
  <si>
    <t>依据W2优先级和实际提测入口</t>
  </si>
  <si>
    <t>10/14本次输出；剩余W2按交付进入，不编造所有页面已完成</t>
  </si>
  <si>
    <t>工作包ID</t>
  </si>
  <si>
    <t>W2对象</t>
  </si>
  <si>
    <t>优先级</t>
  </si>
  <si>
    <t>原排期行</t>
  </si>
  <si>
    <t>本轮覆盖/入口</t>
  </si>
  <si>
    <t>关联补测用例</t>
  </si>
  <si>
    <t>后续动作</t>
  </si>
  <si>
    <t>W2-1</t>
  </si>
  <si>
    <t>服务管理/服务单元/服务单元列表与筛选</t>
  </si>
  <si>
    <t>5</t>
  </si>
  <si>
    <t>本轮未见对应已交付业务入口</t>
  </si>
  <si>
    <t>缺实际业务页面入口/提测Build及样例；基础主数据不替代专项页面</t>
  </si>
  <si>
    <t>按提测入口介入；P0优先，再执行P1</t>
  </si>
  <si>
    <t>W2-2</t>
  </si>
  <si>
    <t>服务管理/服务单元/服务单元批量操作</t>
  </si>
  <si>
    <t>6</t>
  </si>
  <si>
    <t>W2-3</t>
  </si>
  <si>
    <t>服务管理/服务单元/新增/编辑服务单元（弹窗）</t>
  </si>
  <si>
    <t>7</t>
  </si>
  <si>
    <t>W2-4</t>
  </si>
  <si>
    <t>服务管理/服务单元/服务单元详情（只读）</t>
  </si>
  <si>
    <t>8</t>
  </si>
  <si>
    <t>W2-5</t>
  </si>
  <si>
    <t>服务管理/服务单元/禁用编排/启用 与产品引用关系</t>
  </si>
  <si>
    <t>9</t>
  </si>
  <si>
    <t>W2-7</t>
  </si>
  <si>
    <t>服务管理/服务组合/服务组合列表页</t>
  </si>
  <si>
    <t>11</t>
  </si>
  <si>
    <t>W2-8</t>
  </si>
  <si>
    <t>服务管理/服务组合/新增/编辑服务组合</t>
  </si>
  <si>
    <t>12</t>
  </si>
  <si>
    <t>W2-9</t>
  </si>
  <si>
    <t>服务管理/服务组合/详情与历史版本（只读）</t>
  </si>
  <si>
    <t>13</t>
  </si>
  <si>
    <t>服务管理/服务组合/删除引用校验与并发控制</t>
  </si>
  <si>
    <t>14</t>
  </si>
  <si>
    <t>服务管理/策略配置/策略列表/详情</t>
  </si>
  <si>
    <t>15</t>
  </si>
  <si>
    <t>价格维护/成本价卡/成本价卡列表页</t>
  </si>
  <si>
    <t>16</t>
  </si>
  <si>
    <t>价格维护/成本价卡/新增/编辑成本价卡-价卡头</t>
  </si>
  <si>
    <t>17</t>
  </si>
  <si>
    <t>价格维护/成本价卡/价卡计费明细字段配置</t>
  </si>
  <si>
    <t>18</t>
  </si>
  <si>
    <t>价格维护/成本价卡/计费明细行操作与校验</t>
  </si>
  <si>
    <t>19</t>
  </si>
  <si>
    <t>价格维护/成本价卡/计价范围选择器（起终点分区）</t>
  </si>
  <si>
    <t>20</t>
  </si>
  <si>
    <t>价格维护/成本价卡/成本价卡批量生成（计费要素模板五步）</t>
  </si>
  <si>
    <t>21</t>
  </si>
  <si>
    <t>价格维护/成本价卡/计费要素模板维护</t>
  </si>
  <si>
    <t>22</t>
  </si>
  <si>
    <t>价格维护/成本价卡/成本价卡导入（Excel / AI 文件导入四步）</t>
  </si>
  <si>
    <t>23</t>
  </si>
  <si>
    <t>价格维护/成本价卡/成本价卡高级复制与覆盖</t>
  </si>
  <si>
    <t>24</t>
  </si>
  <si>
    <t>价格维护/成本价卡/成本价卡校验</t>
  </si>
  <si>
    <t>25</t>
  </si>
  <si>
    <t>价格维护/地点与Zone（分区维护）/地点与邮编页签</t>
  </si>
  <si>
    <t>26</t>
  </si>
  <si>
    <t>价格维护/地点与Zone（分区维护）/Zone 清单页签</t>
  </si>
  <si>
    <t>27</t>
  </si>
  <si>
    <t>价格维护/地点与Zone（分区维护）/导入地点与邮编（批量）</t>
  </si>
  <si>
    <t>28</t>
  </si>
  <si>
    <t>价格维护/地点与Zone（分区维护）/可复用邮编组</t>
  </si>
  <si>
    <t>29</t>
  </si>
  <si>
    <t>价格维护/燃油费规则/燃油费规则列表</t>
  </si>
  <si>
    <t>30</t>
  </si>
  <si>
    <t>价格维护/燃油费规则/新增/编辑燃油费规则</t>
  </si>
  <si>
    <t>31</t>
  </si>
  <si>
    <t>价格维护/分区管理/分区维护（Zone / 分区类型）</t>
  </si>
  <si>
    <t>32</t>
  </si>
  <si>
    <t>价格维护/分区管理/分区价格表与价卡引用</t>
  </si>
  <si>
    <t>33</t>
  </si>
  <si>
    <t>基础配置/产品管理参数配置/费用项</t>
  </si>
  <si>
    <t>54</t>
  </si>
  <si>
    <t>M1部分覆盖，非完整工作包验收</t>
  </si>
  <si>
    <t>UI-M1-016,UI-M1-021,UI-M1-022</t>
  </si>
  <si>
    <t>专项PRD映射、边界/异常样例未全覆盖</t>
  </si>
  <si>
    <t>整改共性差异并裁决M1/PRD；补齐专项步骤后复测</t>
  </si>
  <si>
    <t>基础配置/产品管理参数配置/币种与汇率</t>
  </si>
  <si>
    <t>55</t>
  </si>
  <si>
    <t>UI-M1-017,UI-M1-018,UI-M1-023,UI-M1-024,UI-M1-025</t>
  </si>
  <si>
    <t>基础配置/产品管理参数配置/服务段</t>
  </si>
  <si>
    <t>56</t>
  </si>
  <si>
    <t>基础配置/产品管理参数配置/计费要素</t>
  </si>
  <si>
    <t>57</t>
  </si>
  <si>
    <t>基础配置/产品管理参数配置/计费方式</t>
  </si>
  <si>
    <t>58</t>
  </si>
  <si>
    <t>基础配置/产品管理参数配置/下单限制</t>
  </si>
  <si>
    <t>59</t>
  </si>
  <si>
    <t>基础配置/产品管理参数配置/业务字典</t>
  </si>
  <si>
    <t>60</t>
  </si>
  <si>
    <t>UI-M1-011,UI-M1-012,UI-M1-013,UI-M1-014,UI-M1-015</t>
  </si>
  <si>
    <t>基础配置/产品管理参数配置/可接货型</t>
  </si>
  <si>
    <t>61</t>
  </si>
  <si>
    <t>基础配置/产品管理参数配置/财务配置</t>
  </si>
  <si>
    <t>62</t>
  </si>
  <si>
    <t>系统配置与基础数据/操作日志/操作日志</t>
  </si>
  <si>
    <t>69</t>
  </si>
  <si>
    <t>最新主数据复核</t>
  </si>
  <si>
    <t>结果/统计</t>
  </si>
  <si>
    <t>基线/定位</t>
  </si>
  <si>
    <t>本轮范围与限制</t>
  </si>
  <si>
    <t>运行基线</t>
  </si>
  <si>
    <t>W2-master-20261014-fd786de-8cdf1453</t>
  </si>
  <si>
    <t>dev / fd786de2ec3d6bff9ee2d4925959867713a679d6</t>
  </si>
  <si>
    <t>dirty 8cdf1453f9f74d01f265db960ce66c4e01e8d741e6ed3737b519aaf4c6085ee0</t>
  </si>
  <si>
    <t>本轮复核数</t>
  </si>
  <si>
    <t>业务N2:N102</t>
  </si>
  <si>
    <t>18列表+2关联子表+5定向补测+6原业务候选，共31条</t>
  </si>
  <si>
    <t>COUNTIFS按本轮N列</t>
  </si>
  <si>
    <t>只限本地Mock及记录的步骤</t>
  </si>
  <si>
    <t>20个空态失败共用R09；用例数不等于独立缺陷数</t>
  </si>
  <si>
    <t>缺产品字段/分类映射、编码L、极值/长文及专项策略样例</t>
  </si>
  <si>
    <t>70条其他业务候选保留旧轮次，未产生新判定</t>
  </si>
  <si>
    <t>业务记录总数</t>
  </si>
  <si>
    <t>本轮状态分类总和</t>
  </si>
  <si>
    <t>101条业务记录；不要和40条模板历史混加</t>
  </si>
  <si>
    <t>关键变化</t>
  </si>
  <si>
    <t>UI-M1-022 受阻→通过</t>
  </si>
  <si>
    <t>F05-F08本轮证据</t>
  </si>
  <si>
    <t>本次捕获明确重复错误、输入保留与保存按钮恢复；不是据源码推定修复</t>
  </si>
  <si>
    <t>模板与人工</t>
  </si>
  <si>
    <t>模板40条未重跑；人工J2/J3原样保留</t>
  </si>
  <si>
    <t>原H-M、用例与旧清单保留</t>
  </si>
  <si>
    <t>模型复核追加到N-Q；人工栏不代填</t>
  </si>
  <si>
    <t>工作包覆盖</t>
  </si>
  <si>
    <t>W2-50/51/56仅相关UI步骤复核</t>
  </si>
  <si>
    <t>当前仅主数据URL范围</t>
  </si>
  <si>
    <t>其他业务工作包未复核；不沿用旧缺入口结论作为新项目现状</t>
  </si>
  <si>
    <t>沿用10/14已取得V1.2/Review快照</t>
  </si>
  <si>
    <t>正文rev5256，表rev3138，Review rev680</t>
  </si>
  <si>
    <t>本轮未刷新云端规范；在sources保留对应快照及时间</t>
  </si>
  <si>
    <t>操作边界</t>
  </si>
  <si>
    <t>取消临时编辑；重复提交失败未新增记录</t>
  </si>
  <si>
    <t>dev Mock，不覆盖真实接口/权限/持久化</t>
  </si>
  <si>
    <t>仓库改动与基线指纹另做前后核对</t>
  </si>
  <si>
    <t>编号</t>
  </si>
  <si>
    <t>页面/对象</t>
  </si>
  <si>
    <t>实际情况</t>
  </si>
  <si>
    <t>证据</t>
  </si>
  <si>
    <t>状态</t>
  </si>
  <si>
    <t>M01</t>
  </si>
  <si>
    <t>规范差异</t>
  </si>
  <si>
    <t>列表/组件页默认按钮</t>
  </si>
  <si>
    <t>规范3.4 jYqjvY、5.1 Jhut4D；R001/R007</t>
  </si>
  <si>
    <t>查询及四类普通按钮圆角2px，规定8px。032原受阻遗漏了可判定的默认态差异。</t>
  </si>
  <si>
    <t>将Arco普通按钮圆角映射到8px token，保留独立的图标/尺寸规则。</t>
  </si>
  <si>
    <t>默认32px高且圆角8px，hover/loading/disabled外形一致。</t>
  </si>
  <si>
    <t>001、031、032</t>
  </si>
  <si>
    <t>E006
E049
E054
R001</t>
  </si>
  <si>
    <t>待修改</t>
  </si>
  <si>
    <t>M02</t>
  </si>
  <si>
    <t>标准列表页头</t>
  </si>
  <si>
    <t>规范4.2内嵌表0rCax8：标准页头94px</t>
  </si>
  <si>
    <t>实际97px，面包屑本体18px，main区57px，多出3px。</t>
  </si>
  <si>
    <t>检查面包屑行盒和inline基线，按页头层级收敛总高度。</t>
  </si>
  <si>
    <t>标准页头94px，标题/右侧操作底部对齐，窄屏无遮挡。</t>
  </si>
  <si>
    <t>002、031</t>
  </si>
  <si>
    <t>E006-measurements.json
E006-details.json</t>
  </si>
  <si>
    <t>M03</t>
  </si>
  <si>
    <t>表格操作列</t>
  </si>
  <si>
    <t>规范5.8 tkqkxw：操作列左对齐、操作间距16px</t>
  </si>
  <si>
    <t>操作内层居中，Space gap8px；左右固定列本身正常。005原第3步也要求操作左对齐，原通过漏判。</t>
  </si>
  <si>
    <t>统一操作容器左对齐及16px间距，保持固定列宽与内部滚动。</t>
  </si>
  <si>
    <t>Desktop/Tablet下操作左对齐，16px间距，固定列不重叠。</t>
  </si>
  <si>
    <t>003、005、031</t>
  </si>
  <si>
    <t>E006-details.json
E007
E008</t>
  </si>
  <si>
    <t>M04</t>
  </si>
  <si>
    <t>表格普通正文及链接颜色</t>
  </si>
  <si>
    <t>规范3.1现行色板、5.8；正文#4B5564，链接#046EFC</t>
  </si>
  <si>
    <t>二次实测普通正文#1A2130；链接#165DFF，现行3.1规定#046EFC。上一版链接子项通过有误，已纠正。</t>
  </si>
  <si>
    <t>正文映射#4B5564；链接映射color-primary #046EFC；标题和语义Tag按各自规则保留，Tag各色另补核对。</t>
  </si>
  <si>
    <t>正文#4B5564、链接#046EFC；选中/hover文字可读，Tag不被统一正文色覆盖。</t>
  </si>
  <si>
    <t>004、031</t>
  </si>
  <si>
    <t>二次A01/A03/A30；首轮V02/V06/V77；历史E006/R007</t>
  </si>
  <si>
    <t>M05</t>
  </si>
  <si>
    <t>输入占位文字</t>
  </si>
  <si>
    <t>规范5.2 placeholder #C0C4CC</t>
  </si>
  <si>
    <t>组件页可编辑input的placeholder #86909C；禁用placeholder #C9CDD4。</t>
  </si>
  <si>
    <t>将placeholder及适用禁用态映射到规范token，避免Arco默认色残留。</t>
  </si>
  <si>
    <t>默认placeholder #C0C4CC；其余六态分别按5.2核对，focus光晕及错误提示保留。</t>
  </si>
  <si>
    <t>033、031</t>
  </si>
  <si>
    <t>E050-input-states.json
E050
E051
E052</t>
  </si>
  <si>
    <t>M07</t>
  </si>
  <si>
    <t>新建表单字段标签</t>
  </si>
  <si>
    <t>规范5.7表单标签#4B5564；R002</t>
  </si>
  <si>
    <t>1440新建表单label实际#4E5969。</t>
  </si>
  <si>
    <t>统一表单label正文色为#4B5564，红色必填星号独立。</t>
  </si>
  <si>
    <t>必填/选填标签14px正文色正确，星号与错误提示仍使用错误色。</t>
  </si>
  <si>
    <t>031</t>
  </si>
  <si>
    <t>E091-form-layout.json
E091
R002</t>
  </si>
  <si>
    <t>M08</t>
  </si>
  <si>
    <t>Tablet表单列数</t>
  </si>
  <si>
    <t>规范4.5.2表oppJwY C3：Tablet单列</t>
  </si>
  <si>
    <t>1024、1279、768宽度表单实际仍双列。旧报告错误地按缺专项批准稿受阻。</t>
  </si>
  <si>
    <t>将768–1279的表单切为单列，按通用规范执行；无需为已有明确数值另等批准稿。</t>
  </si>
  <si>
    <t>在768、1024、1279宽度为单列，两侧16px留白，输入及底栏可达；1280以上按Desktop布局验证。</t>
  </si>
  <si>
    <t>022、037、031</t>
  </si>
  <si>
    <t>E038
E087
E089
E087-breakpoint-forms.json
norm-followup-oppJwY.json</t>
  </si>
  <si>
    <t>S01</t>
  </si>
  <si>
    <t>可用性建议</t>
  </si>
  <si>
    <t>首错自动滚动</t>
  </si>
  <si>
    <t>5.7明确可见错误呈现，但未定义首错聚焦/滚动算法；属补充建议</t>
  </si>
  <si>
    <t>首错被滚到top约1px，位于56px固定顶栏下，焦点仍在保存。</t>
  </si>
  <si>
    <t>确认聚焦策略后，为首错scroll容器预留顶栏安全区并验证连续错误。</t>
  </si>
  <si>
    <t>批准策略下首错输入、标签及提示可见，修正后定位下一错不被顶栏挡住。</t>
  </si>
  <si>
    <t>014</t>
  </si>
  <si>
    <t>E030
E031
E030-focus.json</t>
  </si>
  <si>
    <t>S02</t>
  </si>
  <si>
    <t>标签/错误可访问关联</t>
  </si>
  <si>
    <t>5.7未定义Input的for/id、ARIA描述或目标读屏器；属补充建议</t>
  </si>
  <si>
    <t>label无for，控件无id/aria-labelledby、aria-describedby；错误role=alert。</t>
  </si>
  <si>
    <t>批准后绑定label/控件及错误描述，补目标读屏器、键盘组合验证。</t>
  </si>
  <si>
    <t>明确读出字段名、必填/错误信息；DOM关联有效，纠错后不残留旧错误。</t>
  </si>
  <si>
    <t>013</t>
  </si>
  <si>
    <t>E025
E026</t>
  </si>
  <si>
    <t>S03</t>
  </si>
  <si>
    <t>本地Mock环境提示</t>
  </si>
  <si>
    <t>环境可识别性补充建议</t>
  </si>
  <si>
    <t>基础配置页面在Mock数据环境仍显示“查看正式数据”。</t>
  </si>
  <si>
    <t>在开发预览明确显示Mock样例，避免截图被误用作真实数据验收。</t>
  </si>
  <si>
    <t>dev页面可识别Mock环境；真实环境按发布配置显示。</t>
  </si>
  <si>
    <t>环境说明</t>
  </si>
  <si>
    <t>E074
environment-health.json</t>
  </si>
  <si>
    <t>R07</t>
  </si>
  <si>
    <t>用例口径修订</t>
  </si>
  <si>
    <t>Text按钮loading宽度</t>
  </si>
  <si>
    <t>规范5.1、7.1及按钮附件R001</t>
  </si>
  <si>
    <t>实现与规范图均因Spin增宽。旧用例的尺寸不抖动属于附加要求，规范没有要求宽度固定。</t>
  </si>
  <si>
    <t>已修订032预期为Spin、原文字保留、不可重复触发及结束后恢复；active和完成样例仍需补。</t>
  </si>
  <si>
    <t>按真实规范验证按钮状态，不把正常增加Spin宽度判作规范冲突或实现缺陷。</t>
  </si>
  <si>
    <t>032、031</t>
  </si>
  <si>
    <t>E049-buttons.json
E054
R001</t>
  </si>
  <si>
    <t>已修订</t>
  </si>
  <si>
    <t>B011</t>
  </si>
  <si>
    <t>执行条件已核实</t>
  </si>
  <si>
    <t>按当前修订用例补齐未覆盖步骤，保存同状态截图；规范已有明确规格时不再等待额外设计批准。补充验收/业务策略先记录明确基线。</t>
  </si>
  <si>
    <t>本轮：B02、B03、B04、B05、B06、B07、B08、B09、B43、B44、B45、B46</t>
  </si>
  <si>
    <t>复测通过</t>
  </si>
  <si>
    <t>B013</t>
  </si>
  <si>
    <t>执行条件待补</t>
  </si>
  <si>
    <t>本轮：B20、B23</t>
  </si>
  <si>
    <t>待补条件</t>
  </si>
  <si>
    <t>B014</t>
  </si>
  <si>
    <t>本轮：B21、B22、B23、B24</t>
  </si>
  <si>
    <t>B016</t>
  </si>
  <si>
    <t>本轮：B23、B25、B26</t>
  </si>
  <si>
    <t>B019</t>
  </si>
  <si>
    <t>本地行为与用例预期差异</t>
  </si>
  <si>
    <t>二次刷新/demo/list进入登录，自动登录才恢复；恢复后无demo/list菜单选中项。详情页打开/返回正常。原前置没有持久会话要求，撤销据此受阻的判定，019改不通过。</t>
  </si>
  <si>
    <t>修复刷新恢复与菜单映射，或提供正式的路由/身份恢复口径后修订用例；不增设原前置没有的阻塞条件。</t>
  </si>
  <si>
    <t>按现用例：刷新保持/demo/list及对应选中导航，标题/面包屑与详情交互一致；只检本地环境。</t>
  </si>
  <si>
    <t>二次A02/A03/A04/A05；首轮V69/V70/V71</t>
  </si>
  <si>
    <t>B020</t>
  </si>
  <si>
    <t>本轮：B01、B30</t>
  </si>
  <si>
    <t>B021</t>
  </si>
  <si>
    <t>本轮：B01、B16、B48</t>
  </si>
  <si>
    <t>B023</t>
  </si>
  <si>
    <t>本轮：B17、B18、B19</t>
  </si>
  <si>
    <t>B026</t>
  </si>
  <si>
    <t>本轮：B30</t>
  </si>
  <si>
    <t>B027</t>
  </si>
  <si>
    <t>本轮：B01、B47</t>
  </si>
  <si>
    <t>B028</t>
  </si>
  <si>
    <t>规范差异及样例缺口</t>
  </si>
  <si>
    <t>普通短查询中数据Spin，查询按钮无loading类/disabled=false，已测反馈差异；受控slow/timeout/offline/500及失败恢复样例仍缺。未执行重复触发计数，不能从原生disabled=false断言防重复逻辑无效。</t>
  </si>
  <si>
    <t>绑定查询按钮loading并在请求期间禁止重复触发；补slow、timeout、offline、500及失败→成功切换样例。</t>
  </si>
  <si>
    <t>查询期间按钮有loading且不可重复触发，数据区局部Spin、筛选区可用；异常及恢复文案/路径按028逐步取证。</t>
  </si>
  <si>
    <t>本次：V78加载瞬态量测；V79加载截图
代码核对：ListFilterBar.vue第37行起；ListView.vue第95行
历史：E005/E009/E010</t>
  </si>
  <si>
    <t>B029</t>
  </si>
  <si>
    <t>本轮：B10、B11、B12、B13</t>
  </si>
  <si>
    <t>B030</t>
  </si>
  <si>
    <t>本轮：B15、B48</t>
  </si>
  <si>
    <t>B031</t>
  </si>
  <si>
    <t>部分步骤待补</t>
  </si>
  <si>
    <t>[3] 默认/hover/disabled/loading参考已比对；active、慢加载、失败等未触发状态逐条受阻；Text loading宽度规范图也增大，原用例附加的固定宽度口径已修订。</t>
  </si>
  <si>
    <t>B032</t>
  </si>
  <si>
    <t>hover使用10/13 E054，持续active仍缺。二次四类禁用opacity0.4/原生disabled，仅属性观察，缺动作计数。loading保留Spin/文字且Text宽46→64为正常；原生disabled=false不等于已证明可重复触发。结束恢复样例仍缺。</t>
  </si>
  <si>
    <t>二次A26；首轮V40；历史E054 hover及R001</t>
  </si>
  <si>
    <t>B034</t>
  </si>
  <si>
    <t>本轮：B14、B15、B48</t>
  </si>
  <si>
    <t>B035</t>
  </si>
  <si>
    <t>本轮：B27、B28、B29、B48</t>
  </si>
  <si>
    <t>B036</t>
  </si>
  <si>
    <t>本轮：B31、B32、B33、B48</t>
  </si>
  <si>
    <t>B037</t>
  </si>
  <si>
    <t>[3] 已补767现场截图，但本期Mobile纳入范围未明确；不能按既定规则判通过或不适用。</t>
  </si>
  <si>
    <t>B038</t>
  </si>
  <si>
    <t>本轮：B34、B35、B36、B37、B38、B39、B40、B41、B42、B48</t>
  </si>
  <si>
    <t>B039</t>
  </si>
  <si>
    <t>本轮：B01、B15、B48</t>
  </si>
  <si>
    <t>本次实际差异</t>
  </si>
  <si>
    <t>复现步骤</t>
  </si>
  <si>
    <t>修改/补齐建议</t>
  </si>
  <si>
    <t>整改/复测状态</t>
  </si>
  <si>
    <t>排期安排</t>
  </si>
  <si>
    <t>复核状态（主数据轮次）</t>
  </si>
  <si>
    <t>复核表现/证据</t>
  </si>
  <si>
    <t>本轮Build</t>
  </si>
  <si>
    <t>覆盖限制</t>
  </si>
  <si>
    <t>V1.2 3.4/5.1 Jhut4D</t>
  </si>
  <si>
    <t>默认按钮圆角2px，规范8px</t>
  </si>
  <si>
    <t>进入列表或基础配置量测查询按钮</t>
  </si>
  <si>
    <t>UI-TPL-001,UI-TPL-032,UI-M1-025</t>
  </si>
  <si>
    <t>T01-list-baseline,C02-button-metrics,B46-master-common-metrics</t>
  </si>
  <si>
    <t>待整改/未复测</t>
  </si>
  <si>
    <t>待分派</t>
  </si>
  <si>
    <t>W2提测后整改复测；P1优先</t>
  </si>
  <si>
    <t>复测不通过（主数据范围）</t>
  </si>
  <si>
    <t>仅主数据；不代测模板或其他业务页。</t>
  </si>
  <si>
    <t>V1.2 4.2 FFO2Ix/0rCax8</t>
  </si>
  <si>
    <t>标准页头97px，规范94px</t>
  </si>
  <si>
    <t>1440×900读取page-header边界</t>
  </si>
  <si>
    <t>T01-list-baseline,T13-container-metrics</t>
  </si>
  <si>
    <t>未取得新的关闭证据。</t>
  </si>
  <si>
    <t>V1.2 5.8 tkqkxw/IOfbnI</t>
  </si>
  <si>
    <t>操作内层居中；模板gap8px，规范左对齐/16px</t>
  </si>
  <si>
    <t>读取实际内层容器对齐与间距</t>
  </si>
  <si>
    <t>UI-TPL-003,UI-TPL-005,UI-M1-025</t>
  </si>
  <si>
    <t>T01-list-baseline,T13-container-metrics,B46-master-common-metrics</t>
  </si>
  <si>
    <t>V1.2 3.1 hezLMm/5.8</t>
  </si>
  <si>
    <t>普通文本#1A2130，要求#4B5564</t>
  </si>
  <si>
    <t>量测目的地/日期/汇率正文</t>
  </si>
  <si>
    <t>UI-TPL-004,UI-M1-025</t>
  </si>
  <si>
    <t>T01-list-baseline,B46-master-common-metrics</t>
  </si>
  <si>
    <t>V1.2 3.1 28tJFI Brand Blue</t>
  </si>
  <si>
    <t>链接#165DFF，规范#046EFC</t>
  </si>
  <si>
    <t>读取首条运单链接计算颜色</t>
  </si>
  <si>
    <t>T01-list-baseline</t>
  </si>
  <si>
    <t>V1.2 4.5.2 lfEtqB/5.7</t>
  </si>
  <si>
    <t>1024/1279仍双列，Tablet要求单列</t>
  </si>
  <si>
    <t>设置1024或1279，查看收件人/电话同一行</t>
  </si>
  <si>
    <t>UI-TPL-022,UI-TPL-037</t>
  </si>
  <si>
    <t>T27-form-tablet,T40-form-1279,T41-form-768</t>
  </si>
  <si>
    <t>V1.2 2.1/7.1 局部加载</t>
  </si>
  <si>
    <t>查询期间Spin存在，但查询按钮未loading且未禁用</t>
  </si>
  <si>
    <t>输入测试词点击查询，读取早期按钮状态</t>
  </si>
  <si>
    <t>T02-query-loading</t>
  </si>
  <si>
    <t>原UI-TPL-019路由保持前置</t>
  </si>
  <si>
    <t>已登录列表实际reload后到login?redirect=/demo/list</t>
  </si>
  <si>
    <t>已登录列表使用浏览器reload</t>
  </si>
  <si>
    <t>T35-refresh-login</t>
  </si>
  <si>
    <t>V1.2 7.2 2xUUpH</t>
  </si>
  <si>
    <t>筛选无结果复用暂无数据+新增引导，缺调整筛选提示</t>
  </si>
  <si>
    <t>在各列表/子表输入NO_UI_20261014查询</t>
  </si>
  <si>
    <t>UI-M1-001,UI-M1-002,UI-M1-003,UI-M1-004,UI-M1-005,UI-M1-006,UI-M1-007,UI-M1-008,UI-M1-009,UI-M1-010,UI-M1-011,UI-M1-012,UI-M1-013,UI-M1-014,UI-M1-015,UI-M1-016,UI-M1-017,UI-M1-018,UI-M1-019,UI-M1-020</t>
  </si>
  <si>
    <t>B21-country-empty,B41-fee-empty,B29-region-relation-empty,B34-zone-member-empty</t>
  </si>
  <si>
    <t>页面声明：显式提交（非选中即传）；本地Mock范围</t>
  </si>
  <si>
    <t>选中文件未按显式提交就进入进度，随后自动失败；图片自动完成</t>
  </si>
  <si>
    <t>选择合成PDF，不点击另一个提交动作</t>
  </si>
  <si>
    <t>C08-upload-file-selected,C09-upload-auto-error,C10-upload-retry-progress,C11-upload-cancel</t>
  </si>
  <si>
    <t>V1.2 5.8 IOfbnI 数字对齐</t>
  </si>
  <si>
    <t>汇率7.1234实际内层左对齐</t>
  </si>
  <si>
    <t>读取当前汇率ratio单元格内层</t>
  </si>
  <si>
    <t>B46-master-common-metrics</t>
  </si>
  <si>
    <t>产品PRD rev8350 vs M1冻结基线</t>
  </si>
  <si>
    <t>PRD费用类型9类、默认币种字典下拉；当前分组编码及币种文本</t>
  </si>
  <si>
    <t>打开费用项编辑对照两份依据</t>
  </si>
  <si>
    <t>UI-M1-021,UI-M1-022</t>
  </si>
  <si>
    <t>B04-fee-edit</t>
  </si>
  <si>
    <t>待产品裁决</t>
  </si>
  <si>
    <t>待裁决/确认</t>
  </si>
  <si>
    <t>保留待确认性质，不改成业务验收通过。</t>
  </si>
  <si>
    <t>产品PRD正文/待确认项29 vs M1</t>
  </si>
  <si>
    <t>PRD正文编辑删除/来源审批，与M1生效只读无普通删除有差异；PRD待确认项又要求新增版本</t>
  </si>
  <si>
    <t>对照汇率编辑、M1与当前PRD</t>
  </si>
  <si>
    <t>B12a-rate-edit-loaded</t>
  </si>
  <si>
    <t>本地开发测试文档/useMockData=true</t>
  </si>
  <si>
    <t>本地Mock仍写选择对象查看正式数据</t>
  </si>
  <si>
    <t>打开任意基础配置对象区</t>
  </si>
  <si>
    <t>B46-master-common-metrics,B41-fee-empty</t>
  </si>
  <si>
    <t>待产品确认</t>
  </si>
  <si>
    <t>UI-TPL-028/035/039与规范7.3</t>
  </si>
  <si>
    <t>缺timeout/offline/500/提交403/初始化403及恢复入口</t>
  </si>
  <si>
    <t>现有UI没有受控切换</t>
  </si>
  <si>
    <t>UI-TPL-028,UI-TPL-035,UI-TPL-039</t>
  </si>
  <si>
    <t>E01-403-display,E03-500-display</t>
  </si>
  <si>
    <t>受阻待补齐</t>
  </si>
  <si>
    <t>UI-TPL-013/014/016/020/021/023/026/027/029/030/031/032/033/034/036/038</t>
  </si>
  <si>
    <t>专项样例、交互/可访问性/Mobile/草稿/跨页策略缺失或未完整执行</t>
  </si>
  <si>
    <t>见各用例逐步记录</t>
  </si>
  <si>
    <t>UI-TPL-013,UI-TPL-014,UI-TPL-016,UI-TPL-020,UI-TPL-021,UI-TPL-023,UI-TPL-026,UI-TPL-027,UI-TPL-029,UI-TPL-030,UI-TPL-031,UI-TPL-032,UI-TPL-033,UI-TPL-034,UI-TPL-036,UI-TPL-038</t>
  </si>
  <si>
    <t>C01-components-entry,C02-button-metrics</t>
  </si>
  <si>
    <t>本轮相关缺口仍受阻</t>
  </si>
  <si>
    <t>按31条逐步骤记录，不把所有缺口归于开发。</t>
  </si>
  <si>
    <t>本轮新增问题</t>
  </si>
  <si>
    <t>依据</t>
  </si>
  <si>
    <t>实际差异</t>
  </si>
  <si>
    <t>修改建议</t>
  </si>
  <si>
    <t>关联用例</t>
  </si>
  <si>
    <t>负责人</t>
  </si>
  <si>
    <t>原UI-W2-50-2步骤2；规范5.7/7.3</t>
  </si>
  <si>
    <t>FREIGHT+有效名称/分组/币种保存</t>
  </si>
  <si>
    <t>UI-W2-50-2；UI-M1-022仅要求明确反馈，已通过</t>
  </si>
  <si>
    <t>F07-fee-duplicate-result</t>
  </si>
  <si>
    <t>待修改/未复测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</si>
</sst>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yyyy\-mm\-dd\ hh:mm"/>
  </numFmts>
  <fonts count="31">
    <font>
      <sz val="11"/>
      <name val="Carlito"/>
      <charset val="134"/>
    </font>
    <font>
      <b/>
      <sz val="11"/>
      <color rgb="FF233B61"/>
      <name val="SimSun"/>
      <charset val="134"/>
    </font>
    <font>
      <sz val="11"/>
      <color rgb="FF25344A"/>
      <name val="SimSun"/>
      <charset val="134"/>
    </font>
    <font>
      <b/>
      <sz val="16"/>
      <color rgb="FF25344A"/>
      <name val="SimSun"/>
      <charset val="134"/>
    </font>
    <font>
      <b/>
      <sz val="13"/>
      <color rgb="FF25344A"/>
      <name val="SimSun"/>
      <charset val="134"/>
    </font>
    <font>
      <sz val="10"/>
      <color rgb="FF243247"/>
      <name val="Arial"/>
      <charset val="134"/>
    </font>
    <font>
      <b/>
      <sz val="14"/>
      <color rgb="FF1F4E78"/>
      <name val="Arial"/>
      <charset val="134"/>
    </font>
    <font>
      <b/>
      <sz val="10"/>
      <color rgb="FFFFFFFF"/>
      <name val="Arial"/>
      <charset val="134"/>
    </font>
    <font>
      <sz val="10"/>
      <color rgb="FF0563C1"/>
      <name val="Arial"/>
      <charset val="134"/>
    </font>
    <font>
      <sz val="10"/>
      <color rgb="FF1F4E78"/>
      <name val="Arial"/>
      <charset val="134"/>
    </font>
    <font>
      <b/>
      <sz val="10"/>
      <color rgb="FF243247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E8EE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5DB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FFF8E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9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0" borderId="4" applyNumberFormat="0" applyAlignment="0" applyProtection="0">
      <alignment vertical="center"/>
    </xf>
    <xf numFmtId="0" fontId="21" fillId="11" borderId="5" applyNumberFormat="0" applyAlignment="0" applyProtection="0">
      <alignment vertical="center"/>
    </xf>
    <xf numFmtId="0" fontId="22" fillId="11" borderId="4" applyNumberFormat="0" applyAlignment="0" applyProtection="0">
      <alignment vertical="center"/>
    </xf>
    <xf numFmtId="0" fontId="23" fillId="12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0" fillId="0" borderId="0"/>
  </cellStyleXfs>
  <cellXfs count="27">
    <xf numFmtId="0" fontId="0" fillId="0" borderId="0" xfId="49"/>
    <xf numFmtId="0" fontId="1" fillId="2" borderId="0" xfId="49" applyNumberFormat="1" applyFont="1" applyFill="1" applyBorder="1" applyAlignment="1">
      <alignment horizontal="center" vertical="center" wrapText="1"/>
    </xf>
    <xf numFmtId="0" fontId="2" fillId="3" borderId="0" xfId="49" applyNumberFormat="1" applyFont="1" applyFill="1" applyBorder="1" applyAlignment="1">
      <alignment vertical="top" wrapText="1"/>
    </xf>
    <xf numFmtId="0" fontId="2" fillId="4" borderId="0" xfId="49" applyNumberFormat="1" applyFont="1" applyFill="1" applyBorder="1" applyAlignment="1">
      <alignment vertical="top" wrapText="1"/>
    </xf>
    <xf numFmtId="0" fontId="2" fillId="5" borderId="0" xfId="49" applyNumberFormat="1" applyFont="1" applyFill="1" applyBorder="1" applyAlignment="1">
      <alignment vertical="top" wrapText="1"/>
    </xf>
    <xf numFmtId="0" fontId="1" fillId="2" borderId="0" xfId="49" applyNumberFormat="1" applyFont="1" applyFill="1" applyBorder="1" applyAlignment="1">
      <alignment horizontal="center" vertical="top" wrapText="1"/>
    </xf>
    <xf numFmtId="0" fontId="3" fillId="0" borderId="0" xfId="49" applyNumberFormat="1" applyFont="1" applyFill="1" applyBorder="1" applyAlignment="1">
      <alignment vertical="top"/>
    </xf>
    <xf numFmtId="0" fontId="2" fillId="0" borderId="0" xfId="49" applyNumberFormat="1" applyFont="1" applyFill="1" applyBorder="1" applyAlignment="1">
      <alignment vertical="top"/>
    </xf>
    <xf numFmtId="0" fontId="2" fillId="0" borderId="0" xfId="49" applyNumberFormat="1" applyFont="1" applyFill="1" applyBorder="1" applyAlignment="1">
      <alignment vertical="top" wrapText="1"/>
    </xf>
    <xf numFmtId="0" fontId="1" fillId="2" borderId="0" xfId="49" applyNumberFormat="1" applyFont="1" applyFill="1" applyBorder="1" applyAlignment="1">
      <alignment horizontal="center" vertical="center"/>
    </xf>
    <xf numFmtId="0" fontId="4" fillId="0" borderId="0" xfId="49" applyNumberFormat="1" applyFont="1" applyFill="1" applyBorder="1" applyAlignment="1">
      <alignment vertical="top"/>
    </xf>
    <xf numFmtId="0" fontId="4" fillId="0" borderId="0" xfId="49" applyNumberFormat="1" applyFont="1" applyFill="1" applyBorder="1" applyAlignment="1">
      <alignment vertical="top" wrapText="1"/>
    </xf>
    <xf numFmtId="0" fontId="4" fillId="0" borderId="0" xfId="49" applyNumberFormat="1" applyFont="1" applyFill="1" applyBorder="1"/>
    <xf numFmtId="0" fontId="2" fillId="6" borderId="0" xfId="49" applyNumberFormat="1" applyFont="1" applyFill="1" applyBorder="1" applyAlignment="1">
      <alignment vertical="top" wrapText="1"/>
    </xf>
    <xf numFmtId="0" fontId="2" fillId="4" borderId="0" xfId="49" applyNumberFormat="1" applyFont="1" applyFill="1" applyBorder="1" applyAlignment="1">
      <alignment horizontal="center" vertical="top" wrapText="1"/>
    </xf>
    <xf numFmtId="0" fontId="2" fillId="3" borderId="0" xfId="49" applyNumberFormat="1" applyFont="1" applyFill="1" applyBorder="1" applyAlignment="1">
      <alignment horizontal="center" vertical="top" wrapText="1"/>
    </xf>
    <xf numFmtId="0" fontId="2" fillId="5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6" fillId="0" borderId="0" xfId="0" applyNumberFormat="1" applyFont="1" applyFill="1" applyBorder="1" applyAlignment="1">
      <alignment vertical="top"/>
    </xf>
    <xf numFmtId="0" fontId="7" fillId="7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Border="1" applyAlignment="1">
      <alignment vertical="top" wrapText="1"/>
    </xf>
    <xf numFmtId="0" fontId="9" fillId="8" borderId="0" xfId="0" applyNumberFormat="1" applyFont="1" applyFill="1" applyBorder="1" applyAlignment="1">
      <alignment vertical="top" wrapText="1"/>
    </xf>
    <xf numFmtId="176" fontId="9" fillId="8" borderId="0" xfId="0" applyNumberFormat="1" applyFont="1" applyFill="1" applyBorder="1" applyAlignment="1">
      <alignment vertical="top" wrapText="1"/>
    </xf>
    <xf numFmtId="0" fontId="10" fillId="0" borderId="0" xfId="0" applyNumberFormat="1" applyFont="1" applyFill="1" applyBorder="1" applyAlignment="1">
      <alignment vertical="top" wrapText="1"/>
    </xf>
    <xf numFmtId="1" fontId="10" fillId="0" borderId="0" xfId="0" applyNumberFormat="1" applyFont="1" applyFill="1" applyBorder="1" applyAlignment="1">
      <alignment vertical="top" wrapText="1"/>
    </xf>
    <xf numFmtId="177" fontId="9" fillId="8" borderId="0" xfId="0" applyNumberFormat="1" applyFont="1" applyFill="1" applyBorder="1" applyAlignment="1">
      <alignment vertical="top" wrapText="1"/>
    </xf>
    <xf numFmtId="0" fontId="6" fillId="0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4">
    <dxf>
      <font>
        <color rgb="FF375623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color rgb="FF595959"/>
      </font>
      <fill>
        <patternFill patternType="solid">
          <bgColor rgb="FFE7E6E6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color rgb="FFA52E28"/>
      </font>
      <fill>
        <patternFill patternType="solid">
          <bgColor rgb="FFFDE8E7"/>
        </patternFill>
      </fill>
    </dxf>
    <dxf>
      <font>
        <color rgb="FF815A10"/>
      </font>
      <fill>
        <patternFill patternType="solid">
          <bgColor rgb="FFFFF0CF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PivotStylePreset2_Accent1" table="0" count="10" xr9:uid="{267968C8-6FFD-4C36-ACC1-9EA1FD1885CA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7" name="CurrentCases" displayName="CurrentCases" ref="A16:N157" totalsRowShown="0">
  <tableColumns count="14">
    <tableColumn id="1" name="用例ID"/>
    <tableColumn id="2" name="W2工作包"/>
    <tableColumn id="3" name="用例名称"/>
    <tableColumn id="4" name="最近执行结果"/>
    <tableColumn id="5" name="主数据轮次覆盖"/>
    <tableColumn id="6" name="最近执行基线"/>
    <tableColumn id="7" name="变化或判定摘要"/>
    <tableColumn id="8" name="关联问题ID"/>
    <tableColumn id="9" name="步骤与补测入口"/>
    <tableColumn id="10" name="原人工复核"/>
    <tableColumn id="11" name="本轮人工复核"/>
    <tableColumn id="12" name="复核人"/>
    <tableColumn id="13" name="复核时间"/>
    <tableColumn id="14" name="下一步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8" name="CaseSteps" displayName="CaseSteps" ref="A165:P623" totalsRowShown="0">
  <tableColumns count="16">
    <tableColumn id="1" name="步骤ID"/>
    <tableColumn id="2" name="用例ID"/>
    <tableColumn id="3" name="执行层次"/>
    <tableColumn id="4" name="具体操作"/>
    <tableColumn id="5" name="预期结果"/>
    <tableColumn id="6" name="已有实际表现"/>
    <tableColumn id="7" name="步骤结果"/>
    <tableColumn id="8" name="缺判据或样例"/>
    <tableColumn id="9" name="规范定位"/>
    <tableColumn id="10" name="证据链接"/>
    <tableColumn id="11" name="建议补齐角色"/>
    <tableColumn id="12" name="补测数据要求"/>
    <tableColumn id="13" name="下一步"/>
    <tableColumn id="14" name="准备责任人"/>
    <tableColumn id="15" name="计划复测日"/>
    <tableColumn id="16" name="人工步骤意见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9" name="IssueFollowup" displayName="IssueFollowup" ref="A10:T29" totalsRowShown="0">
  <tableColumns count="20">
    <tableColumn id="1" name="问题ID"/>
    <tableColumn id="2" name="类型"/>
    <tableColumn id="3" name="等级"/>
    <tableColumn id="4" name="页面或对象"/>
    <tableColumn id="5" name="跟进状态"/>
    <tableColumn id="6" name="本轮复核覆盖"/>
    <tableColumn id="7" name="实际差异或复核表现"/>
    <tableColumn id="8" name="修改或补齐建议"/>
    <tableColumn id="9" name="验收标准"/>
    <tableColumn id="10" name="关联用例ID"/>
    <tableColumn id="11" name="证据链接"/>
    <tableColumn id="12" name="缺条件"/>
    <tableColumn id="13" name="建议责任角色"/>
    <tableColumn id="14" name="责任人"/>
    <tableColumn id="15" name="计划完成日期"/>
    <tableColumn id="16" name="采用或修复版本"/>
    <tableColumn id="17" name="复测日期"/>
    <tableColumn id="18" name="复测结果"/>
    <tableColumn id="19" name="复测证据"/>
    <tableColumn id="20" name="关闭核对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1" name="BusinessUICases" displayName="BusinessUICases" ref="A1:Q102" totalsRowShown="0">
  <autoFilter xmlns:etc="http://www.wps.cn/officeDocument/2017/etCustomData" ref="A1:Q102" etc:filterBottomFollowUsedRange="0"/>
  <tableColumns count="17">
    <tableColumn id="1" name="用例名称"/>
    <tableColumn id="2" name="所属模块"/>
    <tableColumn id="3" name="前置条件"/>
    <tableColumn id="4" name="步骤描述"/>
    <tableColumn id="5" name="预期结果"/>
    <tableColumn id="6" name="用例等级"/>
    <tableColumn id="7" name="备注"/>
    <tableColumn id="8" name="执行状态"/>
    <tableColumn id="9" name="实际结果/证据"/>
    <tableColumn id="10" name="人工二次复核"/>
    <tableColumn id="11" name="本次原候选执行状态"/>
    <tableColumn id="12" name="本次说明（原H/I保留）"/>
    <tableColumn id="13" name="本次Build/覆盖"/>
    <tableColumn id="14" name="复核状态（fd786de 主数据轮次）"/>
    <tableColumn id="15" name="复核实际/证据（保留原H-M）"/>
    <tableColumn id="16" name="本轮Build与范围"/>
    <tableColumn id="17" name="相对上一轮的变化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2" name="TemplateUICases" displayName="TemplateUICases" ref="A1:M41" totalsRowShown="0">
  <autoFilter xmlns:etc="http://www.wps.cn/officeDocument/2017/etCustomData" ref="A1:M41" etc:filterBottomFollowUsedRange="0"/>
  <tableColumns count="13">
    <tableColumn id="1" name="用例名称"/>
    <tableColumn id="2" name="所属模块"/>
    <tableColumn id="3" name="前置条件"/>
    <tableColumn id="4" name="步骤描述"/>
    <tableColumn id="5" name="预期结果"/>
    <tableColumn id="6" name="用例等级"/>
    <tableColumn id="7" name="备注"/>
    <tableColumn id="8" name="执行状态"/>
    <tableColumn id="9" name="实际结果/证据"/>
    <tableColumn id="10" name="人工二次复核"/>
    <tableColumn id="11" name="本次执行状态（2026-10-14）"/>
    <tableColumn id="12" name="本次实际结果/证据（原H/I/J保留）"/>
    <tableColumn id="13" name="本次Build/覆盖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3" name="WeekScope" displayName="WeekScope" ref="A17:H79" totalsRowShown="0">
  <autoFilter xmlns:etc="http://www.wps.cn/officeDocument/2017/etCustomData" ref="A17:H79" etc:filterBottomFollowUsedRange="0"/>
  <tableColumns count="8">
    <tableColumn id="1" name="源序号"/>
    <tableColumn id="2" name="原表行"/>
    <tableColumn id="3" name="业务区域"/>
    <tableColumn id="4" name="工作包"/>
    <tableColumn id="5" name="原始来源"/>
    <tableColumn id="6" name="W2阶段"/>
    <tableColumn id="7" name="新版用例编号"/>
    <tableColumn id="8" name="准入状态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4" name="ReviewIndex" displayName="ReviewIndex" ref="A85:F109" totalsRowShown="0">
  <autoFilter xmlns:etc="http://www.wps.cn/officeDocument/2017/etCustomData" ref="A85:F109" etc:filterBottomFollowUsedRange="0"/>
  <tableColumns count="6">
    <tableColumn id="1" name="引用ID"/>
    <tableColumn id="2" name="原优先级"/>
    <tableColumn id="3" name="页面/模块"/>
    <tableColumn id="4" name="record_id"/>
    <tableColumn id="5" name="原始确认状态"/>
    <tableColumn id="6" name="说明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5" name="FullNormAuditIndex" displayName="FullNormAuditIndex" ref="A142:H182" totalsRowShown="0">
  <autoFilter xmlns:etc="http://www.wps.cn/officeDocument/2017/etCustomData" ref="A142:H182" etc:filterBottomFollowUsedRange="0"/>
  <tableColumns count="8">
    <tableColumn id="1" name="用例编号"/>
    <tableColumn id="2" name="原状态"/>
    <tableColumn id="3" name="规范依据"/>
    <tableColumn id="4" name="明确规则与复核结论"/>
    <tableColumn id="5" name="规则性质"/>
    <tableColumn id="6" name="本次状态"/>
    <tableColumn id="7" name="后续缺口"/>
    <tableColumn id="8" name="原证据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6" name="TemplateModificationList" displayName="TemplateModificationList" ref="A1:K33" totalsRowShown="0">
  <autoFilter xmlns:etc="http://www.wps.cn/officeDocument/2017/etCustomData" ref="A1:K33" etc:filterBottomFollowUsedRange="0"/>
  <tableColumns count="11">
    <tableColumn id="1" name="编号"/>
    <tableColumn id="2" name="类型"/>
    <tableColumn id="3" name="等级"/>
    <tableColumn id="4" name="页面/对象"/>
    <tableColumn id="5" name="规范依据"/>
    <tableColumn id="6" name="实际情况"/>
    <tableColumn id="7" name="修改或补齐建议"/>
    <tableColumn id="8" name="验收标准"/>
    <tableColumn id="9" name="相关用例"/>
    <tableColumn id="10" name="证据"/>
    <tableColumn id="11" name="状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&#35777;&#25454;&#32034;&#24341;.html#prior-C02-button-metrics" TargetMode="External"/><Relationship Id="rId98" Type="http://schemas.openxmlformats.org/officeDocument/2006/relationships/hyperlink" Target="&#35777;&#25454;&#32034;&#24341;.html#prior-T12-last-page" TargetMode="External"/><Relationship Id="rId97" Type="http://schemas.openxmlformats.org/officeDocument/2006/relationships/hyperlink" Target="&#35777;&#25454;&#32034;&#24341;.html#prior-T10-confirm-19" TargetMode="External"/><Relationship Id="rId96" Type="http://schemas.openxmlformats.org/officeDocument/2006/relationships/hyperlink" Target="&#35777;&#25454;&#32034;&#24341;.html#prior-T11-page2-selection" TargetMode="External"/><Relationship Id="rId95" Type="http://schemas.openxmlformats.org/officeDocument/2006/relationships/hyperlink" Target="&#35777;&#25454;&#32034;&#24341;.html#prior-T09-half-selected" TargetMode="External"/><Relationship Id="rId94" Type="http://schemas.openxmlformats.org/officeDocument/2006/relationships/hyperlink" Target="&#35777;&#25454;&#32034;&#24341;.html#prior-T02-query-loading" TargetMode="External"/><Relationship Id="rId93" Type="http://schemas.openxmlformats.org/officeDocument/2006/relationships/hyperlink" Target="&#35777;&#25454;&#32034;&#24341;.html#prior-C01-components-entry" TargetMode="External"/><Relationship Id="rId92" Type="http://schemas.openxmlformats.org/officeDocument/2006/relationships/hyperlink" Target="&#35777;&#25454;&#32034;&#24341;.html#prior-E05-500-return" TargetMode="External"/><Relationship Id="rId91" Type="http://schemas.openxmlformats.org/officeDocument/2006/relationships/hyperlink" Target="&#35777;&#25454;&#32034;&#24341;.html#prior-E04-500-retry" TargetMode="External"/><Relationship Id="rId90" Type="http://schemas.openxmlformats.org/officeDocument/2006/relationships/hyperlink" Target="&#35777;&#25454;&#32034;&#24341;.html#prior-E03-500-display" TargetMode="External"/><Relationship Id="rId9" Type="http://schemas.openxmlformats.org/officeDocument/2006/relationships/hyperlink" Target="&#35777;&#25454;&#32034;&#24341;.html#master-C07-switch-currency" TargetMode="External"/><Relationship Id="rId89" Type="http://schemas.openxmlformats.org/officeDocument/2006/relationships/hyperlink" Target="&#35777;&#25454;&#32034;&#24341;.html#prior-E02-403-return" TargetMode="External"/><Relationship Id="rId88" Type="http://schemas.openxmlformats.org/officeDocument/2006/relationships/hyperlink" Target="&#35777;&#25454;&#32034;&#24341;.html#prior-E01-403-display" TargetMode="External"/><Relationship Id="rId87" Type="http://schemas.openxmlformats.org/officeDocument/2006/relationships/hyperlink" Target="&#35777;&#25454;&#32034;&#24341;.html#prior-T27-form-tablet" TargetMode="External"/><Relationship Id="rId86" Type="http://schemas.openxmlformats.org/officeDocument/2006/relationships/hyperlink" Target="&#35777;&#25454;&#32034;&#24341;.html#prior-T35-refresh-login" TargetMode="External"/><Relationship Id="rId85" Type="http://schemas.openxmlformats.org/officeDocument/2006/relationships/hyperlink" Target="&#35777;&#25454;&#32034;&#24341;.html#prior-T38-import-reopen" TargetMode="External"/><Relationship Id="rId84" Type="http://schemas.openxmlformats.org/officeDocument/2006/relationships/hyperlink" Target="&#35777;&#25454;&#32034;&#24341;.html#prior-T37-import-empty" TargetMode="External"/><Relationship Id="rId83" Type="http://schemas.openxmlformats.org/officeDocument/2006/relationships/hyperlink" Target="&#35777;&#25454;&#32034;&#24341;.html#prior-T36-import-spec" TargetMode="External"/><Relationship Id="rId82" Type="http://schemas.openxmlformats.org/officeDocument/2006/relationships/hyperlink" Target="&#35777;&#25454;&#32034;&#24341;.html#prior-T31-step-return" TargetMode="External"/><Relationship Id="rId81" Type="http://schemas.openxmlformats.org/officeDocument/2006/relationships/hyperlink" Target="&#35777;&#25454;&#32034;&#24341;.html#prior-T30-step-next" TargetMode="External"/><Relationship Id="rId80" Type="http://schemas.openxmlformats.org/officeDocument/2006/relationships/hyperlink" Target="&#35777;&#25454;&#32034;&#24341;.html#prior-T29-step-validation" TargetMode="External"/><Relationship Id="rId8" Type="http://schemas.openxmlformats.org/officeDocument/2006/relationships/hyperlink" Target="&#35777;&#25454;&#32034;&#24341;.html#master-C03-rate-metrics" TargetMode="External"/><Relationship Id="rId79" Type="http://schemas.openxmlformats.org/officeDocument/2006/relationships/hyperlink" Target="&#35777;&#25454;&#32034;&#24341;.html#prior-T28-form-cancel" TargetMode="External"/><Relationship Id="rId78" Type="http://schemas.openxmlformats.org/officeDocument/2006/relationships/hyperlink" Target="&#35777;&#25454;&#32034;&#24341;.html#prior-T26-note-201" TargetMode="External"/><Relationship Id="rId77" Type="http://schemas.openxmlformats.org/officeDocument/2006/relationships/hyperlink" Target="&#35777;&#25454;&#32034;&#24341;.html#prior-T26-note-200" TargetMode="External"/><Relationship Id="rId76" Type="http://schemas.openxmlformats.org/officeDocument/2006/relationships/hyperlink" Target="&#35777;&#25454;&#32034;&#24341;.html#prior-T26-note-199" TargetMode="External"/><Relationship Id="rId75" Type="http://schemas.openxmlformats.org/officeDocument/2006/relationships/hyperlink" Target="&#35777;&#25454;&#32034;&#24341;.html#prior-T25-form-association" TargetMode="External"/><Relationship Id="rId74" Type="http://schemas.openxmlformats.org/officeDocument/2006/relationships/hyperlink" Target="&#35777;&#25454;&#32034;&#24341;.html#prior-T24-field-corrected" TargetMode="External"/><Relationship Id="rId73" Type="http://schemas.openxmlformats.org/officeDocument/2006/relationships/hyperlink" Target="&#35777;&#25454;&#32034;&#24341;.html#prior-T23-form-required" TargetMode="External"/><Relationship Id="rId72" Type="http://schemas.openxmlformats.org/officeDocument/2006/relationships/hyperlink" Target="&#35777;&#25454;&#32034;&#24341;.html#prior-T17-drawer-loading" TargetMode="External"/><Relationship Id="rId71" Type="http://schemas.openxmlformats.org/officeDocument/2006/relationships/hyperlink" Target="&#35777;&#25454;&#32034;&#24341;.html#prior-T44-final-list" TargetMode="External"/><Relationship Id="rId70" Type="http://schemas.openxmlformats.org/officeDocument/2006/relationships/hyperlink" Target="&#35777;&#25454;&#32034;&#24341;.html#prior-T43-drawer-tablet" TargetMode="External"/><Relationship Id="rId7" Type="http://schemas.openxmlformats.org/officeDocument/2006/relationships/hyperlink" Target="&#35777;&#25454;&#32034;&#24341;.html#master-R19-loaded" TargetMode="External"/><Relationship Id="rId69" Type="http://schemas.openxmlformats.org/officeDocument/2006/relationships/hyperlink" Target="&#35777;&#25454;&#32034;&#24341;.html#prior-T18-drawer-loaded" TargetMode="External"/><Relationship Id="rId68" Type="http://schemas.openxmlformats.org/officeDocument/2006/relationships/hyperlink" Target="&#35777;&#25454;&#32034;&#24341;.html#prior-T07-delete-confirm" TargetMode="External"/><Relationship Id="rId67" Type="http://schemas.openxmlformats.org/officeDocument/2006/relationships/hyperlink" Target="&#35777;&#25454;&#32034;&#24341;.html#prior-T08-selection-cleared" TargetMode="External"/><Relationship Id="rId66" Type="http://schemas.openxmlformats.org/officeDocument/2006/relationships/hyperlink" Target="&#35777;&#25454;&#32034;&#24341;.html#prior-T05-valid-filter" TargetMode="External"/><Relationship Id="rId65" Type="http://schemas.openxmlformats.org/officeDocument/2006/relationships/hyperlink" Target="&#35777;&#25454;&#32034;&#24341;.html#prior-T04-reset-restored" TargetMode="External"/><Relationship Id="rId64" Type="http://schemas.openxmlformats.org/officeDocument/2006/relationships/hyperlink" Target="&#35777;&#25454;&#32034;&#24341;.html#prior-T03-query-empty" TargetMode="External"/><Relationship Id="rId63" Type="http://schemas.openxmlformats.org/officeDocument/2006/relationships/hyperlink" Target="&#35777;&#25454;&#32034;&#24341;.html#prior-T06-selected" TargetMode="External"/><Relationship Id="rId62" Type="http://schemas.openxmlformats.org/officeDocument/2006/relationships/hyperlink" Target="&#35777;&#25454;&#32034;&#24341;.html#prior-T14-list-1280" TargetMode="External"/><Relationship Id="rId61" Type="http://schemas.openxmlformats.org/officeDocument/2006/relationships/hyperlink" Target="&#35777;&#25454;&#32034;&#24341;.html#prior-T16-tablet-horizontal" TargetMode="External"/><Relationship Id="rId60" Type="http://schemas.openxmlformats.org/officeDocument/2006/relationships/hyperlink" Target="&#35777;&#25454;&#32034;&#24341;.html#prior-T13-container-metrics" TargetMode="External"/><Relationship Id="rId6" Type="http://schemas.openxmlformats.org/officeDocument/2006/relationships/hyperlink" Target="&#35777;&#25454;&#32034;&#24341;.html#master-F07-fee-duplicate-result" TargetMode="External"/><Relationship Id="rId59" Type="http://schemas.openxmlformats.org/officeDocument/2006/relationships/hyperlink" Target="&#35777;&#25454;&#32034;&#24341;.html#prior-T01-list-baseline" TargetMode="External"/><Relationship Id="rId58" Type="http://schemas.openxmlformats.org/officeDocument/2006/relationships/hyperlink" Target="&#35777;&#25454;&#32034;&#24341;.html#master-C09-cards-and-tabs" TargetMode="External"/><Relationship Id="rId57" Type="http://schemas.openxmlformats.org/officeDocument/2006/relationships/hyperlink" Target="&#35777;&#25454;&#32034;&#24341;.html#master-C03-rate-visual" TargetMode="External"/><Relationship Id="rId56" Type="http://schemas.openxmlformats.org/officeDocument/2006/relationships/hyperlink" Target="&#35777;&#25454;&#32034;&#24341;.html#master-C04-rate-edit" TargetMode="External"/><Relationship Id="rId55" Type="http://schemas.openxmlformats.org/officeDocument/2006/relationships/hyperlink" Target="&#35777;&#25454;&#32034;&#24341;.html#master-C01-currency-edit" TargetMode="External"/><Relationship Id="rId54" Type="http://schemas.openxmlformats.org/officeDocument/2006/relationships/hyperlink" Target="&#35777;&#25454;&#32034;&#24341;.html#master-F06-fee-duplicate-ready" TargetMode="External"/><Relationship Id="rId53" Type="http://schemas.openxmlformats.org/officeDocument/2006/relationships/hyperlink" Target="&#35777;&#25454;&#32034;&#24341;.html#master-F05-fee-empty-submit" TargetMode="External"/><Relationship Id="rId52" Type="http://schemas.openxmlformats.org/officeDocument/2006/relationships/hyperlink" Target="&#35777;&#25454;&#32034;&#24341;.html#master-F02-fee-edit-unsaved" TargetMode="External"/><Relationship Id="rId51" Type="http://schemas.openxmlformats.org/officeDocument/2006/relationships/hyperlink" Target="&#35777;&#25454;&#32034;&#24341;.html#master-F01-fee-edit" TargetMode="External"/><Relationship Id="rId50" Type="http://schemas.openxmlformats.org/officeDocument/2006/relationships/hyperlink" Target="&#35777;&#25454;&#32034;&#24341;.html#master-S20-relation-loaded" TargetMode="External"/><Relationship Id="rId5" Type="http://schemas.openxmlformats.org/officeDocument/2006/relationships/hyperlink" Target="&#35777;&#25454;&#32034;&#24341;.html#master-F04-fee-create" TargetMode="External"/><Relationship Id="rId49" Type="http://schemas.openxmlformats.org/officeDocument/2006/relationships/hyperlink" Target="&#35777;&#25454;&#32034;&#24341;.html#master-S20-relation-empty" TargetMode="External"/><Relationship Id="rId48" Type="http://schemas.openxmlformats.org/officeDocument/2006/relationships/hyperlink" Target="&#35777;&#25454;&#32034;&#24341;.html#master-S19-relation-loaded" TargetMode="External"/><Relationship Id="rId47" Type="http://schemas.openxmlformats.org/officeDocument/2006/relationships/hyperlink" Target="&#35777;&#25454;&#32034;&#24341;.html#master-S19-relation-empty" TargetMode="External"/><Relationship Id="rId46" Type="http://schemas.openxmlformats.org/officeDocument/2006/relationships/hyperlink" Target="&#35777;&#25454;&#32034;&#24341;.html#master-R20-empty" TargetMode="External"/><Relationship Id="rId45" Type="http://schemas.openxmlformats.org/officeDocument/2006/relationships/hyperlink" Target="&#35777;&#25454;&#32034;&#24341;.html#master-R19-empty" TargetMode="External"/><Relationship Id="rId44" Type="http://schemas.openxmlformats.org/officeDocument/2006/relationships/hyperlink" Target="&#35777;&#25454;&#32034;&#24341;.html#master-R18-empty" TargetMode="External"/><Relationship Id="rId43" Type="http://schemas.openxmlformats.org/officeDocument/2006/relationships/hyperlink" Target="&#35777;&#25454;&#32034;&#24341;.html#master-R17-empty" TargetMode="External"/><Relationship Id="rId42" Type="http://schemas.openxmlformats.org/officeDocument/2006/relationships/hyperlink" Target="&#35777;&#25454;&#32034;&#24341;.html#master-R16-loaded" TargetMode="External"/><Relationship Id="rId41" Type="http://schemas.openxmlformats.org/officeDocument/2006/relationships/hyperlink" Target="&#35777;&#25454;&#32034;&#24341;.html#master-R16-empty" TargetMode="External"/><Relationship Id="rId40" Type="http://schemas.openxmlformats.org/officeDocument/2006/relationships/hyperlink" Target="&#35777;&#25454;&#32034;&#24341;.html#master-R15-loaded" TargetMode="External"/><Relationship Id="rId4" Type="http://schemas.openxmlformats.org/officeDocument/2006/relationships/hyperlink" Target="&#35777;&#25454;&#32034;&#24341;.html#master-R18-loaded" TargetMode="External"/><Relationship Id="rId39" Type="http://schemas.openxmlformats.org/officeDocument/2006/relationships/hyperlink" Target="&#35777;&#25454;&#32034;&#24341;.html#master-R15-empty" TargetMode="External"/><Relationship Id="rId38" Type="http://schemas.openxmlformats.org/officeDocument/2006/relationships/hyperlink" Target="&#35777;&#25454;&#32034;&#24341;.html#master-R14-loaded" TargetMode="External"/><Relationship Id="rId37" Type="http://schemas.openxmlformats.org/officeDocument/2006/relationships/hyperlink" Target="&#35777;&#25454;&#32034;&#24341;.html#master-R14-empty" TargetMode="External"/><Relationship Id="rId36" Type="http://schemas.openxmlformats.org/officeDocument/2006/relationships/hyperlink" Target="&#35777;&#25454;&#32034;&#24341;.html#master-R13-empty" TargetMode="External"/><Relationship Id="rId35" Type="http://schemas.openxmlformats.org/officeDocument/2006/relationships/hyperlink" Target="&#35777;&#25454;&#32034;&#24341;.html#master-R12-loaded" TargetMode="External"/><Relationship Id="rId34" Type="http://schemas.openxmlformats.org/officeDocument/2006/relationships/hyperlink" Target="&#35777;&#25454;&#32034;&#24341;.html#master-R12-empty" TargetMode="External"/><Relationship Id="rId33" Type="http://schemas.openxmlformats.org/officeDocument/2006/relationships/hyperlink" Target="&#35777;&#25454;&#32034;&#24341;.html#master-R11-loaded" TargetMode="External"/><Relationship Id="rId32" Type="http://schemas.openxmlformats.org/officeDocument/2006/relationships/hyperlink" Target="&#35777;&#25454;&#32034;&#24341;.html#master-R11-empty" TargetMode="External"/><Relationship Id="rId31" Type="http://schemas.openxmlformats.org/officeDocument/2006/relationships/hyperlink" Target="&#35777;&#25454;&#32034;&#24341;.html#master-R10-loaded" TargetMode="External"/><Relationship Id="rId30" Type="http://schemas.openxmlformats.org/officeDocument/2006/relationships/hyperlink" Target="&#35777;&#25454;&#32034;&#24341;.html#master-R10-empty" TargetMode="External"/><Relationship Id="rId3" Type="http://schemas.openxmlformats.org/officeDocument/2006/relationships/hyperlink" Target="&#35777;&#25454;&#32034;&#24341;.html" TargetMode="External"/><Relationship Id="rId29" Type="http://schemas.openxmlformats.org/officeDocument/2006/relationships/hyperlink" Target="&#35777;&#25454;&#32034;&#24341;.html#master-R9-loaded" TargetMode="External"/><Relationship Id="rId28" Type="http://schemas.openxmlformats.org/officeDocument/2006/relationships/hyperlink" Target="&#35777;&#25454;&#32034;&#24341;.html#master-R9-empty" TargetMode="External"/><Relationship Id="rId27" Type="http://schemas.openxmlformats.org/officeDocument/2006/relationships/hyperlink" Target="&#35777;&#25454;&#32034;&#24341;.html#master-R8-loaded" TargetMode="External"/><Relationship Id="rId26" Type="http://schemas.openxmlformats.org/officeDocument/2006/relationships/hyperlink" Target="&#35777;&#25454;&#32034;&#24341;.html#master-R8-empty" TargetMode="External"/><Relationship Id="rId25" Type="http://schemas.openxmlformats.org/officeDocument/2006/relationships/hyperlink" Target="&#35777;&#25454;&#32034;&#24341;.html#master-R7-loaded" TargetMode="External"/><Relationship Id="rId24" Type="http://schemas.openxmlformats.org/officeDocument/2006/relationships/hyperlink" Target="&#35777;&#25454;&#32034;&#24341;.html#master-R7-empty" TargetMode="External"/><Relationship Id="rId23" Type="http://schemas.openxmlformats.org/officeDocument/2006/relationships/hyperlink" Target="&#35777;&#25454;&#32034;&#24341;.html#master-R6-loaded" TargetMode="External"/><Relationship Id="rId22" Type="http://schemas.openxmlformats.org/officeDocument/2006/relationships/hyperlink" Target="&#35777;&#25454;&#32034;&#24341;.html#master-R6-empty" TargetMode="External"/><Relationship Id="rId21" Type="http://schemas.openxmlformats.org/officeDocument/2006/relationships/hyperlink" Target="&#35777;&#25454;&#32034;&#24341;.html#master-R5-loaded" TargetMode="External"/><Relationship Id="rId20" Type="http://schemas.openxmlformats.org/officeDocument/2006/relationships/hyperlink" Target="&#35777;&#25454;&#32034;&#24341;.html#master-R5-empty" TargetMode="External"/><Relationship Id="rId2" Type="http://schemas.openxmlformats.org/officeDocument/2006/relationships/table" Target="../tables/table2.xml"/><Relationship Id="rId19" Type="http://schemas.openxmlformats.org/officeDocument/2006/relationships/hyperlink" Target="&#35777;&#25454;&#32034;&#24341;.html#master-R4-loaded" TargetMode="External"/><Relationship Id="rId18" Type="http://schemas.openxmlformats.org/officeDocument/2006/relationships/hyperlink" Target="&#35777;&#25454;&#32034;&#24341;.html#master-R4-empty" TargetMode="External"/><Relationship Id="rId17" Type="http://schemas.openxmlformats.org/officeDocument/2006/relationships/hyperlink" Target="&#35777;&#25454;&#32034;&#24341;.html#master-M01-country-baseline" TargetMode="External"/><Relationship Id="rId16" Type="http://schemas.openxmlformats.org/officeDocument/2006/relationships/hyperlink" Target="&#35777;&#25454;&#32034;&#24341;.html#master-M02-country-empty" TargetMode="External"/><Relationship Id="rId15" Type="http://schemas.openxmlformats.org/officeDocument/2006/relationships/hyperlink" Target="&#35777;&#25454;&#32034;&#24341;.html#master-D02-dictionary-cancel" TargetMode="External"/><Relationship Id="rId14" Type="http://schemas.openxmlformats.org/officeDocument/2006/relationships/hyperlink" Target="&#35777;&#25454;&#32034;&#24341;.html#master-R13-reset" TargetMode="External"/><Relationship Id="rId13" Type="http://schemas.openxmlformats.org/officeDocument/2006/relationships/hyperlink" Target="&#35777;&#25454;&#32034;&#24341;.html#master-R13-loaded" TargetMode="External"/><Relationship Id="rId12" Type="http://schemas.openxmlformats.org/officeDocument/2006/relationships/hyperlink" Target="&#35777;&#25454;&#32034;&#24341;.html#master-R17-loaded" TargetMode="External"/><Relationship Id="rId110" Type="http://schemas.openxmlformats.org/officeDocument/2006/relationships/hyperlink" Target="&#35777;&#25454;&#32034;&#24341;.html#prior-C16-preview-exit" TargetMode="External"/><Relationship Id="rId11" Type="http://schemas.openxmlformats.org/officeDocument/2006/relationships/hyperlink" Target="&#35777;&#25454;&#32034;&#24341;.html#master-D01-dictionary-create" TargetMode="External"/><Relationship Id="rId109" Type="http://schemas.openxmlformats.org/officeDocument/2006/relationships/hyperlink" Target="&#35777;&#25454;&#32034;&#24341;.html#prior-C15-preview-tablet" TargetMode="External"/><Relationship Id="rId108" Type="http://schemas.openxmlformats.org/officeDocument/2006/relationships/hyperlink" Target="&#35777;&#25454;&#32034;&#24341;.html#prior-C12-preview-small" TargetMode="External"/><Relationship Id="rId107" Type="http://schemas.openxmlformats.org/officeDocument/2006/relationships/hyperlink" Target="&#35777;&#25454;&#32034;&#24341;.html#prior-C09-upload-auto-error" TargetMode="External"/><Relationship Id="rId106" Type="http://schemas.openxmlformats.org/officeDocument/2006/relationships/hyperlink" Target="&#35777;&#25454;&#32034;&#24341;.html#prior-C11-upload-cancel" TargetMode="External"/><Relationship Id="rId105" Type="http://schemas.openxmlformats.org/officeDocument/2006/relationships/hyperlink" Target="&#35777;&#25454;&#32034;&#24341;.html#prior-C08-upload-file-selected" TargetMode="External"/><Relationship Id="rId104" Type="http://schemas.openxmlformats.org/officeDocument/2006/relationships/hyperlink" Target="&#35777;&#25454;&#32034;&#24341;.html#prior-T41-form-768" TargetMode="External"/><Relationship Id="rId103" Type="http://schemas.openxmlformats.org/officeDocument/2006/relationships/hyperlink" Target="&#35777;&#25454;&#32034;&#24341;.html#prior-T39-list-1279" TargetMode="External"/><Relationship Id="rId102" Type="http://schemas.openxmlformats.org/officeDocument/2006/relationships/hyperlink" Target="&#35777;&#25454;&#32034;&#24341;.html#prior-C05-modal-default" TargetMode="External"/><Relationship Id="rId101" Type="http://schemas.openxmlformats.org/officeDocument/2006/relationships/hyperlink" Target="&#35777;&#25454;&#32034;&#24341;.html#prior-C04-input-filled" TargetMode="External"/><Relationship Id="rId100" Type="http://schemas.openxmlformats.org/officeDocument/2006/relationships/hyperlink" Target="&#35777;&#25454;&#32034;&#24341;.html#prior-C03-input-default" TargetMode="External"/><Relationship Id="rId10" Type="http://schemas.openxmlformats.org/officeDocument/2006/relationships/hyperlink" Target="&#35777;&#25454;&#32034;&#24341;.html#master-R20-loaded" TargetMode="Externa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&#35777;&#25454;&#32034;&#24341;.html#prior-C08-upload-file-selected" TargetMode="External"/><Relationship Id="rId8" Type="http://schemas.openxmlformats.org/officeDocument/2006/relationships/hyperlink" Target="&#35777;&#25454;&#32034;&#24341;.html#master-M02-country-empty" TargetMode="External"/><Relationship Id="rId7" Type="http://schemas.openxmlformats.org/officeDocument/2006/relationships/hyperlink" Target="&#35777;&#25454;&#32034;&#24341;.html#prior-T35-refresh-login" TargetMode="External"/><Relationship Id="rId6" Type="http://schemas.openxmlformats.org/officeDocument/2006/relationships/hyperlink" Target="&#35777;&#25454;&#32034;&#24341;.html#prior-T02-query-loading" TargetMode="External"/><Relationship Id="rId5" Type="http://schemas.openxmlformats.org/officeDocument/2006/relationships/hyperlink" Target="&#35777;&#25454;&#32034;&#24341;.html#prior-T27-form-tablet" TargetMode="External"/><Relationship Id="rId4" Type="http://schemas.openxmlformats.org/officeDocument/2006/relationships/hyperlink" Target="&#35777;&#25454;&#32034;&#24341;.html#master-C03-rate-metrics" TargetMode="External"/><Relationship Id="rId3" Type="http://schemas.openxmlformats.org/officeDocument/2006/relationships/hyperlink" Target="&#35777;&#25454;&#32034;&#24341;.html#prior-T01-list-baseline" TargetMode="External"/><Relationship Id="rId2" Type="http://schemas.openxmlformats.org/officeDocument/2006/relationships/hyperlink" Target="&#35777;&#25454;&#32034;&#24341;.html#master-C03-rate-visual" TargetMode="External"/><Relationship Id="rId16" Type="http://schemas.openxmlformats.org/officeDocument/2006/relationships/hyperlink" Target="&#35777;&#25454;&#32034;&#24341;.html#master-D01-dictionary-create" TargetMode="External"/><Relationship Id="rId15" Type="http://schemas.openxmlformats.org/officeDocument/2006/relationships/hyperlink" Target="&#35777;&#25454;&#32034;&#24341;.html#master-F07-fee-duplicate-result" TargetMode="External"/><Relationship Id="rId14" Type="http://schemas.openxmlformats.org/officeDocument/2006/relationships/hyperlink" Target="&#35777;&#25454;&#32034;&#24341;.html#master-R17-loaded" TargetMode="External"/><Relationship Id="rId13" Type="http://schemas.openxmlformats.org/officeDocument/2006/relationships/hyperlink" Target="&#35777;&#25454;&#32034;&#24341;.html#prior-E01-403-display" TargetMode="External"/><Relationship Id="rId12" Type="http://schemas.openxmlformats.org/officeDocument/2006/relationships/hyperlink" Target="&#35777;&#25454;&#32034;&#24341;.html#master-R18-loaded" TargetMode="External"/><Relationship Id="rId11" Type="http://schemas.openxmlformats.org/officeDocument/2006/relationships/hyperlink" Target="&#35777;&#25454;&#32034;&#24341;.html#master-C04-rate-edit" TargetMode="External"/><Relationship Id="rId10" Type="http://schemas.openxmlformats.org/officeDocument/2006/relationships/hyperlink" Target="&#35777;&#25454;&#32034;&#24341;.html#master-F04-fee-create" TargetMode="Externa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</sheetPr>
  <dimension ref="A1:P623"/>
  <sheetViews>
    <sheetView showGridLines="0" topLeftCell="A18" workbookViewId="0">
      <selection activeCell="A1" sqref="A1"/>
    </sheetView>
  </sheetViews>
  <sheetFormatPr defaultColWidth="9" defaultRowHeight="15"/>
  <cols>
    <col min="1" max="1" width="26" customWidth="1"/>
    <col min="2" max="2" width="17" customWidth="1"/>
    <col min="3" max="3" width="32" customWidth="1"/>
    <col min="4" max="4" width="30" customWidth="1"/>
    <col min="5" max="5" width="33" customWidth="1"/>
    <col min="6" max="6" width="36" customWidth="1"/>
    <col min="7" max="7" width="35" customWidth="1"/>
    <col min="8" max="8" width="28" customWidth="1"/>
    <col min="9" max="9" width="19" customWidth="1"/>
    <col min="10" max="11" width="23" customWidth="1"/>
    <col min="12" max="13" width="24" customWidth="1"/>
    <col min="14" max="14" width="26" customWidth="1"/>
    <col min="15" max="15" width="24" customWidth="1"/>
    <col min="16" max="16" width="23" customWidth="1"/>
  </cols>
  <sheetData>
    <row r="1" spans="1:16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ht="27" customHeight="1" spans="1:16">
      <c r="A2" s="18" t="s">
        <v>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</row>
    <row r="3" ht="30" customHeight="1" spans="1:16">
      <c r="A3" s="17" t="s">
        <v>1</v>
      </c>
      <c r="B3" s="17" t="s">
        <v>2</v>
      </c>
      <c r="C3" s="17" t="s">
        <v>3</v>
      </c>
      <c r="D3" s="17" t="s">
        <v>4</v>
      </c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</row>
    <row r="4" spans="1:16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</row>
    <row r="5" ht="32" customHeight="1" spans="1:16">
      <c r="A5" s="19" t="s">
        <v>5</v>
      </c>
      <c r="B5" s="19" t="s">
        <v>6</v>
      </c>
      <c r="C5" s="19" t="s">
        <v>7</v>
      </c>
      <c r="D5" s="19" t="s">
        <v>8</v>
      </c>
      <c r="E5" s="23" t="s">
        <v>9</v>
      </c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</row>
    <row r="6" ht="54" customHeight="1" spans="1:16">
      <c r="A6" s="24">
        <f>COUNTA(A17:A157)</f>
        <v>141</v>
      </c>
      <c r="B6" s="24">
        <f>COUNTIFS(E17:E157,"本轮已复核")</f>
        <v>31</v>
      </c>
      <c r="C6" s="24">
        <f>COUNTIFS(E17:E157,"本轮已复核",D17:D157,"通过")</f>
        <v>4</v>
      </c>
      <c r="D6" s="24">
        <f>COUNTIFS(E17:E157,"本轮已复核",D17:D157,"不通过")</f>
        <v>23</v>
      </c>
      <c r="E6" s="17" t="s">
        <v>10</v>
      </c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</row>
    <row r="7" spans="1:16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</row>
    <row r="8" ht="32" customHeight="1" spans="1:16">
      <c r="A8" s="19" t="s">
        <v>11</v>
      </c>
      <c r="B8" s="19" t="s">
        <v>12</v>
      </c>
      <c r="C8" s="19" t="s">
        <v>13</v>
      </c>
      <c r="D8" s="19" t="s">
        <v>14</v>
      </c>
      <c r="E8" s="23" t="s">
        <v>15</v>
      </c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</row>
    <row r="9" ht="42" customHeight="1" spans="1:16">
      <c r="A9" s="24">
        <f>COUNTIFS(E17:E157,"本轮已复核",D17:D157,"受阻")</f>
        <v>4</v>
      </c>
      <c r="B9" s="24">
        <f>COUNTIFS(E17:E157,"本轮未复核")</f>
        <v>70</v>
      </c>
      <c r="C9" s="24">
        <f>COUNTIFS(E17:E157,"本轮未重跑")</f>
        <v>40</v>
      </c>
      <c r="D9" s="24">
        <f>SUM(COUNTIFS(整改跟进!B11:B29,"已证实规范差异",整改跟进!F11:F29,"主数据轮次已核对"),COUNTIFS(整改跟进!B11:B29,"已证实交互差异",整改跟进!F11:F29,"主数据轮次已核对"))</f>
        <v>6</v>
      </c>
      <c r="E9" s="17" t="s">
        <v>16</v>
      </c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</row>
    <row r="10" spans="1:16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</row>
    <row r="11" ht="42" customHeight="1" spans="1:16">
      <c r="A11" s="17" t="s">
        <v>17</v>
      </c>
      <c r="B11" s="17" t="s">
        <v>18</v>
      </c>
      <c r="C11" s="17" t="s">
        <v>19</v>
      </c>
      <c r="D11" s="17" t="s">
        <v>20</v>
      </c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</row>
    <row r="12" ht="34" customHeight="1" spans="1:16">
      <c r="A12" s="17" t="s">
        <v>21</v>
      </c>
      <c r="B12" s="17" t="s">
        <v>22</v>
      </c>
      <c r="C12" s="17" t="s">
        <v>23</v>
      </c>
      <c r="D12" s="20" t="s">
        <v>24</v>
      </c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</row>
    <row r="13" ht="35" customHeight="1" spans="1:16">
      <c r="A13" s="17" t="s">
        <v>25</v>
      </c>
      <c r="B13" s="17" t="s">
        <v>26</v>
      </c>
      <c r="C13" s="17" t="s">
        <v>27</v>
      </c>
      <c r="D13" s="17" t="s">
        <v>28</v>
      </c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</row>
    <row r="14" ht="42" customHeight="1" spans="1:16">
      <c r="A14" s="17" t="s">
        <v>29</v>
      </c>
      <c r="B14" s="17" t="s">
        <v>30</v>
      </c>
      <c r="C14" s="17" t="s">
        <v>31</v>
      </c>
      <c r="D14" s="17" t="s">
        <v>32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</row>
    <row r="15" spans="1:16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</row>
    <row r="16" ht="32" customHeight="1" spans="1:16">
      <c r="A16" s="19" t="s">
        <v>33</v>
      </c>
      <c r="B16" s="19" t="s">
        <v>34</v>
      </c>
      <c r="C16" s="19" t="s">
        <v>35</v>
      </c>
      <c r="D16" s="19" t="s">
        <v>36</v>
      </c>
      <c r="E16" s="19" t="s">
        <v>37</v>
      </c>
      <c r="F16" s="19" t="s">
        <v>38</v>
      </c>
      <c r="G16" s="19" t="s">
        <v>39</v>
      </c>
      <c r="H16" s="19" t="s">
        <v>40</v>
      </c>
      <c r="I16" s="19" t="s">
        <v>41</v>
      </c>
      <c r="J16" s="19" t="s">
        <v>42</v>
      </c>
      <c r="K16" s="19" t="s">
        <v>43</v>
      </c>
      <c r="L16" s="19" t="s">
        <v>44</v>
      </c>
      <c r="M16" s="19" t="s">
        <v>45</v>
      </c>
      <c r="N16" s="19" t="s">
        <v>46</v>
      </c>
      <c r="O16" s="17"/>
      <c r="P16" s="17"/>
    </row>
    <row r="17" ht="39" customHeight="1" spans="1:16">
      <c r="A17" s="17" t="s">
        <v>47</v>
      </c>
      <c r="B17" s="17" t="s">
        <v>48</v>
      </c>
      <c r="C17" s="17" t="s">
        <v>49</v>
      </c>
      <c r="D17" s="17" t="s">
        <v>11</v>
      </c>
      <c r="E17" s="17" t="s">
        <v>50</v>
      </c>
      <c r="F17" s="17" t="s">
        <v>18</v>
      </c>
      <c r="G17" s="17" t="s">
        <v>51</v>
      </c>
      <c r="H17" s="17" t="s">
        <v>52</v>
      </c>
      <c r="I17" s="20" t="s">
        <v>53</v>
      </c>
      <c r="J17" s="17" t="s">
        <v>54</v>
      </c>
      <c r="K17" s="21" t="s">
        <v>54</v>
      </c>
      <c r="L17" s="21" t="s">
        <v>54</v>
      </c>
      <c r="M17" s="25" t="s">
        <v>54</v>
      </c>
      <c r="N17" s="17" t="s">
        <v>55</v>
      </c>
      <c r="O17" s="17"/>
      <c r="P17" s="17"/>
    </row>
    <row r="18" ht="78" customHeight="1" spans="1:16">
      <c r="A18" s="17" t="s">
        <v>56</v>
      </c>
      <c r="B18" s="17" t="s">
        <v>48</v>
      </c>
      <c r="C18" s="17" t="s">
        <v>57</v>
      </c>
      <c r="D18" s="17" t="s">
        <v>8</v>
      </c>
      <c r="E18" s="17" t="s">
        <v>50</v>
      </c>
      <c r="F18" s="17" t="s">
        <v>18</v>
      </c>
      <c r="G18" s="17" t="s">
        <v>58</v>
      </c>
      <c r="H18" s="17" t="s">
        <v>59</v>
      </c>
      <c r="I18" s="20" t="s">
        <v>53</v>
      </c>
      <c r="J18" s="17" t="s">
        <v>54</v>
      </c>
      <c r="K18" s="21" t="s">
        <v>54</v>
      </c>
      <c r="L18" s="21" t="s">
        <v>54</v>
      </c>
      <c r="M18" s="25" t="s">
        <v>54</v>
      </c>
      <c r="N18" s="17" t="s">
        <v>60</v>
      </c>
      <c r="O18" s="17"/>
      <c r="P18" s="17"/>
    </row>
    <row r="19" ht="65" customHeight="1" spans="1:16">
      <c r="A19" s="17" t="s">
        <v>61</v>
      </c>
      <c r="B19" s="17" t="s">
        <v>62</v>
      </c>
      <c r="C19" s="17" t="s">
        <v>63</v>
      </c>
      <c r="D19" s="17" t="s">
        <v>8</v>
      </c>
      <c r="E19" s="17" t="s">
        <v>50</v>
      </c>
      <c r="F19" s="17" t="s">
        <v>18</v>
      </c>
      <c r="G19" s="17" t="s">
        <v>64</v>
      </c>
      <c r="H19" s="17" t="s">
        <v>65</v>
      </c>
      <c r="I19" s="20" t="s">
        <v>53</v>
      </c>
      <c r="J19" s="17" t="s">
        <v>54</v>
      </c>
      <c r="K19" s="21" t="s">
        <v>54</v>
      </c>
      <c r="L19" s="21" t="s">
        <v>54</v>
      </c>
      <c r="M19" s="25" t="s">
        <v>54</v>
      </c>
      <c r="N19" s="17" t="s">
        <v>60</v>
      </c>
      <c r="O19" s="17"/>
      <c r="P19" s="17"/>
    </row>
    <row r="20" ht="52" customHeight="1" spans="1:16">
      <c r="A20" s="17" t="s">
        <v>66</v>
      </c>
      <c r="B20" s="17" t="s">
        <v>62</v>
      </c>
      <c r="C20" s="17" t="s">
        <v>67</v>
      </c>
      <c r="D20" s="17" t="s">
        <v>11</v>
      </c>
      <c r="E20" s="17" t="s">
        <v>50</v>
      </c>
      <c r="F20" s="17" t="s">
        <v>18</v>
      </c>
      <c r="G20" s="17" t="s">
        <v>68</v>
      </c>
      <c r="H20" s="17" t="s">
        <v>69</v>
      </c>
      <c r="I20" s="20" t="s">
        <v>53</v>
      </c>
      <c r="J20" s="17" t="s">
        <v>54</v>
      </c>
      <c r="K20" s="21" t="s">
        <v>54</v>
      </c>
      <c r="L20" s="21" t="s">
        <v>54</v>
      </c>
      <c r="M20" s="25" t="s">
        <v>54</v>
      </c>
      <c r="N20" s="17" t="s">
        <v>55</v>
      </c>
      <c r="O20" s="17"/>
      <c r="P20" s="17"/>
    </row>
    <row r="21" ht="39" customHeight="1" spans="1:16">
      <c r="A21" s="17" t="s">
        <v>70</v>
      </c>
      <c r="B21" s="17" t="s">
        <v>71</v>
      </c>
      <c r="C21" s="17" t="s">
        <v>72</v>
      </c>
      <c r="D21" s="17" t="s">
        <v>11</v>
      </c>
      <c r="E21" s="17" t="s">
        <v>50</v>
      </c>
      <c r="F21" s="17" t="s">
        <v>18</v>
      </c>
      <c r="G21" s="17" t="s">
        <v>73</v>
      </c>
      <c r="H21" s="17" t="s">
        <v>74</v>
      </c>
      <c r="I21" s="20" t="s">
        <v>53</v>
      </c>
      <c r="J21" s="17" t="s">
        <v>54</v>
      </c>
      <c r="K21" s="21" t="s">
        <v>54</v>
      </c>
      <c r="L21" s="21" t="s">
        <v>54</v>
      </c>
      <c r="M21" s="25" t="s">
        <v>54</v>
      </c>
      <c r="N21" s="17" t="s">
        <v>55</v>
      </c>
      <c r="O21" s="17"/>
      <c r="P21" s="17"/>
    </row>
    <row r="22" ht="52" customHeight="1" spans="1:16">
      <c r="A22" s="17" t="s">
        <v>75</v>
      </c>
      <c r="B22" s="17" t="s">
        <v>71</v>
      </c>
      <c r="C22" s="17" t="s">
        <v>76</v>
      </c>
      <c r="D22" s="17" t="s">
        <v>11</v>
      </c>
      <c r="E22" s="17" t="s">
        <v>50</v>
      </c>
      <c r="F22" s="17" t="s">
        <v>18</v>
      </c>
      <c r="G22" s="17" t="s">
        <v>77</v>
      </c>
      <c r="H22" s="17" t="s">
        <v>78</v>
      </c>
      <c r="I22" s="20" t="s">
        <v>53</v>
      </c>
      <c r="J22" s="17" t="s">
        <v>54</v>
      </c>
      <c r="K22" s="21" t="s">
        <v>54</v>
      </c>
      <c r="L22" s="21" t="s">
        <v>54</v>
      </c>
      <c r="M22" s="25" t="s">
        <v>54</v>
      </c>
      <c r="N22" s="17" t="s">
        <v>55</v>
      </c>
      <c r="O22" s="17"/>
      <c r="P22" s="17"/>
    </row>
    <row r="23" ht="65" customHeight="1" spans="1:16">
      <c r="A23" s="17" t="s">
        <v>79</v>
      </c>
      <c r="B23" s="17" t="s">
        <v>80</v>
      </c>
      <c r="C23" s="17" t="s">
        <v>81</v>
      </c>
      <c r="D23" s="17" t="s">
        <v>8</v>
      </c>
      <c r="E23" s="17" t="s">
        <v>50</v>
      </c>
      <c r="F23" s="17" t="s">
        <v>18</v>
      </c>
      <c r="G23" s="17" t="s">
        <v>82</v>
      </c>
      <c r="H23" s="17" t="s">
        <v>83</v>
      </c>
      <c r="I23" s="20" t="s">
        <v>53</v>
      </c>
      <c r="J23" s="17" t="s">
        <v>54</v>
      </c>
      <c r="K23" s="21" t="s">
        <v>54</v>
      </c>
      <c r="L23" s="21" t="s">
        <v>54</v>
      </c>
      <c r="M23" s="25" t="s">
        <v>54</v>
      </c>
      <c r="N23" s="17" t="s">
        <v>60</v>
      </c>
      <c r="O23" s="17"/>
      <c r="P23" s="17"/>
    </row>
    <row r="24" ht="65" customHeight="1" spans="1:16">
      <c r="A24" s="17" t="s">
        <v>84</v>
      </c>
      <c r="B24" s="17" t="s">
        <v>80</v>
      </c>
      <c r="C24" s="17" t="s">
        <v>85</v>
      </c>
      <c r="D24" s="17" t="s">
        <v>8</v>
      </c>
      <c r="E24" s="17" t="s">
        <v>50</v>
      </c>
      <c r="F24" s="17" t="s">
        <v>18</v>
      </c>
      <c r="G24" s="17" t="s">
        <v>86</v>
      </c>
      <c r="H24" s="17" t="s">
        <v>83</v>
      </c>
      <c r="I24" s="20" t="s">
        <v>53</v>
      </c>
      <c r="J24" s="17" t="s">
        <v>54</v>
      </c>
      <c r="K24" s="21" t="s">
        <v>54</v>
      </c>
      <c r="L24" s="21" t="s">
        <v>54</v>
      </c>
      <c r="M24" s="25" t="s">
        <v>54</v>
      </c>
      <c r="N24" s="17" t="s">
        <v>60</v>
      </c>
      <c r="O24" s="17"/>
      <c r="P24" s="17"/>
    </row>
    <row r="25" ht="65" customHeight="1" spans="1:16">
      <c r="A25" s="17" t="s">
        <v>87</v>
      </c>
      <c r="B25" s="17" t="s">
        <v>80</v>
      </c>
      <c r="C25" s="17" t="s">
        <v>88</v>
      </c>
      <c r="D25" s="17" t="s">
        <v>8</v>
      </c>
      <c r="E25" s="17" t="s">
        <v>50</v>
      </c>
      <c r="F25" s="17" t="s">
        <v>18</v>
      </c>
      <c r="G25" s="17" t="s">
        <v>89</v>
      </c>
      <c r="H25" s="17" t="s">
        <v>83</v>
      </c>
      <c r="I25" s="20" t="s">
        <v>53</v>
      </c>
      <c r="J25" s="17" t="s">
        <v>54</v>
      </c>
      <c r="K25" s="21" t="s">
        <v>54</v>
      </c>
      <c r="L25" s="21" t="s">
        <v>54</v>
      </c>
      <c r="M25" s="25" t="s">
        <v>54</v>
      </c>
      <c r="N25" s="17" t="s">
        <v>60</v>
      </c>
      <c r="O25" s="17"/>
      <c r="P25" s="17"/>
    </row>
    <row r="26" ht="65" customHeight="1" spans="1:16">
      <c r="A26" s="17" t="s">
        <v>90</v>
      </c>
      <c r="B26" s="17" t="s">
        <v>80</v>
      </c>
      <c r="C26" s="17" t="s">
        <v>91</v>
      </c>
      <c r="D26" s="17" t="s">
        <v>8</v>
      </c>
      <c r="E26" s="17" t="s">
        <v>50</v>
      </c>
      <c r="F26" s="17" t="s">
        <v>18</v>
      </c>
      <c r="G26" s="17" t="s">
        <v>92</v>
      </c>
      <c r="H26" s="17" t="s">
        <v>83</v>
      </c>
      <c r="I26" s="20" t="s">
        <v>53</v>
      </c>
      <c r="J26" s="17" t="s">
        <v>54</v>
      </c>
      <c r="K26" s="21" t="s">
        <v>54</v>
      </c>
      <c r="L26" s="21" t="s">
        <v>54</v>
      </c>
      <c r="M26" s="25" t="s">
        <v>54</v>
      </c>
      <c r="N26" s="17" t="s">
        <v>60</v>
      </c>
      <c r="O26" s="17"/>
      <c r="P26" s="17"/>
    </row>
    <row r="27" ht="65" customHeight="1" spans="1:16">
      <c r="A27" s="17" t="s">
        <v>93</v>
      </c>
      <c r="B27" s="17" t="s">
        <v>80</v>
      </c>
      <c r="C27" s="17" t="s">
        <v>94</v>
      </c>
      <c r="D27" s="17" t="s">
        <v>8</v>
      </c>
      <c r="E27" s="17" t="s">
        <v>50</v>
      </c>
      <c r="F27" s="17" t="s">
        <v>18</v>
      </c>
      <c r="G27" s="17" t="s">
        <v>95</v>
      </c>
      <c r="H27" s="17" t="s">
        <v>83</v>
      </c>
      <c r="I27" s="20" t="s">
        <v>53</v>
      </c>
      <c r="J27" s="17" t="s">
        <v>54</v>
      </c>
      <c r="K27" s="21" t="s">
        <v>54</v>
      </c>
      <c r="L27" s="21" t="s">
        <v>54</v>
      </c>
      <c r="M27" s="25" t="s">
        <v>54</v>
      </c>
      <c r="N27" s="17" t="s">
        <v>60</v>
      </c>
      <c r="O27" s="17"/>
      <c r="P27" s="17"/>
    </row>
    <row r="28" ht="65" customHeight="1" spans="1:16">
      <c r="A28" s="17" t="s">
        <v>96</v>
      </c>
      <c r="B28" s="17" t="s">
        <v>80</v>
      </c>
      <c r="C28" s="17" t="s">
        <v>97</v>
      </c>
      <c r="D28" s="17" t="s">
        <v>8</v>
      </c>
      <c r="E28" s="17" t="s">
        <v>50</v>
      </c>
      <c r="F28" s="17" t="s">
        <v>18</v>
      </c>
      <c r="G28" s="17" t="s">
        <v>98</v>
      </c>
      <c r="H28" s="17" t="s">
        <v>83</v>
      </c>
      <c r="I28" s="20" t="s">
        <v>53</v>
      </c>
      <c r="J28" s="17" t="s">
        <v>54</v>
      </c>
      <c r="K28" s="21" t="s">
        <v>54</v>
      </c>
      <c r="L28" s="21" t="s">
        <v>54</v>
      </c>
      <c r="M28" s="25" t="s">
        <v>54</v>
      </c>
      <c r="N28" s="17" t="s">
        <v>60</v>
      </c>
      <c r="O28" s="17"/>
      <c r="P28" s="17"/>
    </row>
    <row r="29" ht="65" customHeight="1" spans="1:16">
      <c r="A29" s="17" t="s">
        <v>99</v>
      </c>
      <c r="B29" s="17" t="s">
        <v>80</v>
      </c>
      <c r="C29" s="17" t="s">
        <v>100</v>
      </c>
      <c r="D29" s="17" t="s">
        <v>8</v>
      </c>
      <c r="E29" s="17" t="s">
        <v>50</v>
      </c>
      <c r="F29" s="17" t="s">
        <v>18</v>
      </c>
      <c r="G29" s="17" t="s">
        <v>101</v>
      </c>
      <c r="H29" s="17" t="s">
        <v>83</v>
      </c>
      <c r="I29" s="20" t="s">
        <v>53</v>
      </c>
      <c r="J29" s="17" t="s">
        <v>54</v>
      </c>
      <c r="K29" s="21" t="s">
        <v>54</v>
      </c>
      <c r="L29" s="21" t="s">
        <v>54</v>
      </c>
      <c r="M29" s="25" t="s">
        <v>54</v>
      </c>
      <c r="N29" s="17" t="s">
        <v>60</v>
      </c>
      <c r="O29" s="17"/>
      <c r="P29" s="17"/>
    </row>
    <row r="30" ht="65" customHeight="1" spans="1:16">
      <c r="A30" s="17" t="s">
        <v>102</v>
      </c>
      <c r="B30" s="17" t="s">
        <v>80</v>
      </c>
      <c r="C30" s="17" t="s">
        <v>103</v>
      </c>
      <c r="D30" s="17" t="s">
        <v>8</v>
      </c>
      <c r="E30" s="17" t="s">
        <v>50</v>
      </c>
      <c r="F30" s="17" t="s">
        <v>18</v>
      </c>
      <c r="G30" s="17" t="s">
        <v>104</v>
      </c>
      <c r="H30" s="17" t="s">
        <v>83</v>
      </c>
      <c r="I30" s="20" t="s">
        <v>53</v>
      </c>
      <c r="J30" s="17" t="s">
        <v>54</v>
      </c>
      <c r="K30" s="21" t="s">
        <v>54</v>
      </c>
      <c r="L30" s="21" t="s">
        <v>54</v>
      </c>
      <c r="M30" s="25" t="s">
        <v>54</v>
      </c>
      <c r="N30" s="17" t="s">
        <v>60</v>
      </c>
      <c r="O30" s="17"/>
      <c r="P30" s="17"/>
    </row>
    <row r="31" ht="65" customHeight="1" spans="1:16">
      <c r="A31" s="17" t="s">
        <v>105</v>
      </c>
      <c r="B31" s="17" t="s">
        <v>80</v>
      </c>
      <c r="C31" s="17" t="s">
        <v>106</v>
      </c>
      <c r="D31" s="17" t="s">
        <v>8</v>
      </c>
      <c r="E31" s="17" t="s">
        <v>50</v>
      </c>
      <c r="F31" s="17" t="s">
        <v>18</v>
      </c>
      <c r="G31" s="17" t="s">
        <v>107</v>
      </c>
      <c r="H31" s="17" t="s">
        <v>83</v>
      </c>
      <c r="I31" s="20" t="s">
        <v>53</v>
      </c>
      <c r="J31" s="17" t="s">
        <v>54</v>
      </c>
      <c r="K31" s="21" t="s">
        <v>54</v>
      </c>
      <c r="L31" s="21" t="s">
        <v>54</v>
      </c>
      <c r="M31" s="25" t="s">
        <v>54</v>
      </c>
      <c r="N31" s="17" t="s">
        <v>60</v>
      </c>
      <c r="O31" s="17"/>
      <c r="P31" s="17"/>
    </row>
    <row r="32" ht="65" customHeight="1" spans="1:16">
      <c r="A32" s="17" t="s">
        <v>108</v>
      </c>
      <c r="B32" s="17" t="s">
        <v>80</v>
      </c>
      <c r="C32" s="17" t="s">
        <v>109</v>
      </c>
      <c r="D32" s="17" t="s">
        <v>8</v>
      </c>
      <c r="E32" s="17" t="s">
        <v>50</v>
      </c>
      <c r="F32" s="17" t="s">
        <v>18</v>
      </c>
      <c r="G32" s="17" t="s">
        <v>110</v>
      </c>
      <c r="H32" s="17" t="s">
        <v>83</v>
      </c>
      <c r="I32" s="20" t="s">
        <v>53</v>
      </c>
      <c r="J32" s="17" t="s">
        <v>54</v>
      </c>
      <c r="K32" s="21" t="s">
        <v>54</v>
      </c>
      <c r="L32" s="21" t="s">
        <v>54</v>
      </c>
      <c r="M32" s="25" t="s">
        <v>54</v>
      </c>
      <c r="N32" s="17" t="s">
        <v>60</v>
      </c>
      <c r="O32" s="17"/>
      <c r="P32" s="17"/>
    </row>
    <row r="33" ht="65" customHeight="1" spans="1:16">
      <c r="A33" s="17" t="s">
        <v>111</v>
      </c>
      <c r="B33" s="17" t="s">
        <v>80</v>
      </c>
      <c r="C33" s="17" t="s">
        <v>112</v>
      </c>
      <c r="D33" s="17" t="s">
        <v>8</v>
      </c>
      <c r="E33" s="17" t="s">
        <v>50</v>
      </c>
      <c r="F33" s="17" t="s">
        <v>18</v>
      </c>
      <c r="G33" s="17" t="s">
        <v>113</v>
      </c>
      <c r="H33" s="17" t="s">
        <v>83</v>
      </c>
      <c r="I33" s="20" t="s">
        <v>53</v>
      </c>
      <c r="J33" s="17" t="s">
        <v>54</v>
      </c>
      <c r="K33" s="21" t="s">
        <v>54</v>
      </c>
      <c r="L33" s="21" t="s">
        <v>54</v>
      </c>
      <c r="M33" s="25" t="s">
        <v>54</v>
      </c>
      <c r="N33" s="17" t="s">
        <v>60</v>
      </c>
      <c r="O33" s="17"/>
      <c r="P33" s="17"/>
    </row>
    <row r="34" ht="65" customHeight="1" spans="1:16">
      <c r="A34" s="17" t="s">
        <v>114</v>
      </c>
      <c r="B34" s="17" t="s">
        <v>80</v>
      </c>
      <c r="C34" s="17" t="s">
        <v>115</v>
      </c>
      <c r="D34" s="17" t="s">
        <v>8</v>
      </c>
      <c r="E34" s="17" t="s">
        <v>50</v>
      </c>
      <c r="F34" s="17" t="s">
        <v>18</v>
      </c>
      <c r="G34" s="17" t="s">
        <v>116</v>
      </c>
      <c r="H34" s="17" t="s">
        <v>83</v>
      </c>
      <c r="I34" s="20" t="s">
        <v>53</v>
      </c>
      <c r="J34" s="17" t="s">
        <v>54</v>
      </c>
      <c r="K34" s="21" t="s">
        <v>54</v>
      </c>
      <c r="L34" s="21" t="s">
        <v>54</v>
      </c>
      <c r="M34" s="25" t="s">
        <v>54</v>
      </c>
      <c r="N34" s="17" t="s">
        <v>60</v>
      </c>
      <c r="O34" s="17"/>
      <c r="P34" s="17"/>
    </row>
    <row r="35" ht="65" customHeight="1" spans="1:16">
      <c r="A35" s="17" t="s">
        <v>117</v>
      </c>
      <c r="B35" s="17" t="s">
        <v>80</v>
      </c>
      <c r="C35" s="17" t="s">
        <v>118</v>
      </c>
      <c r="D35" s="17" t="s">
        <v>8</v>
      </c>
      <c r="E35" s="17" t="s">
        <v>50</v>
      </c>
      <c r="F35" s="17" t="s">
        <v>18</v>
      </c>
      <c r="G35" s="17" t="s">
        <v>119</v>
      </c>
      <c r="H35" s="17" t="s">
        <v>83</v>
      </c>
      <c r="I35" s="20" t="s">
        <v>53</v>
      </c>
      <c r="J35" s="17" t="s">
        <v>54</v>
      </c>
      <c r="K35" s="21" t="s">
        <v>54</v>
      </c>
      <c r="L35" s="21" t="s">
        <v>54</v>
      </c>
      <c r="M35" s="25" t="s">
        <v>54</v>
      </c>
      <c r="N35" s="17" t="s">
        <v>60</v>
      </c>
      <c r="O35" s="17"/>
      <c r="P35" s="17"/>
    </row>
    <row r="36" ht="65" customHeight="1" spans="1:16">
      <c r="A36" s="17" t="s">
        <v>120</v>
      </c>
      <c r="B36" s="17" t="s">
        <v>80</v>
      </c>
      <c r="C36" s="17" t="s">
        <v>121</v>
      </c>
      <c r="D36" s="17" t="s">
        <v>8</v>
      </c>
      <c r="E36" s="17" t="s">
        <v>50</v>
      </c>
      <c r="F36" s="17" t="s">
        <v>18</v>
      </c>
      <c r="G36" s="17" t="s">
        <v>122</v>
      </c>
      <c r="H36" s="17" t="s">
        <v>83</v>
      </c>
      <c r="I36" s="20" t="s">
        <v>53</v>
      </c>
      <c r="J36" s="17" t="s">
        <v>54</v>
      </c>
      <c r="K36" s="21" t="s">
        <v>54</v>
      </c>
      <c r="L36" s="21" t="s">
        <v>54</v>
      </c>
      <c r="M36" s="25" t="s">
        <v>54</v>
      </c>
      <c r="N36" s="17" t="s">
        <v>60</v>
      </c>
      <c r="O36" s="17"/>
      <c r="P36" s="17"/>
    </row>
    <row r="37" ht="65" customHeight="1" spans="1:16">
      <c r="A37" s="17" t="s">
        <v>123</v>
      </c>
      <c r="B37" s="17" t="s">
        <v>80</v>
      </c>
      <c r="C37" s="17" t="s">
        <v>124</v>
      </c>
      <c r="D37" s="17" t="s">
        <v>8</v>
      </c>
      <c r="E37" s="17" t="s">
        <v>50</v>
      </c>
      <c r="F37" s="17" t="s">
        <v>18</v>
      </c>
      <c r="G37" s="17" t="s">
        <v>125</v>
      </c>
      <c r="H37" s="17" t="s">
        <v>83</v>
      </c>
      <c r="I37" s="20" t="s">
        <v>53</v>
      </c>
      <c r="J37" s="17" t="s">
        <v>54</v>
      </c>
      <c r="K37" s="21" t="s">
        <v>54</v>
      </c>
      <c r="L37" s="21" t="s">
        <v>54</v>
      </c>
      <c r="M37" s="25" t="s">
        <v>54</v>
      </c>
      <c r="N37" s="17" t="s">
        <v>60</v>
      </c>
      <c r="O37" s="17"/>
      <c r="P37" s="17"/>
    </row>
    <row r="38" ht="65" customHeight="1" spans="1:16">
      <c r="A38" s="17" t="s">
        <v>126</v>
      </c>
      <c r="B38" s="17" t="s">
        <v>80</v>
      </c>
      <c r="C38" s="17" t="s">
        <v>127</v>
      </c>
      <c r="D38" s="17" t="s">
        <v>8</v>
      </c>
      <c r="E38" s="17" t="s">
        <v>50</v>
      </c>
      <c r="F38" s="17" t="s">
        <v>18</v>
      </c>
      <c r="G38" s="17" t="s">
        <v>128</v>
      </c>
      <c r="H38" s="17" t="s">
        <v>83</v>
      </c>
      <c r="I38" s="20" t="s">
        <v>53</v>
      </c>
      <c r="J38" s="17" t="s">
        <v>54</v>
      </c>
      <c r="K38" s="21" t="s">
        <v>54</v>
      </c>
      <c r="L38" s="21" t="s">
        <v>54</v>
      </c>
      <c r="M38" s="25" t="s">
        <v>54</v>
      </c>
      <c r="N38" s="17" t="s">
        <v>60</v>
      </c>
      <c r="O38" s="17"/>
      <c r="P38" s="17"/>
    </row>
    <row r="39" ht="65" customHeight="1" spans="1:16">
      <c r="A39" s="17" t="s">
        <v>129</v>
      </c>
      <c r="B39" s="17" t="s">
        <v>80</v>
      </c>
      <c r="C39" s="17" t="s">
        <v>130</v>
      </c>
      <c r="D39" s="17" t="s">
        <v>8</v>
      </c>
      <c r="E39" s="17" t="s">
        <v>50</v>
      </c>
      <c r="F39" s="17" t="s">
        <v>18</v>
      </c>
      <c r="G39" s="17" t="s">
        <v>131</v>
      </c>
      <c r="H39" s="17" t="s">
        <v>83</v>
      </c>
      <c r="I39" s="20" t="s">
        <v>53</v>
      </c>
      <c r="J39" s="17" t="s">
        <v>54</v>
      </c>
      <c r="K39" s="21" t="s">
        <v>54</v>
      </c>
      <c r="L39" s="21" t="s">
        <v>54</v>
      </c>
      <c r="M39" s="25" t="s">
        <v>54</v>
      </c>
      <c r="N39" s="17" t="s">
        <v>60</v>
      </c>
      <c r="O39" s="17"/>
      <c r="P39" s="17"/>
    </row>
    <row r="40" ht="65" customHeight="1" spans="1:16">
      <c r="A40" s="17" t="s">
        <v>132</v>
      </c>
      <c r="B40" s="17" t="s">
        <v>80</v>
      </c>
      <c r="C40" s="17" t="s">
        <v>133</v>
      </c>
      <c r="D40" s="17" t="s">
        <v>8</v>
      </c>
      <c r="E40" s="17" t="s">
        <v>50</v>
      </c>
      <c r="F40" s="17" t="s">
        <v>18</v>
      </c>
      <c r="G40" s="17" t="s">
        <v>134</v>
      </c>
      <c r="H40" s="17" t="s">
        <v>83</v>
      </c>
      <c r="I40" s="20" t="s">
        <v>53</v>
      </c>
      <c r="J40" s="17" t="s">
        <v>54</v>
      </c>
      <c r="K40" s="21" t="s">
        <v>54</v>
      </c>
      <c r="L40" s="21" t="s">
        <v>54</v>
      </c>
      <c r="M40" s="25" t="s">
        <v>54</v>
      </c>
      <c r="N40" s="17" t="s">
        <v>60</v>
      </c>
      <c r="O40" s="17"/>
      <c r="P40" s="17"/>
    </row>
    <row r="41" ht="91" customHeight="1" spans="1:16">
      <c r="A41" s="17" t="s">
        <v>135</v>
      </c>
      <c r="B41" s="17" t="s">
        <v>80</v>
      </c>
      <c r="C41" s="17" t="s">
        <v>136</v>
      </c>
      <c r="D41" s="17" t="s">
        <v>8</v>
      </c>
      <c r="E41" s="17" t="s">
        <v>50</v>
      </c>
      <c r="F41" s="17" t="s">
        <v>18</v>
      </c>
      <c r="G41" s="17" t="s">
        <v>137</v>
      </c>
      <c r="H41" s="17" t="s">
        <v>83</v>
      </c>
      <c r="I41" s="20" t="s">
        <v>53</v>
      </c>
      <c r="J41" s="17" t="s">
        <v>54</v>
      </c>
      <c r="K41" s="21" t="s">
        <v>54</v>
      </c>
      <c r="L41" s="21" t="s">
        <v>54</v>
      </c>
      <c r="M41" s="25" t="s">
        <v>54</v>
      </c>
      <c r="N41" s="17" t="s">
        <v>60</v>
      </c>
      <c r="O41" s="17"/>
      <c r="P41" s="17"/>
    </row>
    <row r="42" ht="78" customHeight="1" spans="1:16">
      <c r="A42" s="17" t="s">
        <v>138</v>
      </c>
      <c r="B42" s="17" t="s">
        <v>80</v>
      </c>
      <c r="C42" s="17" t="s">
        <v>139</v>
      </c>
      <c r="D42" s="17" t="s">
        <v>8</v>
      </c>
      <c r="E42" s="17" t="s">
        <v>50</v>
      </c>
      <c r="F42" s="17" t="s">
        <v>18</v>
      </c>
      <c r="G42" s="17" t="s">
        <v>140</v>
      </c>
      <c r="H42" s="17" t="s">
        <v>83</v>
      </c>
      <c r="I42" s="20" t="s">
        <v>53</v>
      </c>
      <c r="J42" s="17" t="s">
        <v>54</v>
      </c>
      <c r="K42" s="21" t="s">
        <v>54</v>
      </c>
      <c r="L42" s="21" t="s">
        <v>54</v>
      </c>
      <c r="M42" s="25" t="s">
        <v>54</v>
      </c>
      <c r="N42" s="17" t="s">
        <v>60</v>
      </c>
      <c r="O42" s="17"/>
      <c r="P42" s="17"/>
    </row>
    <row r="43" ht="39" customHeight="1" spans="1:16">
      <c r="A43" s="17" t="s">
        <v>141</v>
      </c>
      <c r="B43" s="17" t="s">
        <v>48</v>
      </c>
      <c r="C43" s="17" t="s">
        <v>142</v>
      </c>
      <c r="D43" s="17" t="s">
        <v>7</v>
      </c>
      <c r="E43" s="17" t="s">
        <v>50</v>
      </c>
      <c r="F43" s="17" t="s">
        <v>18</v>
      </c>
      <c r="G43" s="17" t="s">
        <v>143</v>
      </c>
      <c r="H43" s="17" t="s">
        <v>52</v>
      </c>
      <c r="I43" s="20" t="s">
        <v>53</v>
      </c>
      <c r="J43" s="17" t="s">
        <v>54</v>
      </c>
      <c r="K43" s="21" t="s">
        <v>54</v>
      </c>
      <c r="L43" s="21" t="s">
        <v>54</v>
      </c>
      <c r="M43" s="25" t="s">
        <v>54</v>
      </c>
      <c r="N43" s="17" t="s">
        <v>144</v>
      </c>
      <c r="O43" s="17"/>
      <c r="P43" s="17"/>
    </row>
    <row r="44" ht="52" customHeight="1" spans="1:16">
      <c r="A44" s="17" t="s">
        <v>145</v>
      </c>
      <c r="B44" s="17" t="s">
        <v>48</v>
      </c>
      <c r="C44" s="17" t="s">
        <v>146</v>
      </c>
      <c r="D44" s="17" t="s">
        <v>7</v>
      </c>
      <c r="E44" s="17" t="s">
        <v>50</v>
      </c>
      <c r="F44" s="17" t="s">
        <v>18</v>
      </c>
      <c r="G44" s="17" t="s">
        <v>147</v>
      </c>
      <c r="H44" s="17" t="s">
        <v>52</v>
      </c>
      <c r="I44" s="20" t="s">
        <v>53</v>
      </c>
      <c r="J44" s="17" t="s">
        <v>54</v>
      </c>
      <c r="K44" s="21" t="s">
        <v>54</v>
      </c>
      <c r="L44" s="21" t="s">
        <v>54</v>
      </c>
      <c r="M44" s="25" t="s">
        <v>54</v>
      </c>
      <c r="N44" s="17" t="s">
        <v>144</v>
      </c>
      <c r="O44" s="17"/>
      <c r="P44" s="17"/>
    </row>
    <row r="45" ht="39" customHeight="1" spans="1:16">
      <c r="A45" s="17" t="s">
        <v>148</v>
      </c>
      <c r="B45" s="17" t="s">
        <v>62</v>
      </c>
      <c r="C45" s="17" t="s">
        <v>149</v>
      </c>
      <c r="D45" s="17" t="s">
        <v>7</v>
      </c>
      <c r="E45" s="17" t="s">
        <v>50</v>
      </c>
      <c r="F45" s="17" t="s">
        <v>18</v>
      </c>
      <c r="G45" s="17" t="s">
        <v>143</v>
      </c>
      <c r="H45" s="17" t="s">
        <v>54</v>
      </c>
      <c r="I45" s="20" t="s">
        <v>53</v>
      </c>
      <c r="J45" s="17" t="s">
        <v>54</v>
      </c>
      <c r="K45" s="21" t="s">
        <v>54</v>
      </c>
      <c r="L45" s="21" t="s">
        <v>54</v>
      </c>
      <c r="M45" s="25" t="s">
        <v>54</v>
      </c>
      <c r="N45" s="17" t="s">
        <v>144</v>
      </c>
      <c r="O45" s="17"/>
      <c r="P45" s="17"/>
    </row>
    <row r="46" ht="39" customHeight="1" spans="1:16">
      <c r="A46" s="17" t="s">
        <v>150</v>
      </c>
      <c r="B46" s="17" t="s">
        <v>62</v>
      </c>
      <c r="C46" s="17" t="s">
        <v>151</v>
      </c>
      <c r="D46" s="17" t="s">
        <v>7</v>
      </c>
      <c r="E46" s="17" t="s">
        <v>50</v>
      </c>
      <c r="F46" s="17" t="s">
        <v>18</v>
      </c>
      <c r="G46" s="17" t="s">
        <v>152</v>
      </c>
      <c r="H46" s="17" t="s">
        <v>153</v>
      </c>
      <c r="I46" s="20" t="s">
        <v>53</v>
      </c>
      <c r="J46" s="17" t="s">
        <v>54</v>
      </c>
      <c r="K46" s="21" t="s">
        <v>54</v>
      </c>
      <c r="L46" s="21" t="s">
        <v>54</v>
      </c>
      <c r="M46" s="25" t="s">
        <v>54</v>
      </c>
      <c r="N46" s="17" t="s">
        <v>144</v>
      </c>
      <c r="O46" s="17"/>
      <c r="P46" s="17"/>
    </row>
    <row r="47" ht="78" customHeight="1" spans="1:16">
      <c r="A47" s="17" t="s">
        <v>154</v>
      </c>
      <c r="B47" s="17" t="s">
        <v>80</v>
      </c>
      <c r="C47" s="17" t="s">
        <v>155</v>
      </c>
      <c r="D47" s="17" t="s">
        <v>8</v>
      </c>
      <c r="E47" s="17" t="s">
        <v>50</v>
      </c>
      <c r="F47" s="17" t="s">
        <v>18</v>
      </c>
      <c r="G47" s="17" t="s">
        <v>156</v>
      </c>
      <c r="H47" s="17" t="s">
        <v>157</v>
      </c>
      <c r="I47" s="20" t="s">
        <v>53</v>
      </c>
      <c r="J47" s="17" t="s">
        <v>54</v>
      </c>
      <c r="K47" s="21" t="s">
        <v>54</v>
      </c>
      <c r="L47" s="21" t="s">
        <v>54</v>
      </c>
      <c r="M47" s="25" t="s">
        <v>54</v>
      </c>
      <c r="N47" s="17" t="s">
        <v>60</v>
      </c>
      <c r="O47" s="17"/>
      <c r="P47" s="17"/>
    </row>
    <row r="48" ht="39" customHeight="1" spans="1:16">
      <c r="A48" s="17" t="s">
        <v>158</v>
      </c>
      <c r="B48" s="17" t="s">
        <v>159</v>
      </c>
      <c r="C48" s="17" t="s">
        <v>160</v>
      </c>
      <c r="D48" s="17" t="s">
        <v>161</v>
      </c>
      <c r="E48" s="17" t="s">
        <v>162</v>
      </c>
      <c r="F48" s="17" t="s">
        <v>163</v>
      </c>
      <c r="G48" s="17" t="s">
        <v>164</v>
      </c>
      <c r="H48" s="17" t="s">
        <v>54</v>
      </c>
      <c r="I48" s="20" t="s">
        <v>53</v>
      </c>
      <c r="J48" s="17" t="s">
        <v>54</v>
      </c>
      <c r="K48" s="21" t="s">
        <v>54</v>
      </c>
      <c r="L48" s="21" t="s">
        <v>54</v>
      </c>
      <c r="M48" s="25" t="s">
        <v>54</v>
      </c>
      <c r="N48" s="17" t="s">
        <v>165</v>
      </c>
      <c r="O48" s="17"/>
      <c r="P48" s="17"/>
    </row>
    <row r="49" ht="39" customHeight="1" spans="1:16">
      <c r="A49" s="17" t="s">
        <v>166</v>
      </c>
      <c r="B49" s="17" t="s">
        <v>159</v>
      </c>
      <c r="C49" s="17" t="s">
        <v>167</v>
      </c>
      <c r="D49" s="17" t="s">
        <v>161</v>
      </c>
      <c r="E49" s="17" t="s">
        <v>162</v>
      </c>
      <c r="F49" s="17" t="s">
        <v>163</v>
      </c>
      <c r="G49" s="17" t="s">
        <v>164</v>
      </c>
      <c r="H49" s="17" t="s">
        <v>54</v>
      </c>
      <c r="I49" s="20" t="s">
        <v>53</v>
      </c>
      <c r="J49" s="17" t="s">
        <v>54</v>
      </c>
      <c r="K49" s="21" t="s">
        <v>54</v>
      </c>
      <c r="L49" s="21" t="s">
        <v>54</v>
      </c>
      <c r="M49" s="25" t="s">
        <v>54</v>
      </c>
      <c r="N49" s="17" t="s">
        <v>165</v>
      </c>
      <c r="O49" s="17"/>
      <c r="P49" s="17"/>
    </row>
    <row r="50" ht="39" customHeight="1" spans="1:16">
      <c r="A50" s="17" t="s">
        <v>168</v>
      </c>
      <c r="B50" s="17" t="s">
        <v>169</v>
      </c>
      <c r="C50" s="17" t="s">
        <v>170</v>
      </c>
      <c r="D50" s="17" t="s">
        <v>161</v>
      </c>
      <c r="E50" s="17" t="s">
        <v>162</v>
      </c>
      <c r="F50" s="17" t="s">
        <v>163</v>
      </c>
      <c r="G50" s="17" t="s">
        <v>164</v>
      </c>
      <c r="H50" s="17" t="s">
        <v>54</v>
      </c>
      <c r="I50" s="20" t="s">
        <v>53</v>
      </c>
      <c r="J50" s="17" t="s">
        <v>54</v>
      </c>
      <c r="K50" s="21" t="s">
        <v>54</v>
      </c>
      <c r="L50" s="21" t="s">
        <v>54</v>
      </c>
      <c r="M50" s="25" t="s">
        <v>54</v>
      </c>
      <c r="N50" s="17" t="s">
        <v>165</v>
      </c>
      <c r="O50" s="17"/>
      <c r="P50" s="17"/>
    </row>
    <row r="51" ht="39" customHeight="1" spans="1:16">
      <c r="A51" s="17" t="s">
        <v>171</v>
      </c>
      <c r="B51" s="17" t="s">
        <v>169</v>
      </c>
      <c r="C51" s="17" t="s">
        <v>172</v>
      </c>
      <c r="D51" s="17" t="s">
        <v>161</v>
      </c>
      <c r="E51" s="17" t="s">
        <v>162</v>
      </c>
      <c r="F51" s="17" t="s">
        <v>163</v>
      </c>
      <c r="G51" s="17" t="s">
        <v>164</v>
      </c>
      <c r="H51" s="17" t="s">
        <v>54</v>
      </c>
      <c r="I51" s="20" t="s">
        <v>53</v>
      </c>
      <c r="J51" s="17" t="s">
        <v>54</v>
      </c>
      <c r="K51" s="21" t="s">
        <v>54</v>
      </c>
      <c r="L51" s="21" t="s">
        <v>54</v>
      </c>
      <c r="M51" s="25" t="s">
        <v>54</v>
      </c>
      <c r="N51" s="17" t="s">
        <v>165</v>
      </c>
      <c r="O51" s="17"/>
      <c r="P51" s="17"/>
    </row>
    <row r="52" ht="39" customHeight="1" spans="1:16">
      <c r="A52" s="17" t="s">
        <v>173</v>
      </c>
      <c r="B52" s="17" t="s">
        <v>174</v>
      </c>
      <c r="C52" s="17" t="s">
        <v>175</v>
      </c>
      <c r="D52" s="17" t="s">
        <v>161</v>
      </c>
      <c r="E52" s="17" t="s">
        <v>162</v>
      </c>
      <c r="F52" s="17" t="s">
        <v>163</v>
      </c>
      <c r="G52" s="17" t="s">
        <v>164</v>
      </c>
      <c r="H52" s="17" t="s">
        <v>54</v>
      </c>
      <c r="I52" s="20" t="s">
        <v>53</v>
      </c>
      <c r="J52" s="17" t="s">
        <v>54</v>
      </c>
      <c r="K52" s="21" t="s">
        <v>54</v>
      </c>
      <c r="L52" s="21" t="s">
        <v>54</v>
      </c>
      <c r="M52" s="25" t="s">
        <v>54</v>
      </c>
      <c r="N52" s="17" t="s">
        <v>165</v>
      </c>
      <c r="O52" s="17"/>
      <c r="P52" s="17"/>
    </row>
    <row r="53" ht="39" customHeight="1" spans="1:16">
      <c r="A53" s="17" t="s">
        <v>176</v>
      </c>
      <c r="B53" s="17" t="s">
        <v>174</v>
      </c>
      <c r="C53" s="17" t="s">
        <v>177</v>
      </c>
      <c r="D53" s="17" t="s">
        <v>161</v>
      </c>
      <c r="E53" s="17" t="s">
        <v>162</v>
      </c>
      <c r="F53" s="17" t="s">
        <v>163</v>
      </c>
      <c r="G53" s="17" t="s">
        <v>164</v>
      </c>
      <c r="H53" s="17" t="s">
        <v>54</v>
      </c>
      <c r="I53" s="20" t="s">
        <v>53</v>
      </c>
      <c r="J53" s="17" t="s">
        <v>54</v>
      </c>
      <c r="K53" s="21" t="s">
        <v>54</v>
      </c>
      <c r="L53" s="21" t="s">
        <v>54</v>
      </c>
      <c r="M53" s="25" t="s">
        <v>54</v>
      </c>
      <c r="N53" s="17" t="s">
        <v>165</v>
      </c>
      <c r="O53" s="17"/>
      <c r="P53" s="17"/>
    </row>
    <row r="54" ht="39" customHeight="1" spans="1:16">
      <c r="A54" s="17" t="s">
        <v>178</v>
      </c>
      <c r="B54" s="17" t="s">
        <v>179</v>
      </c>
      <c r="C54" s="17" t="s">
        <v>180</v>
      </c>
      <c r="D54" s="17" t="s">
        <v>161</v>
      </c>
      <c r="E54" s="17" t="s">
        <v>162</v>
      </c>
      <c r="F54" s="17" t="s">
        <v>163</v>
      </c>
      <c r="G54" s="17" t="s">
        <v>164</v>
      </c>
      <c r="H54" s="17" t="s">
        <v>54</v>
      </c>
      <c r="I54" s="20" t="s">
        <v>53</v>
      </c>
      <c r="J54" s="17" t="s">
        <v>54</v>
      </c>
      <c r="K54" s="21" t="s">
        <v>54</v>
      </c>
      <c r="L54" s="21" t="s">
        <v>54</v>
      </c>
      <c r="M54" s="25" t="s">
        <v>54</v>
      </c>
      <c r="N54" s="17" t="s">
        <v>165</v>
      </c>
      <c r="O54" s="17"/>
      <c r="P54" s="17"/>
    </row>
    <row r="55" ht="39" customHeight="1" spans="1:16">
      <c r="A55" s="17" t="s">
        <v>181</v>
      </c>
      <c r="B55" s="17" t="s">
        <v>179</v>
      </c>
      <c r="C55" s="17" t="s">
        <v>182</v>
      </c>
      <c r="D55" s="17" t="s">
        <v>161</v>
      </c>
      <c r="E55" s="17" t="s">
        <v>162</v>
      </c>
      <c r="F55" s="17" t="s">
        <v>163</v>
      </c>
      <c r="G55" s="17" t="s">
        <v>164</v>
      </c>
      <c r="H55" s="17" t="s">
        <v>54</v>
      </c>
      <c r="I55" s="20" t="s">
        <v>53</v>
      </c>
      <c r="J55" s="17" t="s">
        <v>54</v>
      </c>
      <c r="K55" s="21" t="s">
        <v>54</v>
      </c>
      <c r="L55" s="21" t="s">
        <v>54</v>
      </c>
      <c r="M55" s="25" t="s">
        <v>54</v>
      </c>
      <c r="N55" s="17" t="s">
        <v>165</v>
      </c>
      <c r="O55" s="17"/>
      <c r="P55" s="17"/>
    </row>
    <row r="56" ht="39" customHeight="1" spans="1:16">
      <c r="A56" s="17" t="s">
        <v>183</v>
      </c>
      <c r="B56" s="17" t="s">
        <v>184</v>
      </c>
      <c r="C56" s="17" t="s">
        <v>185</v>
      </c>
      <c r="D56" s="17" t="s">
        <v>161</v>
      </c>
      <c r="E56" s="17" t="s">
        <v>162</v>
      </c>
      <c r="F56" s="17" t="s">
        <v>163</v>
      </c>
      <c r="G56" s="17" t="s">
        <v>164</v>
      </c>
      <c r="H56" s="17" t="s">
        <v>54</v>
      </c>
      <c r="I56" s="20" t="s">
        <v>53</v>
      </c>
      <c r="J56" s="17" t="s">
        <v>54</v>
      </c>
      <c r="K56" s="21" t="s">
        <v>54</v>
      </c>
      <c r="L56" s="21" t="s">
        <v>54</v>
      </c>
      <c r="M56" s="25" t="s">
        <v>54</v>
      </c>
      <c r="N56" s="17" t="s">
        <v>165</v>
      </c>
      <c r="O56" s="17"/>
      <c r="P56" s="17"/>
    </row>
    <row r="57" ht="39" customHeight="1" spans="1:16">
      <c r="A57" s="17" t="s">
        <v>186</v>
      </c>
      <c r="B57" s="17" t="s">
        <v>184</v>
      </c>
      <c r="C57" s="17" t="s">
        <v>187</v>
      </c>
      <c r="D57" s="17" t="s">
        <v>161</v>
      </c>
      <c r="E57" s="17" t="s">
        <v>162</v>
      </c>
      <c r="F57" s="17" t="s">
        <v>163</v>
      </c>
      <c r="G57" s="17" t="s">
        <v>164</v>
      </c>
      <c r="H57" s="17" t="s">
        <v>54</v>
      </c>
      <c r="I57" s="20" t="s">
        <v>53</v>
      </c>
      <c r="J57" s="17" t="s">
        <v>54</v>
      </c>
      <c r="K57" s="21" t="s">
        <v>54</v>
      </c>
      <c r="L57" s="21" t="s">
        <v>54</v>
      </c>
      <c r="M57" s="25" t="s">
        <v>54</v>
      </c>
      <c r="N57" s="17" t="s">
        <v>165</v>
      </c>
      <c r="O57" s="17"/>
      <c r="P57" s="17"/>
    </row>
    <row r="58" ht="39" customHeight="1" spans="1:16">
      <c r="A58" s="17" t="s">
        <v>188</v>
      </c>
      <c r="B58" s="17" t="s">
        <v>189</v>
      </c>
      <c r="C58" s="17" t="s">
        <v>190</v>
      </c>
      <c r="D58" s="17" t="s">
        <v>161</v>
      </c>
      <c r="E58" s="17" t="s">
        <v>162</v>
      </c>
      <c r="F58" s="17" t="s">
        <v>163</v>
      </c>
      <c r="G58" s="17" t="s">
        <v>164</v>
      </c>
      <c r="H58" s="17" t="s">
        <v>54</v>
      </c>
      <c r="I58" s="20" t="s">
        <v>53</v>
      </c>
      <c r="J58" s="17" t="s">
        <v>54</v>
      </c>
      <c r="K58" s="21" t="s">
        <v>54</v>
      </c>
      <c r="L58" s="21" t="s">
        <v>54</v>
      </c>
      <c r="M58" s="25" t="s">
        <v>54</v>
      </c>
      <c r="N58" s="17" t="s">
        <v>165</v>
      </c>
      <c r="O58" s="17"/>
      <c r="P58" s="17"/>
    </row>
    <row r="59" ht="39" customHeight="1" spans="1:16">
      <c r="A59" s="17" t="s">
        <v>191</v>
      </c>
      <c r="B59" s="17" t="s">
        <v>189</v>
      </c>
      <c r="C59" s="17" t="s">
        <v>192</v>
      </c>
      <c r="D59" s="17" t="s">
        <v>161</v>
      </c>
      <c r="E59" s="17" t="s">
        <v>162</v>
      </c>
      <c r="F59" s="17" t="s">
        <v>163</v>
      </c>
      <c r="G59" s="17" t="s">
        <v>164</v>
      </c>
      <c r="H59" s="17" t="s">
        <v>54</v>
      </c>
      <c r="I59" s="20" t="s">
        <v>53</v>
      </c>
      <c r="J59" s="17" t="s">
        <v>54</v>
      </c>
      <c r="K59" s="21" t="s">
        <v>54</v>
      </c>
      <c r="L59" s="21" t="s">
        <v>54</v>
      </c>
      <c r="M59" s="25" t="s">
        <v>54</v>
      </c>
      <c r="N59" s="17" t="s">
        <v>165</v>
      </c>
      <c r="O59" s="17"/>
      <c r="P59" s="17"/>
    </row>
    <row r="60" ht="39" customHeight="1" spans="1:16">
      <c r="A60" s="17" t="s">
        <v>193</v>
      </c>
      <c r="B60" s="17" t="s">
        <v>194</v>
      </c>
      <c r="C60" s="17" t="s">
        <v>195</v>
      </c>
      <c r="D60" s="17" t="s">
        <v>161</v>
      </c>
      <c r="E60" s="17" t="s">
        <v>162</v>
      </c>
      <c r="F60" s="17" t="s">
        <v>163</v>
      </c>
      <c r="G60" s="17" t="s">
        <v>164</v>
      </c>
      <c r="H60" s="17" t="s">
        <v>54</v>
      </c>
      <c r="I60" s="20" t="s">
        <v>53</v>
      </c>
      <c r="J60" s="17" t="s">
        <v>54</v>
      </c>
      <c r="K60" s="21" t="s">
        <v>54</v>
      </c>
      <c r="L60" s="21" t="s">
        <v>54</v>
      </c>
      <c r="M60" s="25" t="s">
        <v>54</v>
      </c>
      <c r="N60" s="17" t="s">
        <v>165</v>
      </c>
      <c r="O60" s="17"/>
      <c r="P60" s="17"/>
    </row>
    <row r="61" ht="39" customHeight="1" spans="1:16">
      <c r="A61" s="17" t="s">
        <v>196</v>
      </c>
      <c r="B61" s="17" t="s">
        <v>194</v>
      </c>
      <c r="C61" s="17" t="s">
        <v>197</v>
      </c>
      <c r="D61" s="17" t="s">
        <v>161</v>
      </c>
      <c r="E61" s="17" t="s">
        <v>162</v>
      </c>
      <c r="F61" s="17" t="s">
        <v>163</v>
      </c>
      <c r="G61" s="17" t="s">
        <v>164</v>
      </c>
      <c r="H61" s="17" t="s">
        <v>54</v>
      </c>
      <c r="I61" s="20" t="s">
        <v>53</v>
      </c>
      <c r="J61" s="17" t="s">
        <v>54</v>
      </c>
      <c r="K61" s="21" t="s">
        <v>54</v>
      </c>
      <c r="L61" s="21" t="s">
        <v>54</v>
      </c>
      <c r="M61" s="25" t="s">
        <v>54</v>
      </c>
      <c r="N61" s="17" t="s">
        <v>165</v>
      </c>
      <c r="O61" s="17"/>
      <c r="P61" s="17"/>
    </row>
    <row r="62" ht="39" customHeight="1" spans="1:16">
      <c r="A62" s="17" t="s">
        <v>198</v>
      </c>
      <c r="B62" s="17" t="s">
        <v>199</v>
      </c>
      <c r="C62" s="17" t="s">
        <v>200</v>
      </c>
      <c r="D62" s="17" t="s">
        <v>161</v>
      </c>
      <c r="E62" s="17" t="s">
        <v>162</v>
      </c>
      <c r="F62" s="17" t="s">
        <v>163</v>
      </c>
      <c r="G62" s="17" t="s">
        <v>164</v>
      </c>
      <c r="H62" s="17" t="s">
        <v>54</v>
      </c>
      <c r="I62" s="20" t="s">
        <v>53</v>
      </c>
      <c r="J62" s="17" t="s">
        <v>54</v>
      </c>
      <c r="K62" s="21" t="s">
        <v>54</v>
      </c>
      <c r="L62" s="21" t="s">
        <v>54</v>
      </c>
      <c r="M62" s="25" t="s">
        <v>54</v>
      </c>
      <c r="N62" s="17" t="s">
        <v>165</v>
      </c>
      <c r="O62" s="17"/>
      <c r="P62" s="17"/>
    </row>
    <row r="63" ht="39" customHeight="1" spans="1:16">
      <c r="A63" s="17" t="s">
        <v>201</v>
      </c>
      <c r="B63" s="17" t="s">
        <v>199</v>
      </c>
      <c r="C63" s="17" t="s">
        <v>202</v>
      </c>
      <c r="D63" s="17" t="s">
        <v>161</v>
      </c>
      <c r="E63" s="17" t="s">
        <v>162</v>
      </c>
      <c r="F63" s="17" t="s">
        <v>163</v>
      </c>
      <c r="G63" s="17" t="s">
        <v>164</v>
      </c>
      <c r="H63" s="17" t="s">
        <v>54</v>
      </c>
      <c r="I63" s="20" t="s">
        <v>53</v>
      </c>
      <c r="J63" s="17" t="s">
        <v>54</v>
      </c>
      <c r="K63" s="21" t="s">
        <v>54</v>
      </c>
      <c r="L63" s="21" t="s">
        <v>54</v>
      </c>
      <c r="M63" s="25" t="s">
        <v>54</v>
      </c>
      <c r="N63" s="17" t="s">
        <v>165</v>
      </c>
      <c r="O63" s="17"/>
      <c r="P63" s="17"/>
    </row>
    <row r="64" ht="39" customHeight="1" spans="1:16">
      <c r="A64" s="17" t="s">
        <v>203</v>
      </c>
      <c r="B64" s="17" t="s">
        <v>204</v>
      </c>
      <c r="C64" s="17" t="s">
        <v>205</v>
      </c>
      <c r="D64" s="17" t="s">
        <v>161</v>
      </c>
      <c r="E64" s="17" t="s">
        <v>162</v>
      </c>
      <c r="F64" s="17" t="s">
        <v>163</v>
      </c>
      <c r="G64" s="17" t="s">
        <v>164</v>
      </c>
      <c r="H64" s="17" t="s">
        <v>54</v>
      </c>
      <c r="I64" s="20" t="s">
        <v>53</v>
      </c>
      <c r="J64" s="17" t="s">
        <v>54</v>
      </c>
      <c r="K64" s="21" t="s">
        <v>54</v>
      </c>
      <c r="L64" s="21" t="s">
        <v>54</v>
      </c>
      <c r="M64" s="25" t="s">
        <v>54</v>
      </c>
      <c r="N64" s="17" t="s">
        <v>165</v>
      </c>
      <c r="O64" s="17"/>
      <c r="P64" s="17"/>
    </row>
    <row r="65" ht="39" customHeight="1" spans="1:16">
      <c r="A65" s="17" t="s">
        <v>206</v>
      </c>
      <c r="B65" s="17" t="s">
        <v>204</v>
      </c>
      <c r="C65" s="17" t="s">
        <v>207</v>
      </c>
      <c r="D65" s="17" t="s">
        <v>161</v>
      </c>
      <c r="E65" s="17" t="s">
        <v>162</v>
      </c>
      <c r="F65" s="17" t="s">
        <v>163</v>
      </c>
      <c r="G65" s="17" t="s">
        <v>164</v>
      </c>
      <c r="H65" s="17" t="s">
        <v>54</v>
      </c>
      <c r="I65" s="20" t="s">
        <v>53</v>
      </c>
      <c r="J65" s="17" t="s">
        <v>54</v>
      </c>
      <c r="K65" s="21" t="s">
        <v>54</v>
      </c>
      <c r="L65" s="21" t="s">
        <v>54</v>
      </c>
      <c r="M65" s="25" t="s">
        <v>54</v>
      </c>
      <c r="N65" s="17" t="s">
        <v>165</v>
      </c>
      <c r="O65" s="17"/>
      <c r="P65" s="17"/>
    </row>
    <row r="66" ht="39" customHeight="1" spans="1:16">
      <c r="A66" s="17" t="s">
        <v>208</v>
      </c>
      <c r="B66" s="17" t="s">
        <v>209</v>
      </c>
      <c r="C66" s="17" t="s">
        <v>210</v>
      </c>
      <c r="D66" s="17" t="s">
        <v>161</v>
      </c>
      <c r="E66" s="17" t="s">
        <v>162</v>
      </c>
      <c r="F66" s="17" t="s">
        <v>163</v>
      </c>
      <c r="G66" s="17" t="s">
        <v>164</v>
      </c>
      <c r="H66" s="17" t="s">
        <v>54</v>
      </c>
      <c r="I66" s="20" t="s">
        <v>53</v>
      </c>
      <c r="J66" s="17" t="s">
        <v>54</v>
      </c>
      <c r="K66" s="21" t="s">
        <v>54</v>
      </c>
      <c r="L66" s="21" t="s">
        <v>54</v>
      </c>
      <c r="M66" s="25" t="s">
        <v>54</v>
      </c>
      <c r="N66" s="17" t="s">
        <v>165</v>
      </c>
      <c r="O66" s="17"/>
      <c r="P66" s="17"/>
    </row>
    <row r="67" ht="39" customHeight="1" spans="1:16">
      <c r="A67" s="17" t="s">
        <v>211</v>
      </c>
      <c r="B67" s="17" t="s">
        <v>209</v>
      </c>
      <c r="C67" s="17" t="s">
        <v>212</v>
      </c>
      <c r="D67" s="17" t="s">
        <v>161</v>
      </c>
      <c r="E67" s="17" t="s">
        <v>162</v>
      </c>
      <c r="F67" s="17" t="s">
        <v>163</v>
      </c>
      <c r="G67" s="17" t="s">
        <v>164</v>
      </c>
      <c r="H67" s="17" t="s">
        <v>54</v>
      </c>
      <c r="I67" s="20" t="s">
        <v>53</v>
      </c>
      <c r="J67" s="17" t="s">
        <v>54</v>
      </c>
      <c r="K67" s="21" t="s">
        <v>54</v>
      </c>
      <c r="L67" s="21" t="s">
        <v>54</v>
      </c>
      <c r="M67" s="25" t="s">
        <v>54</v>
      </c>
      <c r="N67" s="17" t="s">
        <v>165</v>
      </c>
      <c r="O67" s="17"/>
      <c r="P67" s="17"/>
    </row>
    <row r="68" ht="39" customHeight="1" spans="1:16">
      <c r="A68" s="17" t="s">
        <v>213</v>
      </c>
      <c r="B68" s="17" t="s">
        <v>214</v>
      </c>
      <c r="C68" s="17" t="s">
        <v>215</v>
      </c>
      <c r="D68" s="17" t="s">
        <v>161</v>
      </c>
      <c r="E68" s="17" t="s">
        <v>162</v>
      </c>
      <c r="F68" s="17" t="s">
        <v>163</v>
      </c>
      <c r="G68" s="17" t="s">
        <v>164</v>
      </c>
      <c r="H68" s="17" t="s">
        <v>54</v>
      </c>
      <c r="I68" s="20" t="s">
        <v>53</v>
      </c>
      <c r="J68" s="17" t="s">
        <v>54</v>
      </c>
      <c r="K68" s="21" t="s">
        <v>54</v>
      </c>
      <c r="L68" s="21" t="s">
        <v>54</v>
      </c>
      <c r="M68" s="25" t="s">
        <v>54</v>
      </c>
      <c r="N68" s="17" t="s">
        <v>165</v>
      </c>
      <c r="O68" s="17"/>
      <c r="P68" s="17"/>
    </row>
    <row r="69" ht="39" customHeight="1" spans="1:16">
      <c r="A69" s="17" t="s">
        <v>216</v>
      </c>
      <c r="B69" s="17" t="s">
        <v>214</v>
      </c>
      <c r="C69" s="17" t="s">
        <v>217</v>
      </c>
      <c r="D69" s="17" t="s">
        <v>161</v>
      </c>
      <c r="E69" s="17" t="s">
        <v>162</v>
      </c>
      <c r="F69" s="17" t="s">
        <v>163</v>
      </c>
      <c r="G69" s="17" t="s">
        <v>164</v>
      </c>
      <c r="H69" s="17" t="s">
        <v>54</v>
      </c>
      <c r="I69" s="20" t="s">
        <v>53</v>
      </c>
      <c r="J69" s="17" t="s">
        <v>54</v>
      </c>
      <c r="K69" s="21" t="s">
        <v>54</v>
      </c>
      <c r="L69" s="21" t="s">
        <v>54</v>
      </c>
      <c r="M69" s="25" t="s">
        <v>54</v>
      </c>
      <c r="N69" s="17" t="s">
        <v>165</v>
      </c>
      <c r="O69" s="17"/>
      <c r="P69" s="17"/>
    </row>
    <row r="70" ht="39" customHeight="1" spans="1:16">
      <c r="A70" s="17" t="s">
        <v>218</v>
      </c>
      <c r="B70" s="17" t="s">
        <v>219</v>
      </c>
      <c r="C70" s="17" t="s">
        <v>220</v>
      </c>
      <c r="D70" s="17" t="s">
        <v>161</v>
      </c>
      <c r="E70" s="17" t="s">
        <v>162</v>
      </c>
      <c r="F70" s="17" t="s">
        <v>163</v>
      </c>
      <c r="G70" s="17" t="s">
        <v>164</v>
      </c>
      <c r="H70" s="17" t="s">
        <v>54</v>
      </c>
      <c r="I70" s="20" t="s">
        <v>53</v>
      </c>
      <c r="J70" s="17" t="s">
        <v>54</v>
      </c>
      <c r="K70" s="21" t="s">
        <v>54</v>
      </c>
      <c r="L70" s="21" t="s">
        <v>54</v>
      </c>
      <c r="M70" s="25" t="s">
        <v>54</v>
      </c>
      <c r="N70" s="17" t="s">
        <v>165</v>
      </c>
      <c r="O70" s="17"/>
      <c r="P70" s="17"/>
    </row>
    <row r="71" ht="39" customHeight="1" spans="1:16">
      <c r="A71" s="17" t="s">
        <v>221</v>
      </c>
      <c r="B71" s="17" t="s">
        <v>219</v>
      </c>
      <c r="C71" s="17" t="s">
        <v>222</v>
      </c>
      <c r="D71" s="17" t="s">
        <v>161</v>
      </c>
      <c r="E71" s="17" t="s">
        <v>162</v>
      </c>
      <c r="F71" s="17" t="s">
        <v>163</v>
      </c>
      <c r="G71" s="17" t="s">
        <v>164</v>
      </c>
      <c r="H71" s="17" t="s">
        <v>54</v>
      </c>
      <c r="I71" s="20" t="s">
        <v>53</v>
      </c>
      <c r="J71" s="17" t="s">
        <v>54</v>
      </c>
      <c r="K71" s="21" t="s">
        <v>54</v>
      </c>
      <c r="L71" s="21" t="s">
        <v>54</v>
      </c>
      <c r="M71" s="25" t="s">
        <v>54</v>
      </c>
      <c r="N71" s="17" t="s">
        <v>165</v>
      </c>
      <c r="O71" s="17"/>
      <c r="P71" s="17"/>
    </row>
    <row r="72" ht="39" customHeight="1" spans="1:16">
      <c r="A72" s="17" t="s">
        <v>223</v>
      </c>
      <c r="B72" s="17" t="s">
        <v>224</v>
      </c>
      <c r="C72" s="17" t="s">
        <v>225</v>
      </c>
      <c r="D72" s="17" t="s">
        <v>161</v>
      </c>
      <c r="E72" s="17" t="s">
        <v>162</v>
      </c>
      <c r="F72" s="17" t="s">
        <v>163</v>
      </c>
      <c r="G72" s="17" t="s">
        <v>164</v>
      </c>
      <c r="H72" s="17" t="s">
        <v>54</v>
      </c>
      <c r="I72" s="20" t="s">
        <v>53</v>
      </c>
      <c r="J72" s="17" t="s">
        <v>54</v>
      </c>
      <c r="K72" s="21" t="s">
        <v>54</v>
      </c>
      <c r="L72" s="21" t="s">
        <v>54</v>
      </c>
      <c r="M72" s="25" t="s">
        <v>54</v>
      </c>
      <c r="N72" s="17" t="s">
        <v>165</v>
      </c>
      <c r="O72" s="17"/>
      <c r="P72" s="17"/>
    </row>
    <row r="73" ht="39" customHeight="1" spans="1:16">
      <c r="A73" s="17" t="s">
        <v>226</v>
      </c>
      <c r="B73" s="17" t="s">
        <v>224</v>
      </c>
      <c r="C73" s="17" t="s">
        <v>227</v>
      </c>
      <c r="D73" s="17" t="s">
        <v>161</v>
      </c>
      <c r="E73" s="17" t="s">
        <v>162</v>
      </c>
      <c r="F73" s="17" t="s">
        <v>163</v>
      </c>
      <c r="G73" s="17" t="s">
        <v>164</v>
      </c>
      <c r="H73" s="17" t="s">
        <v>54</v>
      </c>
      <c r="I73" s="20" t="s">
        <v>53</v>
      </c>
      <c r="J73" s="17" t="s">
        <v>54</v>
      </c>
      <c r="K73" s="21" t="s">
        <v>54</v>
      </c>
      <c r="L73" s="21" t="s">
        <v>54</v>
      </c>
      <c r="M73" s="25" t="s">
        <v>54</v>
      </c>
      <c r="N73" s="17" t="s">
        <v>165</v>
      </c>
      <c r="O73" s="17"/>
      <c r="P73" s="17"/>
    </row>
    <row r="74" ht="39" customHeight="1" spans="1:16">
      <c r="A74" s="17" t="s">
        <v>228</v>
      </c>
      <c r="B74" s="17" t="s">
        <v>229</v>
      </c>
      <c r="C74" s="17" t="s">
        <v>230</v>
      </c>
      <c r="D74" s="17" t="s">
        <v>161</v>
      </c>
      <c r="E74" s="17" t="s">
        <v>162</v>
      </c>
      <c r="F74" s="17" t="s">
        <v>163</v>
      </c>
      <c r="G74" s="17" t="s">
        <v>164</v>
      </c>
      <c r="H74" s="17" t="s">
        <v>54</v>
      </c>
      <c r="I74" s="20" t="s">
        <v>53</v>
      </c>
      <c r="J74" s="17" t="s">
        <v>54</v>
      </c>
      <c r="K74" s="21" t="s">
        <v>54</v>
      </c>
      <c r="L74" s="21" t="s">
        <v>54</v>
      </c>
      <c r="M74" s="25" t="s">
        <v>54</v>
      </c>
      <c r="N74" s="17" t="s">
        <v>165</v>
      </c>
      <c r="O74" s="17"/>
      <c r="P74" s="17"/>
    </row>
    <row r="75" ht="39" customHeight="1" spans="1:16">
      <c r="A75" s="17" t="s">
        <v>231</v>
      </c>
      <c r="B75" s="17" t="s">
        <v>229</v>
      </c>
      <c r="C75" s="17" t="s">
        <v>232</v>
      </c>
      <c r="D75" s="17" t="s">
        <v>161</v>
      </c>
      <c r="E75" s="17" t="s">
        <v>162</v>
      </c>
      <c r="F75" s="17" t="s">
        <v>163</v>
      </c>
      <c r="G75" s="17" t="s">
        <v>164</v>
      </c>
      <c r="H75" s="17" t="s">
        <v>54</v>
      </c>
      <c r="I75" s="20" t="s">
        <v>53</v>
      </c>
      <c r="J75" s="17" t="s">
        <v>54</v>
      </c>
      <c r="K75" s="21" t="s">
        <v>54</v>
      </c>
      <c r="L75" s="21" t="s">
        <v>54</v>
      </c>
      <c r="M75" s="25" t="s">
        <v>54</v>
      </c>
      <c r="N75" s="17" t="s">
        <v>165</v>
      </c>
      <c r="O75" s="17"/>
      <c r="P75" s="17"/>
    </row>
    <row r="76" ht="39" customHeight="1" spans="1:16">
      <c r="A76" s="17" t="s">
        <v>233</v>
      </c>
      <c r="B76" s="17" t="s">
        <v>234</v>
      </c>
      <c r="C76" s="17" t="s">
        <v>235</v>
      </c>
      <c r="D76" s="17" t="s">
        <v>161</v>
      </c>
      <c r="E76" s="17" t="s">
        <v>162</v>
      </c>
      <c r="F76" s="17" t="s">
        <v>163</v>
      </c>
      <c r="G76" s="17" t="s">
        <v>164</v>
      </c>
      <c r="H76" s="17" t="s">
        <v>54</v>
      </c>
      <c r="I76" s="20" t="s">
        <v>53</v>
      </c>
      <c r="J76" s="17" t="s">
        <v>54</v>
      </c>
      <c r="K76" s="21" t="s">
        <v>54</v>
      </c>
      <c r="L76" s="21" t="s">
        <v>54</v>
      </c>
      <c r="M76" s="25" t="s">
        <v>54</v>
      </c>
      <c r="N76" s="17" t="s">
        <v>165</v>
      </c>
      <c r="O76" s="17"/>
      <c r="P76" s="17"/>
    </row>
    <row r="77" ht="39" customHeight="1" spans="1:16">
      <c r="A77" s="17" t="s">
        <v>236</v>
      </c>
      <c r="B77" s="17" t="s">
        <v>234</v>
      </c>
      <c r="C77" s="17" t="s">
        <v>237</v>
      </c>
      <c r="D77" s="17" t="s">
        <v>161</v>
      </c>
      <c r="E77" s="17" t="s">
        <v>162</v>
      </c>
      <c r="F77" s="17" t="s">
        <v>163</v>
      </c>
      <c r="G77" s="17" t="s">
        <v>164</v>
      </c>
      <c r="H77" s="17" t="s">
        <v>54</v>
      </c>
      <c r="I77" s="20" t="s">
        <v>53</v>
      </c>
      <c r="J77" s="17" t="s">
        <v>54</v>
      </c>
      <c r="K77" s="21" t="s">
        <v>54</v>
      </c>
      <c r="L77" s="21" t="s">
        <v>54</v>
      </c>
      <c r="M77" s="25" t="s">
        <v>54</v>
      </c>
      <c r="N77" s="17" t="s">
        <v>165</v>
      </c>
      <c r="O77" s="17"/>
      <c r="P77" s="17"/>
    </row>
    <row r="78" ht="39" customHeight="1" spans="1:16">
      <c r="A78" s="17" t="s">
        <v>238</v>
      </c>
      <c r="B78" s="17" t="s">
        <v>239</v>
      </c>
      <c r="C78" s="17" t="s">
        <v>240</v>
      </c>
      <c r="D78" s="17" t="s">
        <v>161</v>
      </c>
      <c r="E78" s="17" t="s">
        <v>162</v>
      </c>
      <c r="F78" s="17" t="s">
        <v>163</v>
      </c>
      <c r="G78" s="17" t="s">
        <v>164</v>
      </c>
      <c r="H78" s="17" t="s">
        <v>54</v>
      </c>
      <c r="I78" s="20" t="s">
        <v>53</v>
      </c>
      <c r="J78" s="17" t="s">
        <v>54</v>
      </c>
      <c r="K78" s="21" t="s">
        <v>54</v>
      </c>
      <c r="L78" s="21" t="s">
        <v>54</v>
      </c>
      <c r="M78" s="25" t="s">
        <v>54</v>
      </c>
      <c r="N78" s="17" t="s">
        <v>165</v>
      </c>
      <c r="O78" s="17"/>
      <c r="P78" s="17"/>
    </row>
    <row r="79" ht="39" customHeight="1" spans="1:16">
      <c r="A79" s="17" t="s">
        <v>241</v>
      </c>
      <c r="B79" s="17" t="s">
        <v>239</v>
      </c>
      <c r="C79" s="17" t="s">
        <v>242</v>
      </c>
      <c r="D79" s="17" t="s">
        <v>161</v>
      </c>
      <c r="E79" s="17" t="s">
        <v>162</v>
      </c>
      <c r="F79" s="17" t="s">
        <v>163</v>
      </c>
      <c r="G79" s="17" t="s">
        <v>164</v>
      </c>
      <c r="H79" s="17" t="s">
        <v>54</v>
      </c>
      <c r="I79" s="20" t="s">
        <v>53</v>
      </c>
      <c r="J79" s="17" t="s">
        <v>54</v>
      </c>
      <c r="K79" s="21" t="s">
        <v>54</v>
      </c>
      <c r="L79" s="21" t="s">
        <v>54</v>
      </c>
      <c r="M79" s="25" t="s">
        <v>54</v>
      </c>
      <c r="N79" s="17" t="s">
        <v>165</v>
      </c>
      <c r="O79" s="17"/>
      <c r="P79" s="17"/>
    </row>
    <row r="80" ht="39" customHeight="1" spans="1:16">
      <c r="A80" s="17" t="s">
        <v>243</v>
      </c>
      <c r="B80" s="17" t="s">
        <v>244</v>
      </c>
      <c r="C80" s="17" t="s">
        <v>245</v>
      </c>
      <c r="D80" s="17" t="s">
        <v>161</v>
      </c>
      <c r="E80" s="17" t="s">
        <v>162</v>
      </c>
      <c r="F80" s="17" t="s">
        <v>163</v>
      </c>
      <c r="G80" s="17" t="s">
        <v>164</v>
      </c>
      <c r="H80" s="17" t="s">
        <v>54</v>
      </c>
      <c r="I80" s="20" t="s">
        <v>53</v>
      </c>
      <c r="J80" s="17" t="s">
        <v>54</v>
      </c>
      <c r="K80" s="21" t="s">
        <v>54</v>
      </c>
      <c r="L80" s="21" t="s">
        <v>54</v>
      </c>
      <c r="M80" s="25" t="s">
        <v>54</v>
      </c>
      <c r="N80" s="17" t="s">
        <v>165</v>
      </c>
      <c r="O80" s="17"/>
      <c r="P80" s="17"/>
    </row>
    <row r="81" ht="39" customHeight="1" spans="1:16">
      <c r="A81" s="17" t="s">
        <v>246</v>
      </c>
      <c r="B81" s="17" t="s">
        <v>244</v>
      </c>
      <c r="C81" s="17" t="s">
        <v>247</v>
      </c>
      <c r="D81" s="17" t="s">
        <v>161</v>
      </c>
      <c r="E81" s="17" t="s">
        <v>162</v>
      </c>
      <c r="F81" s="17" t="s">
        <v>163</v>
      </c>
      <c r="G81" s="17" t="s">
        <v>164</v>
      </c>
      <c r="H81" s="17" t="s">
        <v>54</v>
      </c>
      <c r="I81" s="20" t="s">
        <v>53</v>
      </c>
      <c r="J81" s="17" t="s">
        <v>54</v>
      </c>
      <c r="K81" s="21" t="s">
        <v>54</v>
      </c>
      <c r="L81" s="21" t="s">
        <v>54</v>
      </c>
      <c r="M81" s="25" t="s">
        <v>54</v>
      </c>
      <c r="N81" s="17" t="s">
        <v>165</v>
      </c>
      <c r="O81" s="17"/>
      <c r="P81" s="17"/>
    </row>
    <row r="82" ht="39" customHeight="1" spans="1:16">
      <c r="A82" s="17" t="s">
        <v>248</v>
      </c>
      <c r="B82" s="17" t="s">
        <v>249</v>
      </c>
      <c r="C82" s="17" t="s">
        <v>250</v>
      </c>
      <c r="D82" s="17" t="s">
        <v>161</v>
      </c>
      <c r="E82" s="17" t="s">
        <v>162</v>
      </c>
      <c r="F82" s="17" t="s">
        <v>163</v>
      </c>
      <c r="G82" s="17" t="s">
        <v>164</v>
      </c>
      <c r="H82" s="17" t="s">
        <v>54</v>
      </c>
      <c r="I82" s="20" t="s">
        <v>53</v>
      </c>
      <c r="J82" s="17" t="s">
        <v>54</v>
      </c>
      <c r="K82" s="21" t="s">
        <v>54</v>
      </c>
      <c r="L82" s="21" t="s">
        <v>54</v>
      </c>
      <c r="M82" s="25" t="s">
        <v>54</v>
      </c>
      <c r="N82" s="17" t="s">
        <v>165</v>
      </c>
      <c r="O82" s="17"/>
      <c r="P82" s="17"/>
    </row>
    <row r="83" ht="39" customHeight="1" spans="1:16">
      <c r="A83" s="17" t="s">
        <v>251</v>
      </c>
      <c r="B83" s="17" t="s">
        <v>249</v>
      </c>
      <c r="C83" s="17" t="s">
        <v>252</v>
      </c>
      <c r="D83" s="17" t="s">
        <v>161</v>
      </c>
      <c r="E83" s="17" t="s">
        <v>162</v>
      </c>
      <c r="F83" s="17" t="s">
        <v>163</v>
      </c>
      <c r="G83" s="17" t="s">
        <v>164</v>
      </c>
      <c r="H83" s="17" t="s">
        <v>54</v>
      </c>
      <c r="I83" s="20" t="s">
        <v>53</v>
      </c>
      <c r="J83" s="17" t="s">
        <v>54</v>
      </c>
      <c r="K83" s="21" t="s">
        <v>54</v>
      </c>
      <c r="L83" s="21" t="s">
        <v>54</v>
      </c>
      <c r="M83" s="25" t="s">
        <v>54</v>
      </c>
      <c r="N83" s="17" t="s">
        <v>165</v>
      </c>
      <c r="O83" s="17"/>
      <c r="P83" s="17"/>
    </row>
    <row r="84" ht="39" customHeight="1" spans="1:16">
      <c r="A84" s="17" t="s">
        <v>253</v>
      </c>
      <c r="B84" s="17" t="s">
        <v>254</v>
      </c>
      <c r="C84" s="17" t="s">
        <v>255</v>
      </c>
      <c r="D84" s="17" t="s">
        <v>161</v>
      </c>
      <c r="E84" s="17" t="s">
        <v>162</v>
      </c>
      <c r="F84" s="17" t="s">
        <v>163</v>
      </c>
      <c r="G84" s="17" t="s">
        <v>164</v>
      </c>
      <c r="H84" s="17" t="s">
        <v>54</v>
      </c>
      <c r="I84" s="20" t="s">
        <v>53</v>
      </c>
      <c r="J84" s="17" t="s">
        <v>54</v>
      </c>
      <c r="K84" s="21" t="s">
        <v>54</v>
      </c>
      <c r="L84" s="21" t="s">
        <v>54</v>
      </c>
      <c r="M84" s="25" t="s">
        <v>54</v>
      </c>
      <c r="N84" s="17" t="s">
        <v>165</v>
      </c>
      <c r="O84" s="17"/>
      <c r="P84" s="17"/>
    </row>
    <row r="85" ht="39" customHeight="1" spans="1:16">
      <c r="A85" s="17" t="s">
        <v>256</v>
      </c>
      <c r="B85" s="17" t="s">
        <v>254</v>
      </c>
      <c r="C85" s="17" t="s">
        <v>257</v>
      </c>
      <c r="D85" s="17" t="s">
        <v>161</v>
      </c>
      <c r="E85" s="17" t="s">
        <v>162</v>
      </c>
      <c r="F85" s="17" t="s">
        <v>163</v>
      </c>
      <c r="G85" s="17" t="s">
        <v>164</v>
      </c>
      <c r="H85" s="17" t="s">
        <v>54</v>
      </c>
      <c r="I85" s="20" t="s">
        <v>53</v>
      </c>
      <c r="J85" s="17" t="s">
        <v>54</v>
      </c>
      <c r="K85" s="21" t="s">
        <v>54</v>
      </c>
      <c r="L85" s="21" t="s">
        <v>54</v>
      </c>
      <c r="M85" s="25" t="s">
        <v>54</v>
      </c>
      <c r="N85" s="17" t="s">
        <v>165</v>
      </c>
      <c r="O85" s="17"/>
      <c r="P85" s="17"/>
    </row>
    <row r="86" ht="39" customHeight="1" spans="1:16">
      <c r="A86" s="17" t="s">
        <v>258</v>
      </c>
      <c r="B86" s="17" t="s">
        <v>259</v>
      </c>
      <c r="C86" s="17" t="s">
        <v>260</v>
      </c>
      <c r="D86" s="17" t="s">
        <v>161</v>
      </c>
      <c r="E86" s="17" t="s">
        <v>162</v>
      </c>
      <c r="F86" s="17" t="s">
        <v>163</v>
      </c>
      <c r="G86" s="17" t="s">
        <v>164</v>
      </c>
      <c r="H86" s="17" t="s">
        <v>54</v>
      </c>
      <c r="I86" s="20" t="s">
        <v>53</v>
      </c>
      <c r="J86" s="17" t="s">
        <v>54</v>
      </c>
      <c r="K86" s="21" t="s">
        <v>54</v>
      </c>
      <c r="L86" s="21" t="s">
        <v>54</v>
      </c>
      <c r="M86" s="25" t="s">
        <v>54</v>
      </c>
      <c r="N86" s="17" t="s">
        <v>165</v>
      </c>
      <c r="O86" s="17"/>
      <c r="P86" s="17"/>
    </row>
    <row r="87" ht="39" customHeight="1" spans="1:16">
      <c r="A87" s="17" t="s">
        <v>261</v>
      </c>
      <c r="B87" s="17" t="s">
        <v>259</v>
      </c>
      <c r="C87" s="17" t="s">
        <v>262</v>
      </c>
      <c r="D87" s="17" t="s">
        <v>161</v>
      </c>
      <c r="E87" s="17" t="s">
        <v>162</v>
      </c>
      <c r="F87" s="17" t="s">
        <v>163</v>
      </c>
      <c r="G87" s="17" t="s">
        <v>164</v>
      </c>
      <c r="H87" s="17" t="s">
        <v>54</v>
      </c>
      <c r="I87" s="20" t="s">
        <v>53</v>
      </c>
      <c r="J87" s="17" t="s">
        <v>54</v>
      </c>
      <c r="K87" s="21" t="s">
        <v>54</v>
      </c>
      <c r="L87" s="21" t="s">
        <v>54</v>
      </c>
      <c r="M87" s="25" t="s">
        <v>54</v>
      </c>
      <c r="N87" s="17" t="s">
        <v>165</v>
      </c>
      <c r="O87" s="17"/>
      <c r="P87" s="17"/>
    </row>
    <row r="88" ht="39" customHeight="1" spans="1:16">
      <c r="A88" s="17" t="s">
        <v>263</v>
      </c>
      <c r="B88" s="17" t="s">
        <v>264</v>
      </c>
      <c r="C88" s="17" t="s">
        <v>265</v>
      </c>
      <c r="D88" s="17" t="s">
        <v>161</v>
      </c>
      <c r="E88" s="17" t="s">
        <v>162</v>
      </c>
      <c r="F88" s="17" t="s">
        <v>163</v>
      </c>
      <c r="G88" s="17" t="s">
        <v>164</v>
      </c>
      <c r="H88" s="17" t="s">
        <v>54</v>
      </c>
      <c r="I88" s="20" t="s">
        <v>53</v>
      </c>
      <c r="J88" s="17" t="s">
        <v>54</v>
      </c>
      <c r="K88" s="21" t="s">
        <v>54</v>
      </c>
      <c r="L88" s="21" t="s">
        <v>54</v>
      </c>
      <c r="M88" s="25" t="s">
        <v>54</v>
      </c>
      <c r="N88" s="17" t="s">
        <v>165</v>
      </c>
      <c r="O88" s="17"/>
      <c r="P88" s="17"/>
    </row>
    <row r="89" ht="39" customHeight="1" spans="1:16">
      <c r="A89" s="17" t="s">
        <v>266</v>
      </c>
      <c r="B89" s="17" t="s">
        <v>264</v>
      </c>
      <c r="C89" s="17" t="s">
        <v>267</v>
      </c>
      <c r="D89" s="17" t="s">
        <v>161</v>
      </c>
      <c r="E89" s="17" t="s">
        <v>162</v>
      </c>
      <c r="F89" s="17" t="s">
        <v>163</v>
      </c>
      <c r="G89" s="17" t="s">
        <v>164</v>
      </c>
      <c r="H89" s="17" t="s">
        <v>54</v>
      </c>
      <c r="I89" s="20" t="s">
        <v>53</v>
      </c>
      <c r="J89" s="17" t="s">
        <v>54</v>
      </c>
      <c r="K89" s="21" t="s">
        <v>54</v>
      </c>
      <c r="L89" s="21" t="s">
        <v>54</v>
      </c>
      <c r="M89" s="25" t="s">
        <v>54</v>
      </c>
      <c r="N89" s="17" t="s">
        <v>165</v>
      </c>
      <c r="O89" s="17"/>
      <c r="P89" s="17"/>
    </row>
    <row r="90" ht="39" customHeight="1" spans="1:16">
      <c r="A90" s="17" t="s">
        <v>268</v>
      </c>
      <c r="B90" s="17" t="s">
        <v>269</v>
      </c>
      <c r="C90" s="17" t="s">
        <v>270</v>
      </c>
      <c r="D90" s="17" t="s">
        <v>161</v>
      </c>
      <c r="E90" s="17" t="s">
        <v>162</v>
      </c>
      <c r="F90" s="17" t="s">
        <v>163</v>
      </c>
      <c r="G90" s="17" t="s">
        <v>164</v>
      </c>
      <c r="H90" s="17" t="s">
        <v>54</v>
      </c>
      <c r="I90" s="20" t="s">
        <v>53</v>
      </c>
      <c r="J90" s="17" t="s">
        <v>54</v>
      </c>
      <c r="K90" s="21" t="s">
        <v>54</v>
      </c>
      <c r="L90" s="21" t="s">
        <v>54</v>
      </c>
      <c r="M90" s="25" t="s">
        <v>54</v>
      </c>
      <c r="N90" s="17" t="s">
        <v>165</v>
      </c>
      <c r="O90" s="17"/>
      <c r="P90" s="17"/>
    </row>
    <row r="91" ht="39" customHeight="1" spans="1:16">
      <c r="A91" s="17" t="s">
        <v>271</v>
      </c>
      <c r="B91" s="17" t="s">
        <v>269</v>
      </c>
      <c r="C91" s="17" t="s">
        <v>272</v>
      </c>
      <c r="D91" s="17" t="s">
        <v>161</v>
      </c>
      <c r="E91" s="17" t="s">
        <v>162</v>
      </c>
      <c r="F91" s="17" t="s">
        <v>163</v>
      </c>
      <c r="G91" s="17" t="s">
        <v>164</v>
      </c>
      <c r="H91" s="17" t="s">
        <v>54</v>
      </c>
      <c r="I91" s="20" t="s">
        <v>53</v>
      </c>
      <c r="J91" s="17" t="s">
        <v>54</v>
      </c>
      <c r="K91" s="21" t="s">
        <v>54</v>
      </c>
      <c r="L91" s="21" t="s">
        <v>54</v>
      </c>
      <c r="M91" s="25" t="s">
        <v>54</v>
      </c>
      <c r="N91" s="17" t="s">
        <v>165</v>
      </c>
      <c r="O91" s="17"/>
      <c r="P91" s="17"/>
    </row>
    <row r="92" ht="39" customHeight="1" spans="1:16">
      <c r="A92" s="17" t="s">
        <v>273</v>
      </c>
      <c r="B92" s="17" t="s">
        <v>274</v>
      </c>
      <c r="C92" s="17" t="s">
        <v>275</v>
      </c>
      <c r="D92" s="17" t="s">
        <v>161</v>
      </c>
      <c r="E92" s="17" t="s">
        <v>162</v>
      </c>
      <c r="F92" s="17" t="s">
        <v>163</v>
      </c>
      <c r="G92" s="17" t="s">
        <v>164</v>
      </c>
      <c r="H92" s="17" t="s">
        <v>54</v>
      </c>
      <c r="I92" s="20" t="s">
        <v>53</v>
      </c>
      <c r="J92" s="17" t="s">
        <v>54</v>
      </c>
      <c r="K92" s="21" t="s">
        <v>54</v>
      </c>
      <c r="L92" s="21" t="s">
        <v>54</v>
      </c>
      <c r="M92" s="25" t="s">
        <v>54</v>
      </c>
      <c r="N92" s="17" t="s">
        <v>165</v>
      </c>
      <c r="O92" s="17"/>
      <c r="P92" s="17"/>
    </row>
    <row r="93" ht="39" customHeight="1" spans="1:16">
      <c r="A93" s="17" t="s">
        <v>276</v>
      </c>
      <c r="B93" s="17" t="s">
        <v>274</v>
      </c>
      <c r="C93" s="17" t="s">
        <v>277</v>
      </c>
      <c r="D93" s="17" t="s">
        <v>161</v>
      </c>
      <c r="E93" s="17" t="s">
        <v>162</v>
      </c>
      <c r="F93" s="17" t="s">
        <v>163</v>
      </c>
      <c r="G93" s="17" t="s">
        <v>164</v>
      </c>
      <c r="H93" s="17" t="s">
        <v>54</v>
      </c>
      <c r="I93" s="20" t="s">
        <v>53</v>
      </c>
      <c r="J93" s="17" t="s">
        <v>54</v>
      </c>
      <c r="K93" s="21" t="s">
        <v>54</v>
      </c>
      <c r="L93" s="21" t="s">
        <v>54</v>
      </c>
      <c r="M93" s="25" t="s">
        <v>54</v>
      </c>
      <c r="N93" s="17" t="s">
        <v>165</v>
      </c>
      <c r="O93" s="17"/>
      <c r="P93" s="17"/>
    </row>
    <row r="94" ht="39" customHeight="1" spans="1:16">
      <c r="A94" s="17" t="s">
        <v>278</v>
      </c>
      <c r="B94" s="17" t="s">
        <v>279</v>
      </c>
      <c r="C94" s="17" t="s">
        <v>280</v>
      </c>
      <c r="D94" s="17" t="s">
        <v>161</v>
      </c>
      <c r="E94" s="17" t="s">
        <v>162</v>
      </c>
      <c r="F94" s="17" t="s">
        <v>163</v>
      </c>
      <c r="G94" s="17" t="s">
        <v>164</v>
      </c>
      <c r="H94" s="17" t="s">
        <v>54</v>
      </c>
      <c r="I94" s="20" t="s">
        <v>53</v>
      </c>
      <c r="J94" s="17" t="s">
        <v>54</v>
      </c>
      <c r="K94" s="21" t="s">
        <v>54</v>
      </c>
      <c r="L94" s="21" t="s">
        <v>54</v>
      </c>
      <c r="M94" s="25" t="s">
        <v>54</v>
      </c>
      <c r="N94" s="17" t="s">
        <v>165</v>
      </c>
      <c r="O94" s="17"/>
      <c r="P94" s="17"/>
    </row>
    <row r="95" ht="39" customHeight="1" spans="1:16">
      <c r="A95" s="17" t="s">
        <v>281</v>
      </c>
      <c r="B95" s="17" t="s">
        <v>279</v>
      </c>
      <c r="C95" s="17" t="s">
        <v>282</v>
      </c>
      <c r="D95" s="17" t="s">
        <v>161</v>
      </c>
      <c r="E95" s="17" t="s">
        <v>162</v>
      </c>
      <c r="F95" s="17" t="s">
        <v>163</v>
      </c>
      <c r="G95" s="17" t="s">
        <v>164</v>
      </c>
      <c r="H95" s="17" t="s">
        <v>54</v>
      </c>
      <c r="I95" s="20" t="s">
        <v>53</v>
      </c>
      <c r="J95" s="17" t="s">
        <v>54</v>
      </c>
      <c r="K95" s="21" t="s">
        <v>54</v>
      </c>
      <c r="L95" s="21" t="s">
        <v>54</v>
      </c>
      <c r="M95" s="25" t="s">
        <v>54</v>
      </c>
      <c r="N95" s="17" t="s">
        <v>165</v>
      </c>
      <c r="O95" s="17"/>
      <c r="P95" s="17"/>
    </row>
    <row r="96" ht="39" customHeight="1" spans="1:16">
      <c r="A96" s="17" t="s">
        <v>283</v>
      </c>
      <c r="B96" s="17" t="s">
        <v>284</v>
      </c>
      <c r="C96" s="17" t="s">
        <v>285</v>
      </c>
      <c r="D96" s="17" t="s">
        <v>161</v>
      </c>
      <c r="E96" s="17" t="s">
        <v>162</v>
      </c>
      <c r="F96" s="17" t="s">
        <v>163</v>
      </c>
      <c r="G96" s="17" t="s">
        <v>164</v>
      </c>
      <c r="H96" s="17" t="s">
        <v>54</v>
      </c>
      <c r="I96" s="20" t="s">
        <v>53</v>
      </c>
      <c r="J96" s="17" t="s">
        <v>54</v>
      </c>
      <c r="K96" s="21" t="s">
        <v>54</v>
      </c>
      <c r="L96" s="21" t="s">
        <v>54</v>
      </c>
      <c r="M96" s="25" t="s">
        <v>54</v>
      </c>
      <c r="N96" s="17" t="s">
        <v>165</v>
      </c>
      <c r="O96" s="17"/>
      <c r="P96" s="17"/>
    </row>
    <row r="97" ht="39" customHeight="1" spans="1:16">
      <c r="A97" s="17" t="s">
        <v>286</v>
      </c>
      <c r="B97" s="17" t="s">
        <v>284</v>
      </c>
      <c r="C97" s="17" t="s">
        <v>287</v>
      </c>
      <c r="D97" s="17" t="s">
        <v>161</v>
      </c>
      <c r="E97" s="17" t="s">
        <v>162</v>
      </c>
      <c r="F97" s="17" t="s">
        <v>163</v>
      </c>
      <c r="G97" s="17" t="s">
        <v>164</v>
      </c>
      <c r="H97" s="17" t="s">
        <v>54</v>
      </c>
      <c r="I97" s="20" t="s">
        <v>53</v>
      </c>
      <c r="J97" s="17" t="s">
        <v>54</v>
      </c>
      <c r="K97" s="21" t="s">
        <v>54</v>
      </c>
      <c r="L97" s="21" t="s">
        <v>54</v>
      </c>
      <c r="M97" s="25" t="s">
        <v>54</v>
      </c>
      <c r="N97" s="17" t="s">
        <v>165</v>
      </c>
      <c r="O97" s="17"/>
      <c r="P97" s="17"/>
    </row>
    <row r="98" ht="39" customHeight="1" spans="1:16">
      <c r="A98" s="17" t="s">
        <v>288</v>
      </c>
      <c r="B98" s="17" t="s">
        <v>289</v>
      </c>
      <c r="C98" s="17" t="s">
        <v>290</v>
      </c>
      <c r="D98" s="17" t="s">
        <v>161</v>
      </c>
      <c r="E98" s="17" t="s">
        <v>162</v>
      </c>
      <c r="F98" s="17" t="s">
        <v>163</v>
      </c>
      <c r="G98" s="17" t="s">
        <v>164</v>
      </c>
      <c r="H98" s="17" t="s">
        <v>54</v>
      </c>
      <c r="I98" s="20" t="s">
        <v>53</v>
      </c>
      <c r="J98" s="17" t="s">
        <v>54</v>
      </c>
      <c r="K98" s="21" t="s">
        <v>54</v>
      </c>
      <c r="L98" s="21" t="s">
        <v>54</v>
      </c>
      <c r="M98" s="25" t="s">
        <v>54</v>
      </c>
      <c r="N98" s="17" t="s">
        <v>165</v>
      </c>
      <c r="O98" s="17"/>
      <c r="P98" s="17"/>
    </row>
    <row r="99" ht="39" customHeight="1" spans="1:16">
      <c r="A99" s="17" t="s">
        <v>291</v>
      </c>
      <c r="B99" s="17" t="s">
        <v>289</v>
      </c>
      <c r="C99" s="17" t="s">
        <v>292</v>
      </c>
      <c r="D99" s="17" t="s">
        <v>161</v>
      </c>
      <c r="E99" s="17" t="s">
        <v>162</v>
      </c>
      <c r="F99" s="17" t="s">
        <v>163</v>
      </c>
      <c r="G99" s="17" t="s">
        <v>164</v>
      </c>
      <c r="H99" s="17" t="s">
        <v>54</v>
      </c>
      <c r="I99" s="20" t="s">
        <v>53</v>
      </c>
      <c r="J99" s="17" t="s">
        <v>54</v>
      </c>
      <c r="K99" s="21" t="s">
        <v>54</v>
      </c>
      <c r="L99" s="21" t="s">
        <v>54</v>
      </c>
      <c r="M99" s="25" t="s">
        <v>54</v>
      </c>
      <c r="N99" s="17" t="s">
        <v>165</v>
      </c>
      <c r="O99" s="17"/>
      <c r="P99" s="17"/>
    </row>
    <row r="100" ht="39" customHeight="1" spans="1:16">
      <c r="A100" s="17" t="s">
        <v>293</v>
      </c>
      <c r="B100" s="17" t="s">
        <v>294</v>
      </c>
      <c r="C100" s="17" t="s">
        <v>295</v>
      </c>
      <c r="D100" s="17" t="s">
        <v>161</v>
      </c>
      <c r="E100" s="17" t="s">
        <v>162</v>
      </c>
      <c r="F100" s="17" t="s">
        <v>163</v>
      </c>
      <c r="G100" s="17" t="s">
        <v>164</v>
      </c>
      <c r="H100" s="17" t="s">
        <v>54</v>
      </c>
      <c r="I100" s="20" t="s">
        <v>53</v>
      </c>
      <c r="J100" s="17" t="s">
        <v>54</v>
      </c>
      <c r="K100" s="21" t="s">
        <v>54</v>
      </c>
      <c r="L100" s="21" t="s">
        <v>54</v>
      </c>
      <c r="M100" s="25" t="s">
        <v>54</v>
      </c>
      <c r="N100" s="17" t="s">
        <v>165</v>
      </c>
      <c r="O100" s="17"/>
      <c r="P100" s="17"/>
    </row>
    <row r="101" ht="39" customHeight="1" spans="1:16">
      <c r="A101" s="17" t="s">
        <v>296</v>
      </c>
      <c r="B101" s="17" t="s">
        <v>294</v>
      </c>
      <c r="C101" s="17" t="s">
        <v>297</v>
      </c>
      <c r="D101" s="17" t="s">
        <v>161</v>
      </c>
      <c r="E101" s="17" t="s">
        <v>162</v>
      </c>
      <c r="F101" s="17" t="s">
        <v>163</v>
      </c>
      <c r="G101" s="17" t="s">
        <v>164</v>
      </c>
      <c r="H101" s="17" t="s">
        <v>54</v>
      </c>
      <c r="I101" s="20" t="s">
        <v>53</v>
      </c>
      <c r="J101" s="17" t="s">
        <v>54</v>
      </c>
      <c r="K101" s="21" t="s">
        <v>54</v>
      </c>
      <c r="L101" s="21" t="s">
        <v>54</v>
      </c>
      <c r="M101" s="25" t="s">
        <v>54</v>
      </c>
      <c r="N101" s="17" t="s">
        <v>165</v>
      </c>
      <c r="O101" s="17"/>
      <c r="P101" s="17"/>
    </row>
    <row r="102" ht="39" customHeight="1" spans="1:16">
      <c r="A102" s="17" t="s">
        <v>298</v>
      </c>
      <c r="B102" s="17" t="s">
        <v>299</v>
      </c>
      <c r="C102" s="17" t="s">
        <v>300</v>
      </c>
      <c r="D102" s="17" t="s">
        <v>161</v>
      </c>
      <c r="E102" s="17" t="s">
        <v>162</v>
      </c>
      <c r="F102" s="17" t="s">
        <v>163</v>
      </c>
      <c r="G102" s="17" t="s">
        <v>164</v>
      </c>
      <c r="H102" s="17" t="s">
        <v>54</v>
      </c>
      <c r="I102" s="20" t="s">
        <v>53</v>
      </c>
      <c r="J102" s="17" t="s">
        <v>54</v>
      </c>
      <c r="K102" s="21" t="s">
        <v>54</v>
      </c>
      <c r="L102" s="21" t="s">
        <v>54</v>
      </c>
      <c r="M102" s="25" t="s">
        <v>54</v>
      </c>
      <c r="N102" s="17" t="s">
        <v>165</v>
      </c>
      <c r="O102" s="17"/>
      <c r="P102" s="17"/>
    </row>
    <row r="103" ht="39" customHeight="1" spans="1:16">
      <c r="A103" s="17" t="s">
        <v>301</v>
      </c>
      <c r="B103" s="17" t="s">
        <v>299</v>
      </c>
      <c r="C103" s="17" t="s">
        <v>302</v>
      </c>
      <c r="D103" s="17" t="s">
        <v>161</v>
      </c>
      <c r="E103" s="17" t="s">
        <v>162</v>
      </c>
      <c r="F103" s="17" t="s">
        <v>163</v>
      </c>
      <c r="G103" s="17" t="s">
        <v>164</v>
      </c>
      <c r="H103" s="17" t="s">
        <v>54</v>
      </c>
      <c r="I103" s="20" t="s">
        <v>53</v>
      </c>
      <c r="J103" s="17" t="s">
        <v>54</v>
      </c>
      <c r="K103" s="21" t="s">
        <v>54</v>
      </c>
      <c r="L103" s="21" t="s">
        <v>54</v>
      </c>
      <c r="M103" s="25" t="s">
        <v>54</v>
      </c>
      <c r="N103" s="17" t="s">
        <v>165</v>
      </c>
      <c r="O103" s="17"/>
      <c r="P103" s="17"/>
    </row>
    <row r="104" ht="39" customHeight="1" spans="1:16">
      <c r="A104" s="17" t="s">
        <v>303</v>
      </c>
      <c r="B104" s="17" t="s">
        <v>304</v>
      </c>
      <c r="C104" s="17" t="s">
        <v>305</v>
      </c>
      <c r="D104" s="17" t="s">
        <v>161</v>
      </c>
      <c r="E104" s="17" t="s">
        <v>162</v>
      </c>
      <c r="F104" s="17" t="s">
        <v>163</v>
      </c>
      <c r="G104" s="17" t="s">
        <v>164</v>
      </c>
      <c r="H104" s="17" t="s">
        <v>54</v>
      </c>
      <c r="I104" s="20" t="s">
        <v>53</v>
      </c>
      <c r="J104" s="17" t="s">
        <v>54</v>
      </c>
      <c r="K104" s="21" t="s">
        <v>54</v>
      </c>
      <c r="L104" s="21" t="s">
        <v>54</v>
      </c>
      <c r="M104" s="25" t="s">
        <v>54</v>
      </c>
      <c r="N104" s="17" t="s">
        <v>165</v>
      </c>
      <c r="O104" s="17"/>
      <c r="P104" s="17"/>
    </row>
    <row r="105" ht="39" customHeight="1" spans="1:16">
      <c r="A105" s="17" t="s">
        <v>306</v>
      </c>
      <c r="B105" s="17" t="s">
        <v>304</v>
      </c>
      <c r="C105" s="17" t="s">
        <v>307</v>
      </c>
      <c r="D105" s="17" t="s">
        <v>161</v>
      </c>
      <c r="E105" s="17" t="s">
        <v>162</v>
      </c>
      <c r="F105" s="17" t="s">
        <v>163</v>
      </c>
      <c r="G105" s="17" t="s">
        <v>164</v>
      </c>
      <c r="H105" s="17" t="s">
        <v>54</v>
      </c>
      <c r="I105" s="20" t="s">
        <v>53</v>
      </c>
      <c r="J105" s="17" t="s">
        <v>54</v>
      </c>
      <c r="K105" s="21" t="s">
        <v>54</v>
      </c>
      <c r="L105" s="21" t="s">
        <v>54</v>
      </c>
      <c r="M105" s="25" t="s">
        <v>54</v>
      </c>
      <c r="N105" s="17" t="s">
        <v>165</v>
      </c>
      <c r="O105" s="17"/>
      <c r="P105" s="17"/>
    </row>
    <row r="106" ht="39" customHeight="1" spans="1:16">
      <c r="A106" s="17" t="s">
        <v>308</v>
      </c>
      <c r="B106" s="17" t="s">
        <v>309</v>
      </c>
      <c r="C106" s="17" t="s">
        <v>310</v>
      </c>
      <c r="D106" s="17" t="s">
        <v>161</v>
      </c>
      <c r="E106" s="17" t="s">
        <v>162</v>
      </c>
      <c r="F106" s="17" t="s">
        <v>163</v>
      </c>
      <c r="G106" s="17" t="s">
        <v>164</v>
      </c>
      <c r="H106" s="17" t="s">
        <v>54</v>
      </c>
      <c r="I106" s="20" t="s">
        <v>53</v>
      </c>
      <c r="J106" s="17" t="s">
        <v>54</v>
      </c>
      <c r="K106" s="21" t="s">
        <v>54</v>
      </c>
      <c r="L106" s="21" t="s">
        <v>54</v>
      </c>
      <c r="M106" s="25" t="s">
        <v>54</v>
      </c>
      <c r="N106" s="17" t="s">
        <v>165</v>
      </c>
      <c r="O106" s="17"/>
      <c r="P106" s="17"/>
    </row>
    <row r="107" ht="39" customHeight="1" spans="1:16">
      <c r="A107" s="17" t="s">
        <v>311</v>
      </c>
      <c r="B107" s="17" t="s">
        <v>309</v>
      </c>
      <c r="C107" s="17" t="s">
        <v>312</v>
      </c>
      <c r="D107" s="17" t="s">
        <v>161</v>
      </c>
      <c r="E107" s="17" t="s">
        <v>162</v>
      </c>
      <c r="F107" s="17" t="s">
        <v>163</v>
      </c>
      <c r="G107" s="17" t="s">
        <v>164</v>
      </c>
      <c r="H107" s="17" t="s">
        <v>54</v>
      </c>
      <c r="I107" s="20" t="s">
        <v>53</v>
      </c>
      <c r="J107" s="17" t="s">
        <v>54</v>
      </c>
      <c r="K107" s="21" t="s">
        <v>54</v>
      </c>
      <c r="L107" s="21" t="s">
        <v>54</v>
      </c>
      <c r="M107" s="25" t="s">
        <v>54</v>
      </c>
      <c r="N107" s="17" t="s">
        <v>165</v>
      </c>
      <c r="O107" s="17"/>
      <c r="P107" s="17"/>
    </row>
    <row r="108" ht="39" customHeight="1" spans="1:16">
      <c r="A108" s="17" t="s">
        <v>313</v>
      </c>
      <c r="B108" s="17" t="s">
        <v>314</v>
      </c>
      <c r="C108" s="17" t="s">
        <v>315</v>
      </c>
      <c r="D108" s="17" t="s">
        <v>161</v>
      </c>
      <c r="E108" s="17" t="s">
        <v>162</v>
      </c>
      <c r="F108" s="17" t="s">
        <v>163</v>
      </c>
      <c r="G108" s="17" t="s">
        <v>164</v>
      </c>
      <c r="H108" s="17" t="s">
        <v>54</v>
      </c>
      <c r="I108" s="20" t="s">
        <v>53</v>
      </c>
      <c r="J108" s="17" t="s">
        <v>54</v>
      </c>
      <c r="K108" s="21" t="s">
        <v>54</v>
      </c>
      <c r="L108" s="21" t="s">
        <v>54</v>
      </c>
      <c r="M108" s="25" t="s">
        <v>54</v>
      </c>
      <c r="N108" s="17" t="s">
        <v>165</v>
      </c>
      <c r="O108" s="17"/>
      <c r="P108" s="17"/>
    </row>
    <row r="109" ht="39" customHeight="1" spans="1:16">
      <c r="A109" s="17" t="s">
        <v>316</v>
      </c>
      <c r="B109" s="17" t="s">
        <v>314</v>
      </c>
      <c r="C109" s="17" t="s">
        <v>317</v>
      </c>
      <c r="D109" s="17" t="s">
        <v>161</v>
      </c>
      <c r="E109" s="17" t="s">
        <v>162</v>
      </c>
      <c r="F109" s="17" t="s">
        <v>163</v>
      </c>
      <c r="G109" s="17" t="s">
        <v>164</v>
      </c>
      <c r="H109" s="17" t="s">
        <v>54</v>
      </c>
      <c r="I109" s="20" t="s">
        <v>53</v>
      </c>
      <c r="J109" s="17" t="s">
        <v>54</v>
      </c>
      <c r="K109" s="21" t="s">
        <v>54</v>
      </c>
      <c r="L109" s="21" t="s">
        <v>54</v>
      </c>
      <c r="M109" s="25" t="s">
        <v>54</v>
      </c>
      <c r="N109" s="17" t="s">
        <v>165</v>
      </c>
      <c r="O109" s="17"/>
      <c r="P109" s="17"/>
    </row>
    <row r="110" ht="39" customHeight="1" spans="1:16">
      <c r="A110" s="17" t="s">
        <v>318</v>
      </c>
      <c r="B110" s="17" t="s">
        <v>319</v>
      </c>
      <c r="C110" s="17" t="s">
        <v>320</v>
      </c>
      <c r="D110" s="17" t="s">
        <v>161</v>
      </c>
      <c r="E110" s="17" t="s">
        <v>162</v>
      </c>
      <c r="F110" s="17" t="s">
        <v>163</v>
      </c>
      <c r="G110" s="17" t="s">
        <v>164</v>
      </c>
      <c r="H110" s="17" t="s">
        <v>54</v>
      </c>
      <c r="I110" s="20" t="s">
        <v>53</v>
      </c>
      <c r="J110" s="17" t="s">
        <v>54</v>
      </c>
      <c r="K110" s="21" t="s">
        <v>54</v>
      </c>
      <c r="L110" s="21" t="s">
        <v>54</v>
      </c>
      <c r="M110" s="25" t="s">
        <v>54</v>
      </c>
      <c r="N110" s="17" t="s">
        <v>165</v>
      </c>
      <c r="O110" s="17"/>
      <c r="P110" s="17"/>
    </row>
    <row r="111" ht="39" customHeight="1" spans="1:16">
      <c r="A111" s="17" t="s">
        <v>321</v>
      </c>
      <c r="B111" s="17" t="s">
        <v>319</v>
      </c>
      <c r="C111" s="17" t="s">
        <v>322</v>
      </c>
      <c r="D111" s="17" t="s">
        <v>161</v>
      </c>
      <c r="E111" s="17" t="s">
        <v>162</v>
      </c>
      <c r="F111" s="17" t="s">
        <v>163</v>
      </c>
      <c r="G111" s="17" t="s">
        <v>164</v>
      </c>
      <c r="H111" s="17" t="s">
        <v>54</v>
      </c>
      <c r="I111" s="20" t="s">
        <v>53</v>
      </c>
      <c r="J111" s="17" t="s">
        <v>54</v>
      </c>
      <c r="K111" s="21" t="s">
        <v>54</v>
      </c>
      <c r="L111" s="21" t="s">
        <v>54</v>
      </c>
      <c r="M111" s="25" t="s">
        <v>54</v>
      </c>
      <c r="N111" s="17" t="s">
        <v>165</v>
      </c>
      <c r="O111" s="17"/>
      <c r="P111" s="17"/>
    </row>
    <row r="112" ht="39" customHeight="1" spans="1:16">
      <c r="A112" s="17" t="s">
        <v>323</v>
      </c>
      <c r="B112" s="17" t="s">
        <v>324</v>
      </c>
      <c r="C112" s="17" t="s">
        <v>325</v>
      </c>
      <c r="D112" s="17" t="s">
        <v>161</v>
      </c>
      <c r="E112" s="17" t="s">
        <v>162</v>
      </c>
      <c r="F112" s="17" t="s">
        <v>163</v>
      </c>
      <c r="G112" s="17" t="s">
        <v>164</v>
      </c>
      <c r="H112" s="17" t="s">
        <v>54</v>
      </c>
      <c r="I112" s="20" t="s">
        <v>53</v>
      </c>
      <c r="J112" s="17" t="s">
        <v>54</v>
      </c>
      <c r="K112" s="21" t="s">
        <v>54</v>
      </c>
      <c r="L112" s="21" t="s">
        <v>54</v>
      </c>
      <c r="M112" s="25" t="s">
        <v>54</v>
      </c>
      <c r="N112" s="17" t="s">
        <v>165</v>
      </c>
      <c r="O112" s="17"/>
      <c r="P112" s="17"/>
    </row>
    <row r="113" ht="39" customHeight="1" spans="1:16">
      <c r="A113" s="17" t="s">
        <v>326</v>
      </c>
      <c r="B113" s="17" t="s">
        <v>324</v>
      </c>
      <c r="C113" s="17" t="s">
        <v>327</v>
      </c>
      <c r="D113" s="17" t="s">
        <v>161</v>
      </c>
      <c r="E113" s="17" t="s">
        <v>162</v>
      </c>
      <c r="F113" s="17" t="s">
        <v>163</v>
      </c>
      <c r="G113" s="17" t="s">
        <v>164</v>
      </c>
      <c r="H113" s="17" t="s">
        <v>54</v>
      </c>
      <c r="I113" s="20" t="s">
        <v>53</v>
      </c>
      <c r="J113" s="17" t="s">
        <v>54</v>
      </c>
      <c r="K113" s="21" t="s">
        <v>54</v>
      </c>
      <c r="L113" s="21" t="s">
        <v>54</v>
      </c>
      <c r="M113" s="25" t="s">
        <v>54</v>
      </c>
      <c r="N113" s="17" t="s">
        <v>165</v>
      </c>
      <c r="O113" s="17"/>
      <c r="P113" s="17"/>
    </row>
    <row r="114" ht="39" customHeight="1" spans="1:16">
      <c r="A114" s="17" t="s">
        <v>328</v>
      </c>
      <c r="B114" s="17" t="s">
        <v>329</v>
      </c>
      <c r="C114" s="17" t="s">
        <v>330</v>
      </c>
      <c r="D114" s="17" t="s">
        <v>161</v>
      </c>
      <c r="E114" s="17" t="s">
        <v>162</v>
      </c>
      <c r="F114" s="17" t="s">
        <v>163</v>
      </c>
      <c r="G114" s="17" t="s">
        <v>164</v>
      </c>
      <c r="H114" s="17" t="s">
        <v>54</v>
      </c>
      <c r="I114" s="20" t="s">
        <v>53</v>
      </c>
      <c r="J114" s="17" t="s">
        <v>54</v>
      </c>
      <c r="K114" s="21" t="s">
        <v>54</v>
      </c>
      <c r="L114" s="21" t="s">
        <v>54</v>
      </c>
      <c r="M114" s="25" t="s">
        <v>54</v>
      </c>
      <c r="N114" s="17" t="s">
        <v>165</v>
      </c>
      <c r="O114" s="17"/>
      <c r="P114" s="17"/>
    </row>
    <row r="115" ht="39" customHeight="1" spans="1:16">
      <c r="A115" s="17" t="s">
        <v>331</v>
      </c>
      <c r="B115" s="17" t="s">
        <v>329</v>
      </c>
      <c r="C115" s="17" t="s">
        <v>332</v>
      </c>
      <c r="D115" s="17" t="s">
        <v>161</v>
      </c>
      <c r="E115" s="17" t="s">
        <v>162</v>
      </c>
      <c r="F115" s="17" t="s">
        <v>163</v>
      </c>
      <c r="G115" s="17" t="s">
        <v>164</v>
      </c>
      <c r="H115" s="17" t="s">
        <v>54</v>
      </c>
      <c r="I115" s="20" t="s">
        <v>53</v>
      </c>
      <c r="J115" s="17" t="s">
        <v>54</v>
      </c>
      <c r="K115" s="21" t="s">
        <v>54</v>
      </c>
      <c r="L115" s="21" t="s">
        <v>54</v>
      </c>
      <c r="M115" s="25" t="s">
        <v>54</v>
      </c>
      <c r="N115" s="17" t="s">
        <v>165</v>
      </c>
      <c r="O115" s="17"/>
      <c r="P115" s="17"/>
    </row>
    <row r="116" ht="39" customHeight="1" spans="1:16">
      <c r="A116" s="17" t="s">
        <v>333</v>
      </c>
      <c r="B116" s="17" t="s">
        <v>334</v>
      </c>
      <c r="C116" s="17" t="s">
        <v>335</v>
      </c>
      <c r="D116" s="17" t="s">
        <v>161</v>
      </c>
      <c r="E116" s="17" t="s">
        <v>162</v>
      </c>
      <c r="F116" s="17" t="s">
        <v>163</v>
      </c>
      <c r="G116" s="17" t="s">
        <v>164</v>
      </c>
      <c r="H116" s="17" t="s">
        <v>54</v>
      </c>
      <c r="I116" s="20" t="s">
        <v>53</v>
      </c>
      <c r="J116" s="17" t="s">
        <v>54</v>
      </c>
      <c r="K116" s="21" t="s">
        <v>54</v>
      </c>
      <c r="L116" s="21" t="s">
        <v>54</v>
      </c>
      <c r="M116" s="25" t="s">
        <v>54</v>
      </c>
      <c r="N116" s="17" t="s">
        <v>165</v>
      </c>
      <c r="O116" s="17"/>
      <c r="P116" s="17"/>
    </row>
    <row r="117" ht="39" customHeight="1" spans="1:16">
      <c r="A117" s="17" t="s">
        <v>336</v>
      </c>
      <c r="B117" s="17" t="s">
        <v>334</v>
      </c>
      <c r="C117" s="17" t="s">
        <v>337</v>
      </c>
      <c r="D117" s="17" t="s">
        <v>161</v>
      </c>
      <c r="E117" s="17" t="s">
        <v>162</v>
      </c>
      <c r="F117" s="17" t="s">
        <v>163</v>
      </c>
      <c r="G117" s="17" t="s">
        <v>164</v>
      </c>
      <c r="H117" s="17" t="s">
        <v>54</v>
      </c>
      <c r="I117" s="20" t="s">
        <v>53</v>
      </c>
      <c r="J117" s="17" t="s">
        <v>54</v>
      </c>
      <c r="K117" s="21" t="s">
        <v>54</v>
      </c>
      <c r="L117" s="21" t="s">
        <v>54</v>
      </c>
      <c r="M117" s="25" t="s">
        <v>54</v>
      </c>
      <c r="N117" s="17" t="s">
        <v>165</v>
      </c>
      <c r="O117" s="17"/>
      <c r="P117" s="17"/>
    </row>
    <row r="118" ht="39" customHeight="1" spans="1:16">
      <c r="A118" s="17" t="s">
        <v>338</v>
      </c>
      <c r="B118" s="17" t="s">
        <v>339</v>
      </c>
      <c r="C118" s="17" t="s">
        <v>340</v>
      </c>
      <c r="D118" s="17" t="s">
        <v>8</v>
      </c>
      <c r="E118" s="17" t="s">
        <v>341</v>
      </c>
      <c r="F118" s="17" t="s">
        <v>20</v>
      </c>
      <c r="G118" s="17" t="s">
        <v>342</v>
      </c>
      <c r="H118" s="17" t="s">
        <v>343</v>
      </c>
      <c r="I118" s="20" t="s">
        <v>53</v>
      </c>
      <c r="J118" s="17" t="s">
        <v>8</v>
      </c>
      <c r="K118" s="21" t="s">
        <v>54</v>
      </c>
      <c r="L118" s="21" t="s">
        <v>54</v>
      </c>
      <c r="M118" s="25" t="s">
        <v>54</v>
      </c>
      <c r="N118" s="17" t="s">
        <v>60</v>
      </c>
      <c r="O118" s="17"/>
      <c r="P118" s="17"/>
    </row>
    <row r="119" ht="39" customHeight="1" spans="1:16">
      <c r="A119" s="17" t="s">
        <v>344</v>
      </c>
      <c r="B119" s="17" t="s">
        <v>339</v>
      </c>
      <c r="C119" s="17" t="s">
        <v>345</v>
      </c>
      <c r="D119" s="17" t="s">
        <v>8</v>
      </c>
      <c r="E119" s="17" t="s">
        <v>341</v>
      </c>
      <c r="F119" s="17" t="s">
        <v>20</v>
      </c>
      <c r="G119" s="17" t="s">
        <v>342</v>
      </c>
      <c r="H119" s="17" t="s">
        <v>346</v>
      </c>
      <c r="I119" s="20" t="s">
        <v>53</v>
      </c>
      <c r="J119" s="17" t="s">
        <v>8</v>
      </c>
      <c r="K119" s="21" t="s">
        <v>54</v>
      </c>
      <c r="L119" s="21" t="s">
        <v>54</v>
      </c>
      <c r="M119" s="25" t="s">
        <v>54</v>
      </c>
      <c r="N119" s="17" t="s">
        <v>60</v>
      </c>
      <c r="O119" s="17"/>
      <c r="P119" s="17"/>
    </row>
    <row r="120" ht="39" customHeight="1" spans="1:16">
      <c r="A120" s="17" t="s">
        <v>347</v>
      </c>
      <c r="B120" s="17" t="s">
        <v>339</v>
      </c>
      <c r="C120" s="17" t="s">
        <v>348</v>
      </c>
      <c r="D120" s="17" t="s">
        <v>8</v>
      </c>
      <c r="E120" s="17" t="s">
        <v>341</v>
      </c>
      <c r="F120" s="17" t="s">
        <v>20</v>
      </c>
      <c r="G120" s="17" t="s">
        <v>342</v>
      </c>
      <c r="H120" s="17" t="s">
        <v>349</v>
      </c>
      <c r="I120" s="20" t="s">
        <v>53</v>
      </c>
      <c r="J120" s="17" t="s">
        <v>54</v>
      </c>
      <c r="K120" s="21" t="s">
        <v>54</v>
      </c>
      <c r="L120" s="21" t="s">
        <v>54</v>
      </c>
      <c r="M120" s="25" t="s">
        <v>54</v>
      </c>
      <c r="N120" s="17" t="s">
        <v>60</v>
      </c>
      <c r="O120" s="17"/>
      <c r="P120" s="17"/>
    </row>
    <row r="121" ht="39" customHeight="1" spans="1:16">
      <c r="A121" s="17" t="s">
        <v>350</v>
      </c>
      <c r="B121" s="17" t="s">
        <v>339</v>
      </c>
      <c r="C121" s="17" t="s">
        <v>351</v>
      </c>
      <c r="D121" s="17" t="s">
        <v>8</v>
      </c>
      <c r="E121" s="17" t="s">
        <v>341</v>
      </c>
      <c r="F121" s="17" t="s">
        <v>20</v>
      </c>
      <c r="G121" s="17" t="s">
        <v>342</v>
      </c>
      <c r="H121" s="17" t="s">
        <v>352</v>
      </c>
      <c r="I121" s="20" t="s">
        <v>53</v>
      </c>
      <c r="J121" s="17" t="s">
        <v>54</v>
      </c>
      <c r="K121" s="21" t="s">
        <v>54</v>
      </c>
      <c r="L121" s="21" t="s">
        <v>54</v>
      </c>
      <c r="M121" s="25" t="s">
        <v>54</v>
      </c>
      <c r="N121" s="17" t="s">
        <v>60</v>
      </c>
      <c r="O121" s="17"/>
      <c r="P121" s="17"/>
    </row>
    <row r="122" ht="39" customHeight="1" spans="1:16">
      <c r="A122" s="17" t="s">
        <v>353</v>
      </c>
      <c r="B122" s="17" t="s">
        <v>339</v>
      </c>
      <c r="C122" s="17" t="s">
        <v>354</v>
      </c>
      <c r="D122" s="17" t="s">
        <v>8</v>
      </c>
      <c r="E122" s="17" t="s">
        <v>341</v>
      </c>
      <c r="F122" s="17" t="s">
        <v>20</v>
      </c>
      <c r="G122" s="17" t="s">
        <v>342</v>
      </c>
      <c r="H122" s="17" t="s">
        <v>349</v>
      </c>
      <c r="I122" s="20" t="s">
        <v>53</v>
      </c>
      <c r="J122" s="17" t="s">
        <v>54</v>
      </c>
      <c r="K122" s="21" t="s">
        <v>54</v>
      </c>
      <c r="L122" s="21" t="s">
        <v>54</v>
      </c>
      <c r="M122" s="25" t="s">
        <v>54</v>
      </c>
      <c r="N122" s="17" t="s">
        <v>60</v>
      </c>
      <c r="O122" s="17"/>
      <c r="P122" s="17"/>
    </row>
    <row r="123" ht="39" customHeight="1" spans="1:16">
      <c r="A123" s="17" t="s">
        <v>355</v>
      </c>
      <c r="B123" s="17" t="s">
        <v>339</v>
      </c>
      <c r="C123" s="17" t="s">
        <v>356</v>
      </c>
      <c r="D123" s="17" t="s">
        <v>7</v>
      </c>
      <c r="E123" s="17" t="s">
        <v>341</v>
      </c>
      <c r="F123" s="17" t="s">
        <v>20</v>
      </c>
      <c r="G123" s="17" t="s">
        <v>342</v>
      </c>
      <c r="H123" s="17" t="s">
        <v>54</v>
      </c>
      <c r="I123" s="20" t="s">
        <v>53</v>
      </c>
      <c r="J123" s="17" t="s">
        <v>54</v>
      </c>
      <c r="K123" s="21" t="s">
        <v>54</v>
      </c>
      <c r="L123" s="21" t="s">
        <v>54</v>
      </c>
      <c r="M123" s="25" t="s">
        <v>54</v>
      </c>
      <c r="N123" s="17" t="s">
        <v>165</v>
      </c>
      <c r="O123" s="17"/>
      <c r="P123" s="17"/>
    </row>
    <row r="124" ht="39" customHeight="1" spans="1:16">
      <c r="A124" s="17" t="s">
        <v>357</v>
      </c>
      <c r="B124" s="17" t="s">
        <v>339</v>
      </c>
      <c r="C124" s="17" t="s">
        <v>358</v>
      </c>
      <c r="D124" s="17" t="s">
        <v>7</v>
      </c>
      <c r="E124" s="17" t="s">
        <v>341</v>
      </c>
      <c r="F124" s="17" t="s">
        <v>20</v>
      </c>
      <c r="G124" s="17" t="s">
        <v>342</v>
      </c>
      <c r="H124" s="17" t="s">
        <v>54</v>
      </c>
      <c r="I124" s="20" t="s">
        <v>53</v>
      </c>
      <c r="J124" s="17" t="s">
        <v>54</v>
      </c>
      <c r="K124" s="21" t="s">
        <v>54</v>
      </c>
      <c r="L124" s="21" t="s">
        <v>54</v>
      </c>
      <c r="M124" s="25" t="s">
        <v>54</v>
      </c>
      <c r="N124" s="17" t="s">
        <v>165</v>
      </c>
      <c r="O124" s="17"/>
      <c r="P124" s="17"/>
    </row>
    <row r="125" ht="39" customHeight="1" spans="1:16">
      <c r="A125" s="17" t="s">
        <v>359</v>
      </c>
      <c r="B125" s="17" t="s">
        <v>339</v>
      </c>
      <c r="C125" s="17" t="s">
        <v>360</v>
      </c>
      <c r="D125" s="17" t="s">
        <v>7</v>
      </c>
      <c r="E125" s="17" t="s">
        <v>341</v>
      </c>
      <c r="F125" s="17" t="s">
        <v>20</v>
      </c>
      <c r="G125" s="17" t="s">
        <v>342</v>
      </c>
      <c r="H125" s="17" t="s">
        <v>54</v>
      </c>
      <c r="I125" s="20" t="s">
        <v>53</v>
      </c>
      <c r="J125" s="17" t="s">
        <v>54</v>
      </c>
      <c r="K125" s="21" t="s">
        <v>54</v>
      </c>
      <c r="L125" s="21" t="s">
        <v>54</v>
      </c>
      <c r="M125" s="25" t="s">
        <v>54</v>
      </c>
      <c r="N125" s="17" t="s">
        <v>165</v>
      </c>
      <c r="O125" s="17"/>
      <c r="P125" s="17"/>
    </row>
    <row r="126" ht="39" customHeight="1" spans="1:16">
      <c r="A126" s="17" t="s">
        <v>361</v>
      </c>
      <c r="B126" s="17" t="s">
        <v>339</v>
      </c>
      <c r="C126" s="17" t="s">
        <v>362</v>
      </c>
      <c r="D126" s="17" t="s">
        <v>11</v>
      </c>
      <c r="E126" s="17" t="s">
        <v>341</v>
      </c>
      <c r="F126" s="17" t="s">
        <v>20</v>
      </c>
      <c r="G126" s="17" t="s">
        <v>342</v>
      </c>
      <c r="H126" s="17" t="s">
        <v>54</v>
      </c>
      <c r="I126" s="20" t="s">
        <v>53</v>
      </c>
      <c r="J126" s="17" t="s">
        <v>54</v>
      </c>
      <c r="K126" s="21" t="s">
        <v>54</v>
      </c>
      <c r="L126" s="21" t="s">
        <v>54</v>
      </c>
      <c r="M126" s="25" t="s">
        <v>54</v>
      </c>
      <c r="N126" s="17" t="s">
        <v>55</v>
      </c>
      <c r="O126" s="17"/>
      <c r="P126" s="17"/>
    </row>
    <row r="127" ht="39" customHeight="1" spans="1:16">
      <c r="A127" s="17" t="s">
        <v>363</v>
      </c>
      <c r="B127" s="17" t="s">
        <v>339</v>
      </c>
      <c r="C127" s="17" t="s">
        <v>364</v>
      </c>
      <c r="D127" s="17" t="s">
        <v>7</v>
      </c>
      <c r="E127" s="17" t="s">
        <v>341</v>
      </c>
      <c r="F127" s="17" t="s">
        <v>20</v>
      </c>
      <c r="G127" s="17" t="s">
        <v>342</v>
      </c>
      <c r="H127" s="17" t="s">
        <v>54</v>
      </c>
      <c r="I127" s="20" t="s">
        <v>53</v>
      </c>
      <c r="J127" s="17" t="s">
        <v>54</v>
      </c>
      <c r="K127" s="21" t="s">
        <v>54</v>
      </c>
      <c r="L127" s="21" t="s">
        <v>54</v>
      </c>
      <c r="M127" s="25" t="s">
        <v>54</v>
      </c>
      <c r="N127" s="17" t="s">
        <v>165</v>
      </c>
      <c r="O127" s="17"/>
      <c r="P127" s="17"/>
    </row>
    <row r="128" ht="39" customHeight="1" spans="1:16">
      <c r="A128" s="17" t="s">
        <v>365</v>
      </c>
      <c r="B128" s="17" t="s">
        <v>339</v>
      </c>
      <c r="C128" s="17" t="s">
        <v>366</v>
      </c>
      <c r="D128" s="17" t="s">
        <v>11</v>
      </c>
      <c r="E128" s="17" t="s">
        <v>341</v>
      </c>
      <c r="F128" s="17" t="s">
        <v>20</v>
      </c>
      <c r="G128" s="17" t="s">
        <v>342</v>
      </c>
      <c r="H128" s="17" t="s">
        <v>54</v>
      </c>
      <c r="I128" s="20" t="s">
        <v>53</v>
      </c>
      <c r="J128" s="17" t="s">
        <v>54</v>
      </c>
      <c r="K128" s="21" t="s">
        <v>54</v>
      </c>
      <c r="L128" s="21" t="s">
        <v>54</v>
      </c>
      <c r="M128" s="25" t="s">
        <v>54</v>
      </c>
      <c r="N128" s="17" t="s">
        <v>55</v>
      </c>
      <c r="O128" s="17"/>
      <c r="P128" s="17"/>
    </row>
    <row r="129" ht="39" customHeight="1" spans="1:16">
      <c r="A129" s="17" t="s">
        <v>367</v>
      </c>
      <c r="B129" s="17" t="s">
        <v>339</v>
      </c>
      <c r="C129" s="17" t="s">
        <v>368</v>
      </c>
      <c r="D129" s="17" t="s">
        <v>7</v>
      </c>
      <c r="E129" s="17" t="s">
        <v>341</v>
      </c>
      <c r="F129" s="17" t="s">
        <v>20</v>
      </c>
      <c r="G129" s="17" t="s">
        <v>342</v>
      </c>
      <c r="H129" s="17" t="s">
        <v>54</v>
      </c>
      <c r="I129" s="20" t="s">
        <v>53</v>
      </c>
      <c r="J129" s="17" t="s">
        <v>54</v>
      </c>
      <c r="K129" s="21" t="s">
        <v>54</v>
      </c>
      <c r="L129" s="21" t="s">
        <v>54</v>
      </c>
      <c r="M129" s="25" t="s">
        <v>54</v>
      </c>
      <c r="N129" s="17" t="s">
        <v>165</v>
      </c>
      <c r="O129" s="17"/>
      <c r="P129" s="17"/>
    </row>
    <row r="130" ht="39" customHeight="1" spans="1:16">
      <c r="A130" s="17" t="s">
        <v>369</v>
      </c>
      <c r="B130" s="17" t="s">
        <v>339</v>
      </c>
      <c r="C130" s="17" t="s">
        <v>370</v>
      </c>
      <c r="D130" s="17" t="s">
        <v>11</v>
      </c>
      <c r="E130" s="17" t="s">
        <v>341</v>
      </c>
      <c r="F130" s="17" t="s">
        <v>20</v>
      </c>
      <c r="G130" s="17" t="s">
        <v>342</v>
      </c>
      <c r="H130" s="17" t="s">
        <v>78</v>
      </c>
      <c r="I130" s="20" t="s">
        <v>53</v>
      </c>
      <c r="J130" s="17" t="s">
        <v>54</v>
      </c>
      <c r="K130" s="21" t="s">
        <v>54</v>
      </c>
      <c r="L130" s="21" t="s">
        <v>54</v>
      </c>
      <c r="M130" s="25" t="s">
        <v>54</v>
      </c>
      <c r="N130" s="17" t="s">
        <v>55</v>
      </c>
      <c r="O130" s="17"/>
      <c r="P130" s="17"/>
    </row>
    <row r="131" ht="39" customHeight="1" spans="1:16">
      <c r="A131" s="17" t="s">
        <v>371</v>
      </c>
      <c r="B131" s="17" t="s">
        <v>339</v>
      </c>
      <c r="C131" s="17" t="s">
        <v>372</v>
      </c>
      <c r="D131" s="17" t="s">
        <v>11</v>
      </c>
      <c r="E131" s="17" t="s">
        <v>341</v>
      </c>
      <c r="F131" s="17" t="s">
        <v>20</v>
      </c>
      <c r="G131" s="17" t="s">
        <v>342</v>
      </c>
      <c r="H131" s="17" t="s">
        <v>78</v>
      </c>
      <c r="I131" s="20" t="s">
        <v>53</v>
      </c>
      <c r="J131" s="17" t="s">
        <v>54</v>
      </c>
      <c r="K131" s="21" t="s">
        <v>54</v>
      </c>
      <c r="L131" s="21" t="s">
        <v>54</v>
      </c>
      <c r="M131" s="25" t="s">
        <v>54</v>
      </c>
      <c r="N131" s="17" t="s">
        <v>55</v>
      </c>
      <c r="O131" s="17"/>
      <c r="P131" s="17"/>
    </row>
    <row r="132" ht="39" customHeight="1" spans="1:16">
      <c r="A132" s="17" t="s">
        <v>373</v>
      </c>
      <c r="B132" s="17" t="s">
        <v>339</v>
      </c>
      <c r="C132" s="17" t="s">
        <v>374</v>
      </c>
      <c r="D132" s="17" t="s">
        <v>7</v>
      </c>
      <c r="E132" s="17" t="s">
        <v>341</v>
      </c>
      <c r="F132" s="17" t="s">
        <v>20</v>
      </c>
      <c r="G132" s="17" t="s">
        <v>342</v>
      </c>
      <c r="H132" s="17" t="s">
        <v>54</v>
      </c>
      <c r="I132" s="20" t="s">
        <v>53</v>
      </c>
      <c r="J132" s="17" t="s">
        <v>54</v>
      </c>
      <c r="K132" s="21" t="s">
        <v>54</v>
      </c>
      <c r="L132" s="21" t="s">
        <v>54</v>
      </c>
      <c r="M132" s="25" t="s">
        <v>54</v>
      </c>
      <c r="N132" s="17" t="s">
        <v>165</v>
      </c>
      <c r="O132" s="17"/>
      <c r="P132" s="17"/>
    </row>
    <row r="133" ht="39" customHeight="1" spans="1:16">
      <c r="A133" s="17" t="s">
        <v>375</v>
      </c>
      <c r="B133" s="17" t="s">
        <v>339</v>
      </c>
      <c r="C133" s="17" t="s">
        <v>376</v>
      </c>
      <c r="D133" s="17" t="s">
        <v>11</v>
      </c>
      <c r="E133" s="17" t="s">
        <v>341</v>
      </c>
      <c r="F133" s="17" t="s">
        <v>20</v>
      </c>
      <c r="G133" s="17" t="s">
        <v>342</v>
      </c>
      <c r="H133" s="17" t="s">
        <v>78</v>
      </c>
      <c r="I133" s="20" t="s">
        <v>53</v>
      </c>
      <c r="J133" s="17" t="s">
        <v>54</v>
      </c>
      <c r="K133" s="21" t="s">
        <v>54</v>
      </c>
      <c r="L133" s="21" t="s">
        <v>54</v>
      </c>
      <c r="M133" s="25" t="s">
        <v>54</v>
      </c>
      <c r="N133" s="17" t="s">
        <v>55</v>
      </c>
      <c r="O133" s="17"/>
      <c r="P133" s="17"/>
    </row>
    <row r="134" ht="39" customHeight="1" spans="1:16">
      <c r="A134" s="17" t="s">
        <v>377</v>
      </c>
      <c r="B134" s="17" t="s">
        <v>339</v>
      </c>
      <c r="C134" s="17" t="s">
        <v>378</v>
      </c>
      <c r="D134" s="17" t="s">
        <v>7</v>
      </c>
      <c r="E134" s="17" t="s">
        <v>341</v>
      </c>
      <c r="F134" s="17" t="s">
        <v>20</v>
      </c>
      <c r="G134" s="17" t="s">
        <v>342</v>
      </c>
      <c r="H134" s="17" t="s">
        <v>54</v>
      </c>
      <c r="I134" s="20" t="s">
        <v>53</v>
      </c>
      <c r="J134" s="17" t="s">
        <v>54</v>
      </c>
      <c r="K134" s="21" t="s">
        <v>54</v>
      </c>
      <c r="L134" s="21" t="s">
        <v>54</v>
      </c>
      <c r="M134" s="25" t="s">
        <v>54</v>
      </c>
      <c r="N134" s="17" t="s">
        <v>165</v>
      </c>
      <c r="O134" s="17"/>
      <c r="P134" s="17"/>
    </row>
    <row r="135" ht="39" customHeight="1" spans="1:16">
      <c r="A135" s="17" t="s">
        <v>379</v>
      </c>
      <c r="B135" s="17" t="s">
        <v>339</v>
      </c>
      <c r="C135" s="17" t="s">
        <v>380</v>
      </c>
      <c r="D135" s="17" t="s">
        <v>7</v>
      </c>
      <c r="E135" s="17" t="s">
        <v>341</v>
      </c>
      <c r="F135" s="17" t="s">
        <v>20</v>
      </c>
      <c r="G135" s="17" t="s">
        <v>342</v>
      </c>
      <c r="H135" s="17" t="s">
        <v>54</v>
      </c>
      <c r="I135" s="20" t="s">
        <v>53</v>
      </c>
      <c r="J135" s="17" t="s">
        <v>54</v>
      </c>
      <c r="K135" s="21" t="s">
        <v>54</v>
      </c>
      <c r="L135" s="21" t="s">
        <v>54</v>
      </c>
      <c r="M135" s="25" t="s">
        <v>54</v>
      </c>
      <c r="N135" s="17" t="s">
        <v>165</v>
      </c>
      <c r="O135" s="17"/>
      <c r="P135" s="17"/>
    </row>
    <row r="136" ht="39" customHeight="1" spans="1:16">
      <c r="A136" s="17" t="s">
        <v>381</v>
      </c>
      <c r="B136" s="17" t="s">
        <v>339</v>
      </c>
      <c r="C136" s="17" t="s">
        <v>382</v>
      </c>
      <c r="D136" s="17" t="s">
        <v>8</v>
      </c>
      <c r="E136" s="17" t="s">
        <v>341</v>
      </c>
      <c r="F136" s="17" t="s">
        <v>20</v>
      </c>
      <c r="G136" s="17" t="s">
        <v>342</v>
      </c>
      <c r="H136" s="17" t="s">
        <v>383</v>
      </c>
      <c r="I136" s="20" t="s">
        <v>53</v>
      </c>
      <c r="J136" s="17" t="s">
        <v>54</v>
      </c>
      <c r="K136" s="21" t="s">
        <v>54</v>
      </c>
      <c r="L136" s="21" t="s">
        <v>54</v>
      </c>
      <c r="M136" s="25" t="s">
        <v>54</v>
      </c>
      <c r="N136" s="17" t="s">
        <v>60</v>
      </c>
      <c r="O136" s="17"/>
      <c r="P136" s="17"/>
    </row>
    <row r="137" ht="39" customHeight="1" spans="1:16">
      <c r="A137" s="17" t="s">
        <v>384</v>
      </c>
      <c r="B137" s="17" t="s">
        <v>339</v>
      </c>
      <c r="C137" s="17" t="s">
        <v>385</v>
      </c>
      <c r="D137" s="17" t="s">
        <v>11</v>
      </c>
      <c r="E137" s="17" t="s">
        <v>341</v>
      </c>
      <c r="F137" s="17" t="s">
        <v>20</v>
      </c>
      <c r="G137" s="17" t="s">
        <v>342</v>
      </c>
      <c r="H137" s="17" t="s">
        <v>78</v>
      </c>
      <c r="I137" s="20" t="s">
        <v>53</v>
      </c>
      <c r="J137" s="17" t="s">
        <v>54</v>
      </c>
      <c r="K137" s="21" t="s">
        <v>54</v>
      </c>
      <c r="L137" s="21" t="s">
        <v>54</v>
      </c>
      <c r="M137" s="25" t="s">
        <v>54</v>
      </c>
      <c r="N137" s="17" t="s">
        <v>55</v>
      </c>
      <c r="O137" s="17"/>
      <c r="P137" s="17"/>
    </row>
    <row r="138" ht="39" customHeight="1" spans="1:16">
      <c r="A138" s="17" t="s">
        <v>386</v>
      </c>
      <c r="B138" s="17" t="s">
        <v>339</v>
      </c>
      <c r="C138" s="17" t="s">
        <v>387</v>
      </c>
      <c r="D138" s="17" t="s">
        <v>11</v>
      </c>
      <c r="E138" s="17" t="s">
        <v>341</v>
      </c>
      <c r="F138" s="17" t="s">
        <v>20</v>
      </c>
      <c r="G138" s="17" t="s">
        <v>342</v>
      </c>
      <c r="H138" s="17" t="s">
        <v>78</v>
      </c>
      <c r="I138" s="20" t="s">
        <v>53</v>
      </c>
      <c r="J138" s="17" t="s">
        <v>54</v>
      </c>
      <c r="K138" s="21" t="s">
        <v>54</v>
      </c>
      <c r="L138" s="21" t="s">
        <v>54</v>
      </c>
      <c r="M138" s="25" t="s">
        <v>54</v>
      </c>
      <c r="N138" s="17" t="s">
        <v>55</v>
      </c>
      <c r="O138" s="17"/>
      <c r="P138" s="17"/>
    </row>
    <row r="139" ht="39" customHeight="1" spans="1:16">
      <c r="A139" s="17" t="s">
        <v>388</v>
      </c>
      <c r="B139" s="17" t="s">
        <v>339</v>
      </c>
      <c r="C139" s="17" t="s">
        <v>389</v>
      </c>
      <c r="D139" s="17" t="s">
        <v>8</v>
      </c>
      <c r="E139" s="17" t="s">
        <v>341</v>
      </c>
      <c r="F139" s="17" t="s">
        <v>20</v>
      </c>
      <c r="G139" s="17" t="s">
        <v>342</v>
      </c>
      <c r="H139" s="17" t="s">
        <v>390</v>
      </c>
      <c r="I139" s="20" t="s">
        <v>53</v>
      </c>
      <c r="J139" s="17" t="s">
        <v>54</v>
      </c>
      <c r="K139" s="21" t="s">
        <v>54</v>
      </c>
      <c r="L139" s="21" t="s">
        <v>54</v>
      </c>
      <c r="M139" s="25" t="s">
        <v>54</v>
      </c>
      <c r="N139" s="17" t="s">
        <v>60</v>
      </c>
      <c r="O139" s="17"/>
      <c r="P139" s="17"/>
    </row>
    <row r="140" ht="39" customHeight="1" spans="1:16">
      <c r="A140" s="17" t="s">
        <v>391</v>
      </c>
      <c r="B140" s="17" t="s">
        <v>339</v>
      </c>
      <c r="C140" s="17" t="s">
        <v>392</v>
      </c>
      <c r="D140" s="17" t="s">
        <v>11</v>
      </c>
      <c r="E140" s="17" t="s">
        <v>341</v>
      </c>
      <c r="F140" s="17" t="s">
        <v>20</v>
      </c>
      <c r="G140" s="17" t="s">
        <v>342</v>
      </c>
      <c r="H140" s="17" t="s">
        <v>78</v>
      </c>
      <c r="I140" s="20" t="s">
        <v>53</v>
      </c>
      <c r="J140" s="17" t="s">
        <v>54</v>
      </c>
      <c r="K140" s="21" t="s">
        <v>54</v>
      </c>
      <c r="L140" s="21" t="s">
        <v>54</v>
      </c>
      <c r="M140" s="25" t="s">
        <v>54</v>
      </c>
      <c r="N140" s="17" t="s">
        <v>55</v>
      </c>
      <c r="O140" s="17"/>
      <c r="P140" s="17"/>
    </row>
    <row r="141" ht="39" customHeight="1" spans="1:16">
      <c r="A141" s="17" t="s">
        <v>393</v>
      </c>
      <c r="B141" s="17" t="s">
        <v>339</v>
      </c>
      <c r="C141" s="17" t="s">
        <v>394</v>
      </c>
      <c r="D141" s="17" t="s">
        <v>11</v>
      </c>
      <c r="E141" s="17" t="s">
        <v>341</v>
      </c>
      <c r="F141" s="17" t="s">
        <v>20</v>
      </c>
      <c r="G141" s="17" t="s">
        <v>342</v>
      </c>
      <c r="H141" s="17" t="s">
        <v>54</v>
      </c>
      <c r="I141" s="20" t="s">
        <v>53</v>
      </c>
      <c r="J141" s="17" t="s">
        <v>54</v>
      </c>
      <c r="K141" s="21" t="s">
        <v>54</v>
      </c>
      <c r="L141" s="21" t="s">
        <v>54</v>
      </c>
      <c r="M141" s="25" t="s">
        <v>54</v>
      </c>
      <c r="N141" s="17" t="s">
        <v>55</v>
      </c>
      <c r="O141" s="17"/>
      <c r="P141" s="17"/>
    </row>
    <row r="142" ht="39" customHeight="1" spans="1:16">
      <c r="A142" s="17" t="s">
        <v>395</v>
      </c>
      <c r="B142" s="17" t="s">
        <v>339</v>
      </c>
      <c r="C142" s="17" t="s">
        <v>396</v>
      </c>
      <c r="D142" s="17" t="s">
        <v>11</v>
      </c>
      <c r="E142" s="17" t="s">
        <v>341</v>
      </c>
      <c r="F142" s="17" t="s">
        <v>20</v>
      </c>
      <c r="G142" s="17" t="s">
        <v>342</v>
      </c>
      <c r="H142" s="17" t="s">
        <v>54</v>
      </c>
      <c r="I142" s="20" t="s">
        <v>53</v>
      </c>
      <c r="J142" s="17" t="s">
        <v>54</v>
      </c>
      <c r="K142" s="21" t="s">
        <v>54</v>
      </c>
      <c r="L142" s="21" t="s">
        <v>54</v>
      </c>
      <c r="M142" s="25" t="s">
        <v>54</v>
      </c>
      <c r="N142" s="17" t="s">
        <v>55</v>
      </c>
      <c r="O142" s="17"/>
      <c r="P142" s="17"/>
    </row>
    <row r="143" ht="39" customHeight="1" spans="1:16">
      <c r="A143" s="17" t="s">
        <v>397</v>
      </c>
      <c r="B143" s="17" t="s">
        <v>339</v>
      </c>
      <c r="C143" s="17" t="s">
        <v>398</v>
      </c>
      <c r="D143" s="17" t="s">
        <v>11</v>
      </c>
      <c r="E143" s="17" t="s">
        <v>341</v>
      </c>
      <c r="F143" s="17" t="s">
        <v>20</v>
      </c>
      <c r="G143" s="17" t="s">
        <v>342</v>
      </c>
      <c r="H143" s="17" t="s">
        <v>78</v>
      </c>
      <c r="I143" s="20" t="s">
        <v>53</v>
      </c>
      <c r="J143" s="17" t="s">
        <v>54</v>
      </c>
      <c r="K143" s="21" t="s">
        <v>54</v>
      </c>
      <c r="L143" s="21" t="s">
        <v>54</v>
      </c>
      <c r="M143" s="25" t="s">
        <v>54</v>
      </c>
      <c r="N143" s="17" t="s">
        <v>55</v>
      </c>
      <c r="O143" s="17"/>
      <c r="P143" s="17"/>
    </row>
    <row r="144" ht="39" customHeight="1" spans="1:16">
      <c r="A144" s="17" t="s">
        <v>399</v>
      </c>
      <c r="B144" s="17" t="s">
        <v>339</v>
      </c>
      <c r="C144" s="17" t="s">
        <v>400</v>
      </c>
      <c r="D144" s="17" t="s">
        <v>11</v>
      </c>
      <c r="E144" s="17" t="s">
        <v>341</v>
      </c>
      <c r="F144" s="17" t="s">
        <v>20</v>
      </c>
      <c r="G144" s="17" t="s">
        <v>342</v>
      </c>
      <c r="H144" s="17" t="s">
        <v>78</v>
      </c>
      <c r="I144" s="20" t="s">
        <v>53</v>
      </c>
      <c r="J144" s="17" t="s">
        <v>54</v>
      </c>
      <c r="K144" s="21" t="s">
        <v>54</v>
      </c>
      <c r="L144" s="21" t="s">
        <v>54</v>
      </c>
      <c r="M144" s="25" t="s">
        <v>54</v>
      </c>
      <c r="N144" s="17" t="s">
        <v>55</v>
      </c>
      <c r="O144" s="17"/>
      <c r="P144" s="17"/>
    </row>
    <row r="145" ht="39" customHeight="1" spans="1:16">
      <c r="A145" s="17" t="s">
        <v>401</v>
      </c>
      <c r="B145" s="17" t="s">
        <v>339</v>
      </c>
      <c r="C145" s="17" t="s">
        <v>402</v>
      </c>
      <c r="D145" s="17" t="s">
        <v>8</v>
      </c>
      <c r="E145" s="17" t="s">
        <v>341</v>
      </c>
      <c r="F145" s="17" t="s">
        <v>20</v>
      </c>
      <c r="G145" s="17" t="s">
        <v>342</v>
      </c>
      <c r="H145" s="17" t="s">
        <v>403</v>
      </c>
      <c r="I145" s="20" t="s">
        <v>53</v>
      </c>
      <c r="J145" s="17" t="s">
        <v>54</v>
      </c>
      <c r="K145" s="21" t="s">
        <v>54</v>
      </c>
      <c r="L145" s="21" t="s">
        <v>54</v>
      </c>
      <c r="M145" s="25" t="s">
        <v>54</v>
      </c>
      <c r="N145" s="17" t="s">
        <v>60</v>
      </c>
      <c r="O145" s="17"/>
      <c r="P145" s="17"/>
    </row>
    <row r="146" ht="39" customHeight="1" spans="1:16">
      <c r="A146" s="17" t="s">
        <v>404</v>
      </c>
      <c r="B146" s="17" t="s">
        <v>339</v>
      </c>
      <c r="C146" s="17" t="s">
        <v>405</v>
      </c>
      <c r="D146" s="17" t="s">
        <v>11</v>
      </c>
      <c r="E146" s="17" t="s">
        <v>341</v>
      </c>
      <c r="F146" s="17" t="s">
        <v>20</v>
      </c>
      <c r="G146" s="17" t="s">
        <v>342</v>
      </c>
      <c r="H146" s="17" t="s">
        <v>78</v>
      </c>
      <c r="I146" s="20" t="s">
        <v>53</v>
      </c>
      <c r="J146" s="17" t="s">
        <v>54</v>
      </c>
      <c r="K146" s="21" t="s">
        <v>54</v>
      </c>
      <c r="L146" s="21" t="s">
        <v>54</v>
      </c>
      <c r="M146" s="25" t="s">
        <v>54</v>
      </c>
      <c r="N146" s="17" t="s">
        <v>55</v>
      </c>
      <c r="O146" s="17"/>
      <c r="P146" s="17"/>
    </row>
    <row r="147" ht="39" customHeight="1" spans="1:16">
      <c r="A147" s="17" t="s">
        <v>406</v>
      </c>
      <c r="B147" s="17" t="s">
        <v>339</v>
      </c>
      <c r="C147" s="17" t="s">
        <v>407</v>
      </c>
      <c r="D147" s="17" t="s">
        <v>11</v>
      </c>
      <c r="E147" s="17" t="s">
        <v>341</v>
      </c>
      <c r="F147" s="17" t="s">
        <v>20</v>
      </c>
      <c r="G147" s="17" t="s">
        <v>342</v>
      </c>
      <c r="H147" s="17" t="s">
        <v>78</v>
      </c>
      <c r="I147" s="20" t="s">
        <v>53</v>
      </c>
      <c r="J147" s="17" t="s">
        <v>54</v>
      </c>
      <c r="K147" s="21" t="s">
        <v>54</v>
      </c>
      <c r="L147" s="21" t="s">
        <v>54</v>
      </c>
      <c r="M147" s="25" t="s">
        <v>54</v>
      </c>
      <c r="N147" s="17" t="s">
        <v>55</v>
      </c>
      <c r="O147" s="17"/>
      <c r="P147" s="17"/>
    </row>
    <row r="148" ht="39" customHeight="1" spans="1:16">
      <c r="A148" s="17" t="s">
        <v>408</v>
      </c>
      <c r="B148" s="17" t="s">
        <v>339</v>
      </c>
      <c r="C148" s="17" t="s">
        <v>409</v>
      </c>
      <c r="D148" s="17" t="s">
        <v>11</v>
      </c>
      <c r="E148" s="17" t="s">
        <v>341</v>
      </c>
      <c r="F148" s="17" t="s">
        <v>20</v>
      </c>
      <c r="G148" s="17" t="s">
        <v>342</v>
      </c>
      <c r="H148" s="17" t="s">
        <v>78</v>
      </c>
      <c r="I148" s="20" t="s">
        <v>53</v>
      </c>
      <c r="J148" s="17" t="s">
        <v>54</v>
      </c>
      <c r="K148" s="21" t="s">
        <v>54</v>
      </c>
      <c r="L148" s="21" t="s">
        <v>54</v>
      </c>
      <c r="M148" s="25" t="s">
        <v>54</v>
      </c>
      <c r="N148" s="17" t="s">
        <v>55</v>
      </c>
      <c r="O148" s="17"/>
      <c r="P148" s="17"/>
    </row>
    <row r="149" ht="39" customHeight="1" spans="1:16">
      <c r="A149" s="17" t="s">
        <v>410</v>
      </c>
      <c r="B149" s="17" t="s">
        <v>339</v>
      </c>
      <c r="C149" s="17" t="s">
        <v>411</v>
      </c>
      <c r="D149" s="17" t="s">
        <v>8</v>
      </c>
      <c r="E149" s="17" t="s">
        <v>341</v>
      </c>
      <c r="F149" s="17" t="s">
        <v>20</v>
      </c>
      <c r="G149" s="17" t="s">
        <v>342</v>
      </c>
      <c r="H149" s="17" t="s">
        <v>412</v>
      </c>
      <c r="I149" s="20" t="s">
        <v>53</v>
      </c>
      <c r="J149" s="17" t="s">
        <v>54</v>
      </c>
      <c r="K149" s="21" t="s">
        <v>54</v>
      </c>
      <c r="L149" s="21" t="s">
        <v>54</v>
      </c>
      <c r="M149" s="25" t="s">
        <v>54</v>
      </c>
      <c r="N149" s="17" t="s">
        <v>60</v>
      </c>
      <c r="O149" s="17"/>
      <c r="P149" s="17"/>
    </row>
    <row r="150" ht="39" customHeight="1" spans="1:16">
      <c r="A150" s="17" t="s">
        <v>413</v>
      </c>
      <c r="B150" s="17" t="s">
        <v>339</v>
      </c>
      <c r="C150" s="17" t="s">
        <v>414</v>
      </c>
      <c r="D150" s="17" t="s">
        <v>11</v>
      </c>
      <c r="E150" s="17" t="s">
        <v>341</v>
      </c>
      <c r="F150" s="17" t="s">
        <v>20</v>
      </c>
      <c r="G150" s="17" t="s">
        <v>342</v>
      </c>
      <c r="H150" s="17" t="s">
        <v>78</v>
      </c>
      <c r="I150" s="20" t="s">
        <v>53</v>
      </c>
      <c r="J150" s="17" t="s">
        <v>54</v>
      </c>
      <c r="K150" s="21" t="s">
        <v>54</v>
      </c>
      <c r="L150" s="21" t="s">
        <v>54</v>
      </c>
      <c r="M150" s="25" t="s">
        <v>54</v>
      </c>
      <c r="N150" s="17" t="s">
        <v>55</v>
      </c>
      <c r="O150" s="17"/>
      <c r="P150" s="17"/>
    </row>
    <row r="151" ht="39" customHeight="1" spans="1:16">
      <c r="A151" s="17" t="s">
        <v>415</v>
      </c>
      <c r="B151" s="17" t="s">
        <v>339</v>
      </c>
      <c r="C151" s="17" t="s">
        <v>416</v>
      </c>
      <c r="D151" s="17" t="s">
        <v>11</v>
      </c>
      <c r="E151" s="17" t="s">
        <v>341</v>
      </c>
      <c r="F151" s="17" t="s">
        <v>20</v>
      </c>
      <c r="G151" s="17" t="s">
        <v>342</v>
      </c>
      <c r="H151" s="17" t="s">
        <v>78</v>
      </c>
      <c r="I151" s="20" t="s">
        <v>53</v>
      </c>
      <c r="J151" s="17" t="s">
        <v>54</v>
      </c>
      <c r="K151" s="21" t="s">
        <v>54</v>
      </c>
      <c r="L151" s="21" t="s">
        <v>54</v>
      </c>
      <c r="M151" s="25" t="s">
        <v>54</v>
      </c>
      <c r="N151" s="17" t="s">
        <v>55</v>
      </c>
      <c r="O151" s="17"/>
      <c r="P151" s="17"/>
    </row>
    <row r="152" ht="39" customHeight="1" spans="1:16">
      <c r="A152" s="17" t="s">
        <v>417</v>
      </c>
      <c r="B152" s="17" t="s">
        <v>339</v>
      </c>
      <c r="C152" s="17" t="s">
        <v>418</v>
      </c>
      <c r="D152" s="17" t="s">
        <v>11</v>
      </c>
      <c r="E152" s="17" t="s">
        <v>341</v>
      </c>
      <c r="F152" s="17" t="s">
        <v>20</v>
      </c>
      <c r="G152" s="17" t="s">
        <v>342</v>
      </c>
      <c r="H152" s="17" t="s">
        <v>419</v>
      </c>
      <c r="I152" s="20" t="s">
        <v>53</v>
      </c>
      <c r="J152" s="17" t="s">
        <v>54</v>
      </c>
      <c r="K152" s="21" t="s">
        <v>54</v>
      </c>
      <c r="L152" s="21" t="s">
        <v>54</v>
      </c>
      <c r="M152" s="25" t="s">
        <v>54</v>
      </c>
      <c r="N152" s="17" t="s">
        <v>55</v>
      </c>
      <c r="O152" s="17"/>
      <c r="P152" s="17"/>
    </row>
    <row r="153" ht="39" customHeight="1" spans="1:16">
      <c r="A153" s="17" t="s">
        <v>420</v>
      </c>
      <c r="B153" s="17" t="s">
        <v>339</v>
      </c>
      <c r="C153" s="17" t="s">
        <v>421</v>
      </c>
      <c r="D153" s="17" t="s">
        <v>11</v>
      </c>
      <c r="E153" s="17" t="s">
        <v>341</v>
      </c>
      <c r="F153" s="17" t="s">
        <v>20</v>
      </c>
      <c r="G153" s="17" t="s">
        <v>342</v>
      </c>
      <c r="H153" s="17" t="s">
        <v>78</v>
      </c>
      <c r="I153" s="20" t="s">
        <v>53</v>
      </c>
      <c r="J153" s="17" t="s">
        <v>54</v>
      </c>
      <c r="K153" s="21" t="s">
        <v>54</v>
      </c>
      <c r="L153" s="21" t="s">
        <v>54</v>
      </c>
      <c r="M153" s="25" t="s">
        <v>54</v>
      </c>
      <c r="N153" s="17" t="s">
        <v>55</v>
      </c>
      <c r="O153" s="17"/>
      <c r="P153" s="17"/>
    </row>
    <row r="154" ht="39" customHeight="1" spans="1:16">
      <c r="A154" s="17" t="s">
        <v>422</v>
      </c>
      <c r="B154" s="17" t="s">
        <v>339</v>
      </c>
      <c r="C154" s="17" t="s">
        <v>423</v>
      </c>
      <c r="D154" s="17" t="s">
        <v>8</v>
      </c>
      <c r="E154" s="17" t="s">
        <v>341</v>
      </c>
      <c r="F154" s="17" t="s">
        <v>20</v>
      </c>
      <c r="G154" s="17" t="s">
        <v>342</v>
      </c>
      <c r="H154" s="17" t="s">
        <v>390</v>
      </c>
      <c r="I154" s="20" t="s">
        <v>53</v>
      </c>
      <c r="J154" s="17" t="s">
        <v>54</v>
      </c>
      <c r="K154" s="21" t="s">
        <v>54</v>
      </c>
      <c r="L154" s="21" t="s">
        <v>54</v>
      </c>
      <c r="M154" s="25" t="s">
        <v>54</v>
      </c>
      <c r="N154" s="17" t="s">
        <v>60</v>
      </c>
      <c r="O154" s="17"/>
      <c r="P154" s="17"/>
    </row>
    <row r="155" ht="39" customHeight="1" spans="1:16">
      <c r="A155" s="17" t="s">
        <v>424</v>
      </c>
      <c r="B155" s="17" t="s">
        <v>339</v>
      </c>
      <c r="C155" s="17" t="s">
        <v>425</v>
      </c>
      <c r="D155" s="17" t="s">
        <v>11</v>
      </c>
      <c r="E155" s="17" t="s">
        <v>341</v>
      </c>
      <c r="F155" s="17" t="s">
        <v>20</v>
      </c>
      <c r="G155" s="17" t="s">
        <v>342</v>
      </c>
      <c r="H155" s="17" t="s">
        <v>426</v>
      </c>
      <c r="I155" s="20" t="s">
        <v>53</v>
      </c>
      <c r="J155" s="17" t="s">
        <v>54</v>
      </c>
      <c r="K155" s="21" t="s">
        <v>54</v>
      </c>
      <c r="L155" s="21" t="s">
        <v>54</v>
      </c>
      <c r="M155" s="25" t="s">
        <v>54</v>
      </c>
      <c r="N155" s="17" t="s">
        <v>55</v>
      </c>
      <c r="O155" s="17"/>
      <c r="P155" s="17"/>
    </row>
    <row r="156" ht="39" customHeight="1" spans="1:16">
      <c r="A156" s="17" t="s">
        <v>427</v>
      </c>
      <c r="B156" s="17" t="s">
        <v>339</v>
      </c>
      <c r="C156" s="17" t="s">
        <v>428</v>
      </c>
      <c r="D156" s="17" t="s">
        <v>11</v>
      </c>
      <c r="E156" s="17" t="s">
        <v>341</v>
      </c>
      <c r="F156" s="17" t="s">
        <v>20</v>
      </c>
      <c r="G156" s="17" t="s">
        <v>342</v>
      </c>
      <c r="H156" s="17" t="s">
        <v>419</v>
      </c>
      <c r="I156" s="20" t="s">
        <v>53</v>
      </c>
      <c r="J156" s="17" t="s">
        <v>54</v>
      </c>
      <c r="K156" s="21" t="s">
        <v>54</v>
      </c>
      <c r="L156" s="21" t="s">
        <v>54</v>
      </c>
      <c r="M156" s="25" t="s">
        <v>54</v>
      </c>
      <c r="N156" s="17" t="s">
        <v>55</v>
      </c>
      <c r="O156" s="17"/>
      <c r="P156" s="17"/>
    </row>
    <row r="157" ht="39" customHeight="1" spans="1:16">
      <c r="A157" s="17" t="s">
        <v>429</v>
      </c>
      <c r="B157" s="17" t="s">
        <v>339</v>
      </c>
      <c r="C157" s="17" t="s">
        <v>430</v>
      </c>
      <c r="D157" s="17" t="s">
        <v>7</v>
      </c>
      <c r="E157" s="17" t="s">
        <v>341</v>
      </c>
      <c r="F157" s="17" t="s">
        <v>20</v>
      </c>
      <c r="G157" s="17" t="s">
        <v>342</v>
      </c>
      <c r="H157" s="17" t="s">
        <v>54</v>
      </c>
      <c r="I157" s="20" t="s">
        <v>53</v>
      </c>
      <c r="J157" s="17" t="s">
        <v>54</v>
      </c>
      <c r="K157" s="21" t="s">
        <v>54</v>
      </c>
      <c r="L157" s="21" t="s">
        <v>54</v>
      </c>
      <c r="M157" s="25" t="s">
        <v>54</v>
      </c>
      <c r="N157" s="17" t="s">
        <v>165</v>
      </c>
      <c r="O157" s="17"/>
      <c r="P157" s="17"/>
    </row>
    <row r="158" spans="1:16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</row>
    <row r="159" spans="1:16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</row>
    <row r="160" spans="1:16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</row>
    <row r="161" spans="1:16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</row>
    <row r="162" ht="28" customHeight="1" spans="1:16">
      <c r="A162" s="26" t="s">
        <v>431</v>
      </c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</row>
    <row r="163" ht="43" customHeight="1" spans="1:16">
      <c r="A163" s="17" t="s">
        <v>432</v>
      </c>
      <c r="B163" s="17" t="s">
        <v>433</v>
      </c>
      <c r="C163" s="17" t="s">
        <v>434</v>
      </c>
      <c r="D163" s="17" t="s">
        <v>435</v>
      </c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</row>
    <row r="164" spans="1:16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</row>
    <row r="165" ht="32" customHeight="1" spans="1:16">
      <c r="A165" s="19" t="s">
        <v>436</v>
      </c>
      <c r="B165" s="19" t="s">
        <v>33</v>
      </c>
      <c r="C165" s="19" t="s">
        <v>437</v>
      </c>
      <c r="D165" s="19" t="s">
        <v>438</v>
      </c>
      <c r="E165" s="19" t="s">
        <v>439</v>
      </c>
      <c r="F165" s="19" t="s">
        <v>440</v>
      </c>
      <c r="G165" s="19" t="s">
        <v>441</v>
      </c>
      <c r="H165" s="19" t="s">
        <v>442</v>
      </c>
      <c r="I165" s="19" t="s">
        <v>443</v>
      </c>
      <c r="J165" s="19" t="s">
        <v>444</v>
      </c>
      <c r="K165" s="19" t="s">
        <v>445</v>
      </c>
      <c r="L165" s="19" t="s">
        <v>446</v>
      </c>
      <c r="M165" s="19" t="s">
        <v>46</v>
      </c>
      <c r="N165" s="19" t="s">
        <v>447</v>
      </c>
      <c r="O165" s="19" t="s">
        <v>448</v>
      </c>
      <c r="P165" s="19" t="s">
        <v>449</v>
      </c>
    </row>
    <row r="166" ht="65" customHeight="1" spans="1:16">
      <c r="A166" s="17" t="s">
        <v>450</v>
      </c>
      <c r="B166" s="17" t="s">
        <v>47</v>
      </c>
      <c r="C166" s="17" t="s">
        <v>451</v>
      </c>
      <c r="D166" s="17" t="s">
        <v>452</v>
      </c>
      <c r="E166" s="17" t="s">
        <v>453</v>
      </c>
      <c r="F166" s="17" t="s">
        <v>454</v>
      </c>
      <c r="G166" s="17" t="s">
        <v>7</v>
      </c>
      <c r="H166" s="17" t="s">
        <v>54</v>
      </c>
      <c r="I166" s="17" t="s">
        <v>455</v>
      </c>
      <c r="J166" s="20" t="s">
        <v>456</v>
      </c>
      <c r="K166" s="17" t="s">
        <v>54</v>
      </c>
      <c r="L166" s="17" t="s">
        <v>457</v>
      </c>
      <c r="M166" s="17" t="s">
        <v>458</v>
      </c>
      <c r="N166" s="21" t="s">
        <v>54</v>
      </c>
      <c r="O166" s="22" t="s">
        <v>54</v>
      </c>
      <c r="P166" s="21" t="s">
        <v>54</v>
      </c>
    </row>
    <row r="167" ht="39" customHeight="1" spans="1:16">
      <c r="A167" s="17" t="s">
        <v>459</v>
      </c>
      <c r="B167" s="17" t="s">
        <v>47</v>
      </c>
      <c r="C167" s="17" t="s">
        <v>451</v>
      </c>
      <c r="D167" s="17" t="s">
        <v>460</v>
      </c>
      <c r="E167" s="17" t="s">
        <v>461</v>
      </c>
      <c r="F167" s="17" t="s">
        <v>462</v>
      </c>
      <c r="G167" s="17" t="s">
        <v>7</v>
      </c>
      <c r="H167" s="17" t="s">
        <v>54</v>
      </c>
      <c r="I167" s="17" t="s">
        <v>455</v>
      </c>
      <c r="J167" s="20" t="s">
        <v>463</v>
      </c>
      <c r="K167" s="17" t="s">
        <v>54</v>
      </c>
      <c r="L167" s="17" t="s">
        <v>457</v>
      </c>
      <c r="M167" s="17" t="s">
        <v>458</v>
      </c>
      <c r="N167" s="21" t="s">
        <v>54</v>
      </c>
      <c r="O167" s="22" t="s">
        <v>54</v>
      </c>
      <c r="P167" s="21" t="s">
        <v>54</v>
      </c>
    </row>
    <row r="168" ht="78" customHeight="1" spans="1:16">
      <c r="A168" s="17" t="s">
        <v>464</v>
      </c>
      <c r="B168" s="17" t="s">
        <v>47</v>
      </c>
      <c r="C168" s="17" t="s">
        <v>451</v>
      </c>
      <c r="D168" s="17" t="s">
        <v>465</v>
      </c>
      <c r="E168" s="17" t="s">
        <v>466</v>
      </c>
      <c r="F168" s="17" t="s">
        <v>467</v>
      </c>
      <c r="G168" s="17" t="s">
        <v>11</v>
      </c>
      <c r="H168" s="17" t="s">
        <v>51</v>
      </c>
      <c r="I168" s="17" t="s">
        <v>455</v>
      </c>
      <c r="J168" s="20" t="s">
        <v>468</v>
      </c>
      <c r="K168" s="17" t="s">
        <v>469</v>
      </c>
      <c r="L168" s="17" t="s">
        <v>470</v>
      </c>
      <c r="M168" s="17" t="s">
        <v>471</v>
      </c>
      <c r="N168" s="21" t="s">
        <v>54</v>
      </c>
      <c r="O168" s="22" t="s">
        <v>54</v>
      </c>
      <c r="P168" s="21" t="s">
        <v>54</v>
      </c>
    </row>
    <row r="169" ht="52" customHeight="1" spans="1:16">
      <c r="A169" s="17" t="s">
        <v>472</v>
      </c>
      <c r="B169" s="17" t="s">
        <v>56</v>
      </c>
      <c r="C169" s="17" t="s">
        <v>451</v>
      </c>
      <c r="D169" s="17" t="s">
        <v>473</v>
      </c>
      <c r="E169" s="17" t="s">
        <v>474</v>
      </c>
      <c r="F169" s="17" t="s">
        <v>475</v>
      </c>
      <c r="G169" s="17" t="s">
        <v>11</v>
      </c>
      <c r="H169" s="17" t="s">
        <v>476</v>
      </c>
      <c r="I169" s="17" t="s">
        <v>477</v>
      </c>
      <c r="J169" s="20" t="s">
        <v>478</v>
      </c>
      <c r="K169" s="17" t="s">
        <v>469</v>
      </c>
      <c r="L169" s="17" t="s">
        <v>479</v>
      </c>
      <c r="M169" s="17" t="s">
        <v>471</v>
      </c>
      <c r="N169" s="21" t="s">
        <v>54</v>
      </c>
      <c r="O169" s="22" t="s">
        <v>54</v>
      </c>
      <c r="P169" s="21" t="s">
        <v>54</v>
      </c>
    </row>
    <row r="170" ht="78" customHeight="1" spans="1:16">
      <c r="A170" s="17" t="s">
        <v>480</v>
      </c>
      <c r="B170" s="17" t="s">
        <v>56</v>
      </c>
      <c r="C170" s="17" t="s">
        <v>451</v>
      </c>
      <c r="D170" s="17" t="s">
        <v>481</v>
      </c>
      <c r="E170" s="17" t="s">
        <v>482</v>
      </c>
      <c r="F170" s="17" t="s">
        <v>58</v>
      </c>
      <c r="G170" s="17" t="s">
        <v>8</v>
      </c>
      <c r="H170" s="17" t="s">
        <v>54</v>
      </c>
      <c r="I170" s="17" t="s">
        <v>477</v>
      </c>
      <c r="J170" s="20" t="s">
        <v>483</v>
      </c>
      <c r="K170" s="17" t="s">
        <v>54</v>
      </c>
      <c r="L170" s="17" t="s">
        <v>484</v>
      </c>
      <c r="M170" s="17" t="s">
        <v>485</v>
      </c>
      <c r="N170" s="21" t="s">
        <v>54</v>
      </c>
      <c r="O170" s="22" t="s">
        <v>54</v>
      </c>
      <c r="P170" s="21" t="s">
        <v>54</v>
      </c>
    </row>
    <row r="171" ht="65" customHeight="1" spans="1:16">
      <c r="A171" s="17" t="s">
        <v>486</v>
      </c>
      <c r="B171" s="17" t="s">
        <v>56</v>
      </c>
      <c r="C171" s="17" t="s">
        <v>451</v>
      </c>
      <c r="D171" s="17" t="s">
        <v>487</v>
      </c>
      <c r="E171" s="17" t="s">
        <v>488</v>
      </c>
      <c r="F171" s="17" t="s">
        <v>489</v>
      </c>
      <c r="G171" s="17" t="s">
        <v>11</v>
      </c>
      <c r="H171" s="17" t="s">
        <v>490</v>
      </c>
      <c r="I171" s="17" t="s">
        <v>477</v>
      </c>
      <c r="J171" s="20" t="s">
        <v>483</v>
      </c>
      <c r="K171" s="17" t="s">
        <v>491</v>
      </c>
      <c r="L171" s="17" t="s">
        <v>492</v>
      </c>
      <c r="M171" s="17" t="s">
        <v>471</v>
      </c>
      <c r="N171" s="21" t="s">
        <v>54</v>
      </c>
      <c r="O171" s="22" t="s">
        <v>54</v>
      </c>
      <c r="P171" s="21" t="s">
        <v>54</v>
      </c>
    </row>
    <row r="172" ht="39" customHeight="1" spans="1:16">
      <c r="A172" s="17" t="s">
        <v>493</v>
      </c>
      <c r="B172" s="17" t="s">
        <v>61</v>
      </c>
      <c r="C172" s="17" t="s">
        <v>451</v>
      </c>
      <c r="D172" s="17" t="s">
        <v>494</v>
      </c>
      <c r="E172" s="17" t="s">
        <v>495</v>
      </c>
      <c r="F172" s="17" t="s">
        <v>496</v>
      </c>
      <c r="G172" s="17" t="s">
        <v>7</v>
      </c>
      <c r="H172" s="17" t="s">
        <v>54</v>
      </c>
      <c r="I172" s="17" t="s">
        <v>497</v>
      </c>
      <c r="J172" s="20" t="s">
        <v>498</v>
      </c>
      <c r="K172" s="17" t="s">
        <v>54</v>
      </c>
      <c r="L172" s="17" t="s">
        <v>457</v>
      </c>
      <c r="M172" s="17" t="s">
        <v>458</v>
      </c>
      <c r="N172" s="21" t="s">
        <v>54</v>
      </c>
      <c r="O172" s="22" t="s">
        <v>54</v>
      </c>
      <c r="P172" s="21" t="s">
        <v>54</v>
      </c>
    </row>
    <row r="173" ht="65" customHeight="1" spans="1:16">
      <c r="A173" s="17" t="s">
        <v>499</v>
      </c>
      <c r="B173" s="17" t="s">
        <v>61</v>
      </c>
      <c r="C173" s="17" t="s">
        <v>451</v>
      </c>
      <c r="D173" s="17" t="s">
        <v>500</v>
      </c>
      <c r="E173" s="17" t="s">
        <v>501</v>
      </c>
      <c r="F173" s="17" t="s">
        <v>64</v>
      </c>
      <c r="G173" s="17" t="s">
        <v>8</v>
      </c>
      <c r="H173" s="17" t="s">
        <v>54</v>
      </c>
      <c r="I173" s="17" t="s">
        <v>497</v>
      </c>
      <c r="J173" s="20" t="s">
        <v>502</v>
      </c>
      <c r="K173" s="17" t="s">
        <v>54</v>
      </c>
      <c r="L173" s="17" t="s">
        <v>457</v>
      </c>
      <c r="M173" s="17" t="s">
        <v>485</v>
      </c>
      <c r="N173" s="21" t="s">
        <v>54</v>
      </c>
      <c r="O173" s="22" t="s">
        <v>54</v>
      </c>
      <c r="P173" s="21" t="s">
        <v>54</v>
      </c>
    </row>
    <row r="174" ht="52" customHeight="1" spans="1:16">
      <c r="A174" s="17" t="s">
        <v>503</v>
      </c>
      <c r="B174" s="17" t="s">
        <v>61</v>
      </c>
      <c r="C174" s="17" t="s">
        <v>451</v>
      </c>
      <c r="D174" s="17" t="s">
        <v>504</v>
      </c>
      <c r="E174" s="17" t="s">
        <v>505</v>
      </c>
      <c r="F174" s="17" t="s">
        <v>506</v>
      </c>
      <c r="G174" s="17" t="s">
        <v>7</v>
      </c>
      <c r="H174" s="17" t="s">
        <v>54</v>
      </c>
      <c r="I174" s="17" t="s">
        <v>497</v>
      </c>
      <c r="J174" s="20" t="s">
        <v>507</v>
      </c>
      <c r="K174" s="17" t="s">
        <v>54</v>
      </c>
      <c r="L174" s="17" t="s">
        <v>457</v>
      </c>
      <c r="M174" s="17" t="s">
        <v>458</v>
      </c>
      <c r="N174" s="21" t="s">
        <v>54</v>
      </c>
      <c r="O174" s="22" t="s">
        <v>54</v>
      </c>
      <c r="P174" s="21" t="s">
        <v>54</v>
      </c>
    </row>
    <row r="175" ht="39" customHeight="1" spans="1:16">
      <c r="A175" s="17" t="s">
        <v>508</v>
      </c>
      <c r="B175" s="17" t="s">
        <v>66</v>
      </c>
      <c r="C175" s="17" t="s">
        <v>451</v>
      </c>
      <c r="D175" s="17" t="s">
        <v>509</v>
      </c>
      <c r="E175" s="17" t="s">
        <v>510</v>
      </c>
      <c r="F175" s="17" t="s">
        <v>511</v>
      </c>
      <c r="G175" s="17" t="s">
        <v>11</v>
      </c>
      <c r="H175" s="17" t="s">
        <v>512</v>
      </c>
      <c r="I175" s="17" t="s">
        <v>513</v>
      </c>
      <c r="J175" s="20" t="s">
        <v>514</v>
      </c>
      <c r="K175" s="17" t="s">
        <v>515</v>
      </c>
      <c r="L175" s="17" t="s">
        <v>516</v>
      </c>
      <c r="M175" s="17" t="s">
        <v>471</v>
      </c>
      <c r="N175" s="21" t="s">
        <v>54</v>
      </c>
      <c r="O175" s="22" t="s">
        <v>54</v>
      </c>
      <c r="P175" s="21" t="s">
        <v>54</v>
      </c>
    </row>
    <row r="176" ht="52" customHeight="1" spans="1:16">
      <c r="A176" s="17" t="s">
        <v>517</v>
      </c>
      <c r="B176" s="17" t="s">
        <v>66</v>
      </c>
      <c r="C176" s="17" t="s">
        <v>451</v>
      </c>
      <c r="D176" s="17" t="s">
        <v>518</v>
      </c>
      <c r="E176" s="17" t="s">
        <v>519</v>
      </c>
      <c r="F176" s="17" t="s">
        <v>520</v>
      </c>
      <c r="G176" s="17" t="s">
        <v>11</v>
      </c>
      <c r="H176" s="17" t="s">
        <v>521</v>
      </c>
      <c r="I176" s="17" t="s">
        <v>513</v>
      </c>
      <c r="J176" s="20" t="s">
        <v>514</v>
      </c>
      <c r="K176" s="17" t="s">
        <v>515</v>
      </c>
      <c r="L176" s="17" t="s">
        <v>522</v>
      </c>
      <c r="M176" s="17" t="s">
        <v>471</v>
      </c>
      <c r="N176" s="21" t="s">
        <v>54</v>
      </c>
      <c r="O176" s="22" t="s">
        <v>54</v>
      </c>
      <c r="P176" s="21" t="s">
        <v>54</v>
      </c>
    </row>
    <row r="177" ht="52" customHeight="1" spans="1:16">
      <c r="A177" s="17" t="s">
        <v>523</v>
      </c>
      <c r="B177" s="17" t="s">
        <v>66</v>
      </c>
      <c r="C177" s="17" t="s">
        <v>451</v>
      </c>
      <c r="D177" s="17" t="s">
        <v>524</v>
      </c>
      <c r="E177" s="17" t="s">
        <v>525</v>
      </c>
      <c r="F177" s="17" t="s">
        <v>526</v>
      </c>
      <c r="G177" s="17" t="s">
        <v>11</v>
      </c>
      <c r="H177" s="17" t="s">
        <v>527</v>
      </c>
      <c r="I177" s="17" t="s">
        <v>513</v>
      </c>
      <c r="J177" s="20" t="s">
        <v>514</v>
      </c>
      <c r="K177" s="17" t="s">
        <v>491</v>
      </c>
      <c r="L177" s="17" t="s">
        <v>528</v>
      </c>
      <c r="M177" s="17" t="s">
        <v>471</v>
      </c>
      <c r="N177" s="21" t="s">
        <v>54</v>
      </c>
      <c r="O177" s="22" t="s">
        <v>54</v>
      </c>
      <c r="P177" s="21" t="s">
        <v>54</v>
      </c>
    </row>
    <row r="178" ht="65" customHeight="1" spans="1:16">
      <c r="A178" s="17" t="s">
        <v>529</v>
      </c>
      <c r="B178" s="17" t="s">
        <v>70</v>
      </c>
      <c r="C178" s="17" t="s">
        <v>451</v>
      </c>
      <c r="D178" s="17" t="s">
        <v>530</v>
      </c>
      <c r="E178" s="17" t="s">
        <v>531</v>
      </c>
      <c r="F178" s="17" t="s">
        <v>532</v>
      </c>
      <c r="G178" s="17" t="s">
        <v>11</v>
      </c>
      <c r="H178" s="17" t="s">
        <v>73</v>
      </c>
      <c r="I178" s="17" t="s">
        <v>533</v>
      </c>
      <c r="J178" s="20" t="s">
        <v>534</v>
      </c>
      <c r="K178" s="17" t="s">
        <v>469</v>
      </c>
      <c r="L178" s="17" t="s">
        <v>535</v>
      </c>
      <c r="M178" s="17" t="s">
        <v>471</v>
      </c>
      <c r="N178" s="21" t="s">
        <v>54</v>
      </c>
      <c r="O178" s="22" t="s">
        <v>54</v>
      </c>
      <c r="P178" s="21" t="s">
        <v>54</v>
      </c>
    </row>
    <row r="179" ht="65" customHeight="1" spans="1:16">
      <c r="A179" s="17" t="s">
        <v>536</v>
      </c>
      <c r="B179" s="17" t="s">
        <v>70</v>
      </c>
      <c r="C179" s="17" t="s">
        <v>451</v>
      </c>
      <c r="D179" s="17" t="s">
        <v>537</v>
      </c>
      <c r="E179" s="17" t="s">
        <v>538</v>
      </c>
      <c r="F179" s="17" t="s">
        <v>539</v>
      </c>
      <c r="G179" s="17" t="s">
        <v>7</v>
      </c>
      <c r="H179" s="17" t="s">
        <v>54</v>
      </c>
      <c r="I179" s="17" t="s">
        <v>533</v>
      </c>
      <c r="J179" s="20" t="s">
        <v>540</v>
      </c>
      <c r="K179" s="17" t="s">
        <v>54</v>
      </c>
      <c r="L179" s="17" t="s">
        <v>457</v>
      </c>
      <c r="M179" s="17" t="s">
        <v>458</v>
      </c>
      <c r="N179" s="21" t="s">
        <v>54</v>
      </c>
      <c r="O179" s="22" t="s">
        <v>54</v>
      </c>
      <c r="P179" s="21" t="s">
        <v>54</v>
      </c>
    </row>
    <row r="180" ht="52" customHeight="1" spans="1:16">
      <c r="A180" s="17" t="s">
        <v>541</v>
      </c>
      <c r="B180" s="17" t="s">
        <v>70</v>
      </c>
      <c r="C180" s="17" t="s">
        <v>451</v>
      </c>
      <c r="D180" s="17" t="s">
        <v>542</v>
      </c>
      <c r="E180" s="17" t="s">
        <v>543</v>
      </c>
      <c r="F180" s="17" t="s">
        <v>544</v>
      </c>
      <c r="G180" s="17" t="s">
        <v>7</v>
      </c>
      <c r="H180" s="17" t="s">
        <v>54</v>
      </c>
      <c r="I180" s="17" t="s">
        <v>533</v>
      </c>
      <c r="J180" s="20" t="s">
        <v>540</v>
      </c>
      <c r="K180" s="17" t="s">
        <v>54</v>
      </c>
      <c r="L180" s="17" t="s">
        <v>457</v>
      </c>
      <c r="M180" s="17" t="s">
        <v>458</v>
      </c>
      <c r="N180" s="21" t="s">
        <v>54</v>
      </c>
      <c r="O180" s="22" t="s">
        <v>54</v>
      </c>
      <c r="P180" s="21" t="s">
        <v>54</v>
      </c>
    </row>
    <row r="181" ht="65" customHeight="1" spans="1:16">
      <c r="A181" s="17" t="s">
        <v>545</v>
      </c>
      <c r="B181" s="17" t="s">
        <v>70</v>
      </c>
      <c r="C181" s="17" t="s">
        <v>451</v>
      </c>
      <c r="D181" s="17" t="s">
        <v>546</v>
      </c>
      <c r="E181" s="17" t="s">
        <v>547</v>
      </c>
      <c r="F181" s="17" t="s">
        <v>548</v>
      </c>
      <c r="G181" s="17" t="s">
        <v>7</v>
      </c>
      <c r="H181" s="17" t="s">
        <v>54</v>
      </c>
      <c r="I181" s="17" t="s">
        <v>533</v>
      </c>
      <c r="J181" s="20" t="s">
        <v>534</v>
      </c>
      <c r="K181" s="17" t="s">
        <v>54</v>
      </c>
      <c r="L181" s="17" t="s">
        <v>457</v>
      </c>
      <c r="M181" s="17" t="s">
        <v>458</v>
      </c>
      <c r="N181" s="21" t="s">
        <v>54</v>
      </c>
      <c r="O181" s="22" t="s">
        <v>54</v>
      </c>
      <c r="P181" s="21" t="s">
        <v>54</v>
      </c>
    </row>
    <row r="182" ht="65" customHeight="1" spans="1:16">
      <c r="A182" s="17" t="s">
        <v>549</v>
      </c>
      <c r="B182" s="17" t="s">
        <v>75</v>
      </c>
      <c r="C182" s="17" t="s">
        <v>451</v>
      </c>
      <c r="D182" s="17" t="s">
        <v>550</v>
      </c>
      <c r="E182" s="17" t="s">
        <v>551</v>
      </c>
      <c r="F182" s="17" t="s">
        <v>552</v>
      </c>
      <c r="G182" s="17" t="s">
        <v>11</v>
      </c>
      <c r="H182" s="17" t="s">
        <v>553</v>
      </c>
      <c r="I182" s="17" t="s">
        <v>554</v>
      </c>
      <c r="J182" s="20" t="s">
        <v>555</v>
      </c>
      <c r="K182" s="17" t="s">
        <v>515</v>
      </c>
      <c r="L182" s="17" t="s">
        <v>556</v>
      </c>
      <c r="M182" s="17" t="s">
        <v>471</v>
      </c>
      <c r="N182" s="21" t="s">
        <v>54</v>
      </c>
      <c r="O182" s="22" t="s">
        <v>54</v>
      </c>
      <c r="P182" s="21" t="s">
        <v>54</v>
      </c>
    </row>
    <row r="183" ht="65" customHeight="1" spans="1:16">
      <c r="A183" s="17" t="s">
        <v>557</v>
      </c>
      <c r="B183" s="17" t="s">
        <v>75</v>
      </c>
      <c r="C183" s="17" t="s">
        <v>451</v>
      </c>
      <c r="D183" s="17" t="s">
        <v>558</v>
      </c>
      <c r="E183" s="17" t="s">
        <v>559</v>
      </c>
      <c r="F183" s="17" t="s">
        <v>560</v>
      </c>
      <c r="G183" s="17" t="s">
        <v>11</v>
      </c>
      <c r="H183" s="17" t="s">
        <v>561</v>
      </c>
      <c r="I183" s="17" t="s">
        <v>554</v>
      </c>
      <c r="J183" s="20" t="s">
        <v>562</v>
      </c>
      <c r="K183" s="17" t="s">
        <v>491</v>
      </c>
      <c r="L183" s="17" t="s">
        <v>556</v>
      </c>
      <c r="M183" s="17" t="s">
        <v>471</v>
      </c>
      <c r="N183" s="21" t="s">
        <v>54</v>
      </c>
      <c r="O183" s="22" t="s">
        <v>54</v>
      </c>
      <c r="P183" s="21" t="s">
        <v>54</v>
      </c>
    </row>
    <row r="184" ht="65" customHeight="1" spans="1:16">
      <c r="A184" s="17" t="s">
        <v>563</v>
      </c>
      <c r="B184" s="17" t="s">
        <v>75</v>
      </c>
      <c r="C184" s="17" t="s">
        <v>451</v>
      </c>
      <c r="D184" s="17" t="s">
        <v>564</v>
      </c>
      <c r="E184" s="17" t="s">
        <v>565</v>
      </c>
      <c r="F184" s="17" t="s">
        <v>566</v>
      </c>
      <c r="G184" s="17" t="s">
        <v>11</v>
      </c>
      <c r="H184" s="17" t="s">
        <v>567</v>
      </c>
      <c r="I184" s="17" t="s">
        <v>554</v>
      </c>
      <c r="J184" s="20" t="s">
        <v>568</v>
      </c>
      <c r="K184" s="17" t="s">
        <v>515</v>
      </c>
      <c r="L184" s="17" t="s">
        <v>556</v>
      </c>
      <c r="M184" s="17" t="s">
        <v>471</v>
      </c>
      <c r="N184" s="21" t="s">
        <v>54</v>
      </c>
      <c r="O184" s="22" t="s">
        <v>54</v>
      </c>
      <c r="P184" s="21" t="s">
        <v>54</v>
      </c>
    </row>
    <row r="185" ht="65" customHeight="1" spans="1:16">
      <c r="A185" s="17" t="s">
        <v>569</v>
      </c>
      <c r="B185" s="17" t="s">
        <v>79</v>
      </c>
      <c r="C185" s="17" t="s">
        <v>451</v>
      </c>
      <c r="D185" s="17" t="s">
        <v>570</v>
      </c>
      <c r="E185" s="17" t="s">
        <v>571</v>
      </c>
      <c r="F185" s="17" t="s">
        <v>572</v>
      </c>
      <c r="G185" s="17" t="s">
        <v>7</v>
      </c>
      <c r="H185" s="17" t="s">
        <v>54</v>
      </c>
      <c r="I185" s="17" t="s">
        <v>573</v>
      </c>
      <c r="J185" s="20" t="s">
        <v>574</v>
      </c>
      <c r="K185" s="17" t="s">
        <v>54</v>
      </c>
      <c r="L185" s="17" t="s">
        <v>575</v>
      </c>
      <c r="M185" s="17" t="s">
        <v>458</v>
      </c>
      <c r="N185" s="21" t="s">
        <v>54</v>
      </c>
      <c r="O185" s="22" t="s">
        <v>54</v>
      </c>
      <c r="P185" s="21" t="s">
        <v>54</v>
      </c>
    </row>
    <row r="186" ht="65" customHeight="1" spans="1:16">
      <c r="A186" s="17" t="s">
        <v>576</v>
      </c>
      <c r="B186" s="17" t="s">
        <v>79</v>
      </c>
      <c r="C186" s="17" t="s">
        <v>451</v>
      </c>
      <c r="D186" s="17" t="s">
        <v>577</v>
      </c>
      <c r="E186" s="17" t="s">
        <v>578</v>
      </c>
      <c r="F186" s="17" t="s">
        <v>82</v>
      </c>
      <c r="G186" s="17" t="s">
        <v>8</v>
      </c>
      <c r="H186" s="17" t="s">
        <v>54</v>
      </c>
      <c r="I186" s="17" t="s">
        <v>573</v>
      </c>
      <c r="J186" s="20" t="s">
        <v>574</v>
      </c>
      <c r="K186" s="17" t="s">
        <v>54</v>
      </c>
      <c r="L186" s="17" t="s">
        <v>575</v>
      </c>
      <c r="M186" s="17" t="s">
        <v>485</v>
      </c>
      <c r="N186" s="21" t="s">
        <v>54</v>
      </c>
      <c r="O186" s="22" t="s">
        <v>54</v>
      </c>
      <c r="P186" s="21" t="s">
        <v>54</v>
      </c>
    </row>
    <row r="187" ht="65" customHeight="1" spans="1:16">
      <c r="A187" s="17" t="s">
        <v>579</v>
      </c>
      <c r="B187" s="17" t="s">
        <v>79</v>
      </c>
      <c r="C187" s="17" t="s">
        <v>451</v>
      </c>
      <c r="D187" s="17" t="s">
        <v>580</v>
      </c>
      <c r="E187" s="17" t="s">
        <v>581</v>
      </c>
      <c r="F187" s="17" t="s">
        <v>582</v>
      </c>
      <c r="G187" s="17" t="s">
        <v>7</v>
      </c>
      <c r="H187" s="17" t="s">
        <v>54</v>
      </c>
      <c r="I187" s="17" t="s">
        <v>573</v>
      </c>
      <c r="J187" s="20" t="s">
        <v>583</v>
      </c>
      <c r="K187" s="17" t="s">
        <v>54</v>
      </c>
      <c r="L187" s="17" t="s">
        <v>575</v>
      </c>
      <c r="M187" s="17" t="s">
        <v>458</v>
      </c>
      <c r="N187" s="21" t="s">
        <v>54</v>
      </c>
      <c r="O187" s="22" t="s">
        <v>54</v>
      </c>
      <c r="P187" s="21" t="s">
        <v>54</v>
      </c>
    </row>
    <row r="188" ht="65" customHeight="1" spans="1:16">
      <c r="A188" s="17" t="s">
        <v>584</v>
      </c>
      <c r="B188" s="17" t="s">
        <v>84</v>
      </c>
      <c r="C188" s="17" t="s">
        <v>451</v>
      </c>
      <c r="D188" s="17" t="s">
        <v>570</v>
      </c>
      <c r="E188" s="17" t="s">
        <v>571</v>
      </c>
      <c r="F188" s="17" t="s">
        <v>572</v>
      </c>
      <c r="G188" s="17" t="s">
        <v>7</v>
      </c>
      <c r="H188" s="17" t="s">
        <v>54</v>
      </c>
      <c r="I188" s="17" t="s">
        <v>573</v>
      </c>
      <c r="J188" s="20" t="s">
        <v>585</v>
      </c>
      <c r="K188" s="17" t="s">
        <v>54</v>
      </c>
      <c r="L188" s="17" t="s">
        <v>575</v>
      </c>
      <c r="M188" s="17" t="s">
        <v>458</v>
      </c>
      <c r="N188" s="21" t="s">
        <v>54</v>
      </c>
      <c r="O188" s="22" t="s">
        <v>54</v>
      </c>
      <c r="P188" s="21" t="s">
        <v>54</v>
      </c>
    </row>
    <row r="189" ht="65" customHeight="1" spans="1:16">
      <c r="A189" s="17" t="s">
        <v>586</v>
      </c>
      <c r="B189" s="17" t="s">
        <v>84</v>
      </c>
      <c r="C189" s="17" t="s">
        <v>451</v>
      </c>
      <c r="D189" s="17" t="s">
        <v>577</v>
      </c>
      <c r="E189" s="17" t="s">
        <v>578</v>
      </c>
      <c r="F189" s="17" t="s">
        <v>86</v>
      </c>
      <c r="G189" s="17" t="s">
        <v>8</v>
      </c>
      <c r="H189" s="17" t="s">
        <v>54</v>
      </c>
      <c r="I189" s="17" t="s">
        <v>573</v>
      </c>
      <c r="J189" s="20" t="s">
        <v>585</v>
      </c>
      <c r="K189" s="17" t="s">
        <v>54</v>
      </c>
      <c r="L189" s="17" t="s">
        <v>575</v>
      </c>
      <c r="M189" s="17" t="s">
        <v>485</v>
      </c>
      <c r="N189" s="21" t="s">
        <v>54</v>
      </c>
      <c r="O189" s="22" t="s">
        <v>54</v>
      </c>
      <c r="P189" s="21" t="s">
        <v>54</v>
      </c>
    </row>
    <row r="190" ht="65" customHeight="1" spans="1:16">
      <c r="A190" s="17" t="s">
        <v>587</v>
      </c>
      <c r="B190" s="17" t="s">
        <v>84</v>
      </c>
      <c r="C190" s="17" t="s">
        <v>451</v>
      </c>
      <c r="D190" s="17" t="s">
        <v>580</v>
      </c>
      <c r="E190" s="17" t="s">
        <v>581</v>
      </c>
      <c r="F190" s="17" t="s">
        <v>582</v>
      </c>
      <c r="G190" s="17" t="s">
        <v>7</v>
      </c>
      <c r="H190" s="17" t="s">
        <v>54</v>
      </c>
      <c r="I190" s="17" t="s">
        <v>573</v>
      </c>
      <c r="J190" s="20" t="s">
        <v>588</v>
      </c>
      <c r="K190" s="17" t="s">
        <v>54</v>
      </c>
      <c r="L190" s="17" t="s">
        <v>575</v>
      </c>
      <c r="M190" s="17" t="s">
        <v>458</v>
      </c>
      <c r="N190" s="21" t="s">
        <v>54</v>
      </c>
      <c r="O190" s="22" t="s">
        <v>54</v>
      </c>
      <c r="P190" s="21" t="s">
        <v>54</v>
      </c>
    </row>
    <row r="191" ht="65" customHeight="1" spans="1:16">
      <c r="A191" s="17" t="s">
        <v>589</v>
      </c>
      <c r="B191" s="17" t="s">
        <v>87</v>
      </c>
      <c r="C191" s="17" t="s">
        <v>451</v>
      </c>
      <c r="D191" s="17" t="s">
        <v>570</v>
      </c>
      <c r="E191" s="17" t="s">
        <v>571</v>
      </c>
      <c r="F191" s="17" t="s">
        <v>572</v>
      </c>
      <c r="G191" s="17" t="s">
        <v>7</v>
      </c>
      <c r="H191" s="17" t="s">
        <v>54</v>
      </c>
      <c r="I191" s="17" t="s">
        <v>573</v>
      </c>
      <c r="J191" s="20" t="s">
        <v>590</v>
      </c>
      <c r="K191" s="17" t="s">
        <v>54</v>
      </c>
      <c r="L191" s="17" t="s">
        <v>575</v>
      </c>
      <c r="M191" s="17" t="s">
        <v>458</v>
      </c>
      <c r="N191" s="21" t="s">
        <v>54</v>
      </c>
      <c r="O191" s="22" t="s">
        <v>54</v>
      </c>
      <c r="P191" s="21" t="s">
        <v>54</v>
      </c>
    </row>
    <row r="192" ht="65" customHeight="1" spans="1:16">
      <c r="A192" s="17" t="s">
        <v>591</v>
      </c>
      <c r="B192" s="17" t="s">
        <v>87</v>
      </c>
      <c r="C192" s="17" t="s">
        <v>451</v>
      </c>
      <c r="D192" s="17" t="s">
        <v>577</v>
      </c>
      <c r="E192" s="17" t="s">
        <v>578</v>
      </c>
      <c r="F192" s="17" t="s">
        <v>89</v>
      </c>
      <c r="G192" s="17" t="s">
        <v>8</v>
      </c>
      <c r="H192" s="17" t="s">
        <v>54</v>
      </c>
      <c r="I192" s="17" t="s">
        <v>573</v>
      </c>
      <c r="J192" s="20" t="s">
        <v>590</v>
      </c>
      <c r="K192" s="17" t="s">
        <v>54</v>
      </c>
      <c r="L192" s="17" t="s">
        <v>575</v>
      </c>
      <c r="M192" s="17" t="s">
        <v>485</v>
      </c>
      <c r="N192" s="21" t="s">
        <v>54</v>
      </c>
      <c r="O192" s="22" t="s">
        <v>54</v>
      </c>
      <c r="P192" s="21" t="s">
        <v>54</v>
      </c>
    </row>
    <row r="193" ht="65" customHeight="1" spans="1:16">
      <c r="A193" s="17" t="s">
        <v>592</v>
      </c>
      <c r="B193" s="17" t="s">
        <v>87</v>
      </c>
      <c r="C193" s="17" t="s">
        <v>451</v>
      </c>
      <c r="D193" s="17" t="s">
        <v>580</v>
      </c>
      <c r="E193" s="17" t="s">
        <v>581</v>
      </c>
      <c r="F193" s="17" t="s">
        <v>582</v>
      </c>
      <c r="G193" s="17" t="s">
        <v>7</v>
      </c>
      <c r="H193" s="17" t="s">
        <v>54</v>
      </c>
      <c r="I193" s="17" t="s">
        <v>573</v>
      </c>
      <c r="J193" s="20" t="s">
        <v>593</v>
      </c>
      <c r="K193" s="17" t="s">
        <v>54</v>
      </c>
      <c r="L193" s="17" t="s">
        <v>575</v>
      </c>
      <c r="M193" s="17" t="s">
        <v>458</v>
      </c>
      <c r="N193" s="21" t="s">
        <v>54</v>
      </c>
      <c r="O193" s="22" t="s">
        <v>54</v>
      </c>
      <c r="P193" s="21" t="s">
        <v>54</v>
      </c>
    </row>
    <row r="194" ht="65" customHeight="1" spans="1:16">
      <c r="A194" s="17" t="s">
        <v>594</v>
      </c>
      <c r="B194" s="17" t="s">
        <v>90</v>
      </c>
      <c r="C194" s="17" t="s">
        <v>451</v>
      </c>
      <c r="D194" s="17" t="s">
        <v>570</v>
      </c>
      <c r="E194" s="17" t="s">
        <v>571</v>
      </c>
      <c r="F194" s="17" t="s">
        <v>572</v>
      </c>
      <c r="G194" s="17" t="s">
        <v>7</v>
      </c>
      <c r="H194" s="17" t="s">
        <v>54</v>
      </c>
      <c r="I194" s="17" t="s">
        <v>573</v>
      </c>
      <c r="J194" s="20" t="s">
        <v>595</v>
      </c>
      <c r="K194" s="17" t="s">
        <v>54</v>
      </c>
      <c r="L194" s="17" t="s">
        <v>575</v>
      </c>
      <c r="M194" s="17" t="s">
        <v>458</v>
      </c>
      <c r="N194" s="21" t="s">
        <v>54</v>
      </c>
      <c r="O194" s="22" t="s">
        <v>54</v>
      </c>
      <c r="P194" s="21" t="s">
        <v>54</v>
      </c>
    </row>
    <row r="195" ht="65" customHeight="1" spans="1:16">
      <c r="A195" s="17" t="s">
        <v>596</v>
      </c>
      <c r="B195" s="17" t="s">
        <v>90</v>
      </c>
      <c r="C195" s="17" t="s">
        <v>451</v>
      </c>
      <c r="D195" s="17" t="s">
        <v>577</v>
      </c>
      <c r="E195" s="17" t="s">
        <v>578</v>
      </c>
      <c r="F195" s="17" t="s">
        <v>92</v>
      </c>
      <c r="G195" s="17" t="s">
        <v>8</v>
      </c>
      <c r="H195" s="17" t="s">
        <v>54</v>
      </c>
      <c r="I195" s="17" t="s">
        <v>573</v>
      </c>
      <c r="J195" s="20" t="s">
        <v>595</v>
      </c>
      <c r="K195" s="17" t="s">
        <v>54</v>
      </c>
      <c r="L195" s="17" t="s">
        <v>575</v>
      </c>
      <c r="M195" s="17" t="s">
        <v>485</v>
      </c>
      <c r="N195" s="21" t="s">
        <v>54</v>
      </c>
      <c r="O195" s="22" t="s">
        <v>54</v>
      </c>
      <c r="P195" s="21" t="s">
        <v>54</v>
      </c>
    </row>
    <row r="196" ht="65" customHeight="1" spans="1:16">
      <c r="A196" s="17" t="s">
        <v>597</v>
      </c>
      <c r="B196" s="17" t="s">
        <v>90</v>
      </c>
      <c r="C196" s="17" t="s">
        <v>451</v>
      </c>
      <c r="D196" s="17" t="s">
        <v>580</v>
      </c>
      <c r="E196" s="17" t="s">
        <v>581</v>
      </c>
      <c r="F196" s="17" t="s">
        <v>582</v>
      </c>
      <c r="G196" s="17" t="s">
        <v>7</v>
      </c>
      <c r="H196" s="17" t="s">
        <v>54</v>
      </c>
      <c r="I196" s="17" t="s">
        <v>573</v>
      </c>
      <c r="J196" s="20" t="s">
        <v>598</v>
      </c>
      <c r="K196" s="17" t="s">
        <v>54</v>
      </c>
      <c r="L196" s="17" t="s">
        <v>575</v>
      </c>
      <c r="M196" s="17" t="s">
        <v>458</v>
      </c>
      <c r="N196" s="21" t="s">
        <v>54</v>
      </c>
      <c r="O196" s="22" t="s">
        <v>54</v>
      </c>
      <c r="P196" s="21" t="s">
        <v>54</v>
      </c>
    </row>
    <row r="197" ht="65" customHeight="1" spans="1:16">
      <c r="A197" s="17" t="s">
        <v>599</v>
      </c>
      <c r="B197" s="17" t="s">
        <v>93</v>
      </c>
      <c r="C197" s="17" t="s">
        <v>451</v>
      </c>
      <c r="D197" s="17" t="s">
        <v>570</v>
      </c>
      <c r="E197" s="17" t="s">
        <v>571</v>
      </c>
      <c r="F197" s="17" t="s">
        <v>572</v>
      </c>
      <c r="G197" s="17" t="s">
        <v>7</v>
      </c>
      <c r="H197" s="17" t="s">
        <v>54</v>
      </c>
      <c r="I197" s="17" t="s">
        <v>573</v>
      </c>
      <c r="J197" s="20" t="s">
        <v>600</v>
      </c>
      <c r="K197" s="17" t="s">
        <v>54</v>
      </c>
      <c r="L197" s="17" t="s">
        <v>575</v>
      </c>
      <c r="M197" s="17" t="s">
        <v>458</v>
      </c>
      <c r="N197" s="21" t="s">
        <v>54</v>
      </c>
      <c r="O197" s="22" t="s">
        <v>54</v>
      </c>
      <c r="P197" s="21" t="s">
        <v>54</v>
      </c>
    </row>
    <row r="198" ht="65" customHeight="1" spans="1:16">
      <c r="A198" s="17" t="s">
        <v>601</v>
      </c>
      <c r="B198" s="17" t="s">
        <v>93</v>
      </c>
      <c r="C198" s="17" t="s">
        <v>451</v>
      </c>
      <c r="D198" s="17" t="s">
        <v>577</v>
      </c>
      <c r="E198" s="17" t="s">
        <v>578</v>
      </c>
      <c r="F198" s="17" t="s">
        <v>95</v>
      </c>
      <c r="G198" s="17" t="s">
        <v>8</v>
      </c>
      <c r="H198" s="17" t="s">
        <v>54</v>
      </c>
      <c r="I198" s="17" t="s">
        <v>573</v>
      </c>
      <c r="J198" s="20" t="s">
        <v>600</v>
      </c>
      <c r="K198" s="17" t="s">
        <v>54</v>
      </c>
      <c r="L198" s="17" t="s">
        <v>575</v>
      </c>
      <c r="M198" s="17" t="s">
        <v>485</v>
      </c>
      <c r="N198" s="21" t="s">
        <v>54</v>
      </c>
      <c r="O198" s="22" t="s">
        <v>54</v>
      </c>
      <c r="P198" s="21" t="s">
        <v>54</v>
      </c>
    </row>
    <row r="199" ht="65" customHeight="1" spans="1:16">
      <c r="A199" s="17" t="s">
        <v>602</v>
      </c>
      <c r="B199" s="17" t="s">
        <v>93</v>
      </c>
      <c r="C199" s="17" t="s">
        <v>451</v>
      </c>
      <c r="D199" s="17" t="s">
        <v>580</v>
      </c>
      <c r="E199" s="17" t="s">
        <v>581</v>
      </c>
      <c r="F199" s="17" t="s">
        <v>582</v>
      </c>
      <c r="G199" s="17" t="s">
        <v>7</v>
      </c>
      <c r="H199" s="17" t="s">
        <v>54</v>
      </c>
      <c r="I199" s="17" t="s">
        <v>573</v>
      </c>
      <c r="J199" s="20" t="s">
        <v>603</v>
      </c>
      <c r="K199" s="17" t="s">
        <v>54</v>
      </c>
      <c r="L199" s="17" t="s">
        <v>575</v>
      </c>
      <c r="M199" s="17" t="s">
        <v>458</v>
      </c>
      <c r="N199" s="21" t="s">
        <v>54</v>
      </c>
      <c r="O199" s="22" t="s">
        <v>54</v>
      </c>
      <c r="P199" s="21" t="s">
        <v>54</v>
      </c>
    </row>
    <row r="200" ht="65" customHeight="1" spans="1:16">
      <c r="A200" s="17" t="s">
        <v>604</v>
      </c>
      <c r="B200" s="17" t="s">
        <v>96</v>
      </c>
      <c r="C200" s="17" t="s">
        <v>451</v>
      </c>
      <c r="D200" s="17" t="s">
        <v>570</v>
      </c>
      <c r="E200" s="17" t="s">
        <v>571</v>
      </c>
      <c r="F200" s="17" t="s">
        <v>572</v>
      </c>
      <c r="G200" s="17" t="s">
        <v>7</v>
      </c>
      <c r="H200" s="17" t="s">
        <v>54</v>
      </c>
      <c r="I200" s="17" t="s">
        <v>573</v>
      </c>
      <c r="J200" s="20" t="s">
        <v>605</v>
      </c>
      <c r="K200" s="17" t="s">
        <v>54</v>
      </c>
      <c r="L200" s="17" t="s">
        <v>575</v>
      </c>
      <c r="M200" s="17" t="s">
        <v>458</v>
      </c>
      <c r="N200" s="21" t="s">
        <v>54</v>
      </c>
      <c r="O200" s="22" t="s">
        <v>54</v>
      </c>
      <c r="P200" s="21" t="s">
        <v>54</v>
      </c>
    </row>
    <row r="201" ht="65" customHeight="1" spans="1:16">
      <c r="A201" s="17" t="s">
        <v>606</v>
      </c>
      <c r="B201" s="17" t="s">
        <v>96</v>
      </c>
      <c r="C201" s="17" t="s">
        <v>451</v>
      </c>
      <c r="D201" s="17" t="s">
        <v>577</v>
      </c>
      <c r="E201" s="17" t="s">
        <v>578</v>
      </c>
      <c r="F201" s="17" t="s">
        <v>98</v>
      </c>
      <c r="G201" s="17" t="s">
        <v>8</v>
      </c>
      <c r="H201" s="17" t="s">
        <v>54</v>
      </c>
      <c r="I201" s="17" t="s">
        <v>573</v>
      </c>
      <c r="J201" s="20" t="s">
        <v>605</v>
      </c>
      <c r="K201" s="17" t="s">
        <v>54</v>
      </c>
      <c r="L201" s="17" t="s">
        <v>575</v>
      </c>
      <c r="M201" s="17" t="s">
        <v>485</v>
      </c>
      <c r="N201" s="21" t="s">
        <v>54</v>
      </c>
      <c r="O201" s="22" t="s">
        <v>54</v>
      </c>
      <c r="P201" s="21" t="s">
        <v>54</v>
      </c>
    </row>
    <row r="202" ht="65" customHeight="1" spans="1:16">
      <c r="A202" s="17" t="s">
        <v>607</v>
      </c>
      <c r="B202" s="17" t="s">
        <v>96</v>
      </c>
      <c r="C202" s="17" t="s">
        <v>451</v>
      </c>
      <c r="D202" s="17" t="s">
        <v>580</v>
      </c>
      <c r="E202" s="17" t="s">
        <v>581</v>
      </c>
      <c r="F202" s="17" t="s">
        <v>582</v>
      </c>
      <c r="G202" s="17" t="s">
        <v>7</v>
      </c>
      <c r="H202" s="17" t="s">
        <v>54</v>
      </c>
      <c r="I202" s="17" t="s">
        <v>573</v>
      </c>
      <c r="J202" s="20" t="s">
        <v>608</v>
      </c>
      <c r="K202" s="17" t="s">
        <v>54</v>
      </c>
      <c r="L202" s="17" t="s">
        <v>575</v>
      </c>
      <c r="M202" s="17" t="s">
        <v>458</v>
      </c>
      <c r="N202" s="21" t="s">
        <v>54</v>
      </c>
      <c r="O202" s="22" t="s">
        <v>54</v>
      </c>
      <c r="P202" s="21" t="s">
        <v>54</v>
      </c>
    </row>
    <row r="203" ht="65" customHeight="1" spans="1:16">
      <c r="A203" s="17" t="s">
        <v>609</v>
      </c>
      <c r="B203" s="17" t="s">
        <v>99</v>
      </c>
      <c r="C203" s="17" t="s">
        <v>451</v>
      </c>
      <c r="D203" s="17" t="s">
        <v>570</v>
      </c>
      <c r="E203" s="17" t="s">
        <v>571</v>
      </c>
      <c r="F203" s="17" t="s">
        <v>572</v>
      </c>
      <c r="G203" s="17" t="s">
        <v>7</v>
      </c>
      <c r="H203" s="17" t="s">
        <v>54</v>
      </c>
      <c r="I203" s="17" t="s">
        <v>573</v>
      </c>
      <c r="J203" s="20" t="s">
        <v>610</v>
      </c>
      <c r="K203" s="17" t="s">
        <v>54</v>
      </c>
      <c r="L203" s="17" t="s">
        <v>575</v>
      </c>
      <c r="M203" s="17" t="s">
        <v>458</v>
      </c>
      <c r="N203" s="21" t="s">
        <v>54</v>
      </c>
      <c r="O203" s="22" t="s">
        <v>54</v>
      </c>
      <c r="P203" s="21" t="s">
        <v>54</v>
      </c>
    </row>
    <row r="204" ht="65" customHeight="1" spans="1:16">
      <c r="A204" s="17" t="s">
        <v>611</v>
      </c>
      <c r="B204" s="17" t="s">
        <v>99</v>
      </c>
      <c r="C204" s="17" t="s">
        <v>451</v>
      </c>
      <c r="D204" s="17" t="s">
        <v>577</v>
      </c>
      <c r="E204" s="17" t="s">
        <v>578</v>
      </c>
      <c r="F204" s="17" t="s">
        <v>101</v>
      </c>
      <c r="G204" s="17" t="s">
        <v>8</v>
      </c>
      <c r="H204" s="17" t="s">
        <v>54</v>
      </c>
      <c r="I204" s="17" t="s">
        <v>573</v>
      </c>
      <c r="J204" s="20" t="s">
        <v>610</v>
      </c>
      <c r="K204" s="17" t="s">
        <v>54</v>
      </c>
      <c r="L204" s="17" t="s">
        <v>575</v>
      </c>
      <c r="M204" s="17" t="s">
        <v>485</v>
      </c>
      <c r="N204" s="21" t="s">
        <v>54</v>
      </c>
      <c r="O204" s="22" t="s">
        <v>54</v>
      </c>
      <c r="P204" s="21" t="s">
        <v>54</v>
      </c>
    </row>
    <row r="205" ht="65" customHeight="1" spans="1:16">
      <c r="A205" s="17" t="s">
        <v>612</v>
      </c>
      <c r="B205" s="17" t="s">
        <v>99</v>
      </c>
      <c r="C205" s="17" t="s">
        <v>451</v>
      </c>
      <c r="D205" s="17" t="s">
        <v>580</v>
      </c>
      <c r="E205" s="17" t="s">
        <v>581</v>
      </c>
      <c r="F205" s="17" t="s">
        <v>582</v>
      </c>
      <c r="G205" s="17" t="s">
        <v>7</v>
      </c>
      <c r="H205" s="17" t="s">
        <v>54</v>
      </c>
      <c r="I205" s="17" t="s">
        <v>573</v>
      </c>
      <c r="J205" s="20" t="s">
        <v>613</v>
      </c>
      <c r="K205" s="17" t="s">
        <v>54</v>
      </c>
      <c r="L205" s="17" t="s">
        <v>575</v>
      </c>
      <c r="M205" s="17" t="s">
        <v>458</v>
      </c>
      <c r="N205" s="21" t="s">
        <v>54</v>
      </c>
      <c r="O205" s="22" t="s">
        <v>54</v>
      </c>
      <c r="P205" s="21" t="s">
        <v>54</v>
      </c>
    </row>
    <row r="206" ht="65" customHeight="1" spans="1:16">
      <c r="A206" s="17" t="s">
        <v>614</v>
      </c>
      <c r="B206" s="17" t="s">
        <v>102</v>
      </c>
      <c r="C206" s="17" t="s">
        <v>451</v>
      </c>
      <c r="D206" s="17" t="s">
        <v>570</v>
      </c>
      <c r="E206" s="17" t="s">
        <v>571</v>
      </c>
      <c r="F206" s="17" t="s">
        <v>572</v>
      </c>
      <c r="G206" s="17" t="s">
        <v>7</v>
      </c>
      <c r="H206" s="17" t="s">
        <v>54</v>
      </c>
      <c r="I206" s="17" t="s">
        <v>573</v>
      </c>
      <c r="J206" s="20" t="s">
        <v>615</v>
      </c>
      <c r="K206" s="17" t="s">
        <v>54</v>
      </c>
      <c r="L206" s="17" t="s">
        <v>575</v>
      </c>
      <c r="M206" s="17" t="s">
        <v>458</v>
      </c>
      <c r="N206" s="21" t="s">
        <v>54</v>
      </c>
      <c r="O206" s="22" t="s">
        <v>54</v>
      </c>
      <c r="P206" s="21" t="s">
        <v>54</v>
      </c>
    </row>
    <row r="207" ht="65" customHeight="1" spans="1:16">
      <c r="A207" s="17" t="s">
        <v>616</v>
      </c>
      <c r="B207" s="17" t="s">
        <v>102</v>
      </c>
      <c r="C207" s="17" t="s">
        <v>451</v>
      </c>
      <c r="D207" s="17" t="s">
        <v>577</v>
      </c>
      <c r="E207" s="17" t="s">
        <v>578</v>
      </c>
      <c r="F207" s="17" t="s">
        <v>104</v>
      </c>
      <c r="G207" s="17" t="s">
        <v>8</v>
      </c>
      <c r="H207" s="17" t="s">
        <v>54</v>
      </c>
      <c r="I207" s="17" t="s">
        <v>573</v>
      </c>
      <c r="J207" s="20" t="s">
        <v>615</v>
      </c>
      <c r="K207" s="17" t="s">
        <v>54</v>
      </c>
      <c r="L207" s="17" t="s">
        <v>575</v>
      </c>
      <c r="M207" s="17" t="s">
        <v>485</v>
      </c>
      <c r="N207" s="21" t="s">
        <v>54</v>
      </c>
      <c r="O207" s="22" t="s">
        <v>54</v>
      </c>
      <c r="P207" s="21" t="s">
        <v>54</v>
      </c>
    </row>
    <row r="208" ht="65" customHeight="1" spans="1:16">
      <c r="A208" s="17" t="s">
        <v>617</v>
      </c>
      <c r="B208" s="17" t="s">
        <v>102</v>
      </c>
      <c r="C208" s="17" t="s">
        <v>451</v>
      </c>
      <c r="D208" s="17" t="s">
        <v>580</v>
      </c>
      <c r="E208" s="17" t="s">
        <v>581</v>
      </c>
      <c r="F208" s="17" t="s">
        <v>582</v>
      </c>
      <c r="G208" s="17" t="s">
        <v>7</v>
      </c>
      <c r="H208" s="17" t="s">
        <v>54</v>
      </c>
      <c r="I208" s="17" t="s">
        <v>573</v>
      </c>
      <c r="J208" s="20" t="s">
        <v>618</v>
      </c>
      <c r="K208" s="17" t="s">
        <v>54</v>
      </c>
      <c r="L208" s="17" t="s">
        <v>575</v>
      </c>
      <c r="M208" s="17" t="s">
        <v>458</v>
      </c>
      <c r="N208" s="21" t="s">
        <v>54</v>
      </c>
      <c r="O208" s="22" t="s">
        <v>54</v>
      </c>
      <c r="P208" s="21" t="s">
        <v>54</v>
      </c>
    </row>
    <row r="209" ht="65" customHeight="1" spans="1:16">
      <c r="A209" s="17" t="s">
        <v>619</v>
      </c>
      <c r="B209" s="17" t="s">
        <v>105</v>
      </c>
      <c r="C209" s="17" t="s">
        <v>451</v>
      </c>
      <c r="D209" s="17" t="s">
        <v>570</v>
      </c>
      <c r="E209" s="17" t="s">
        <v>571</v>
      </c>
      <c r="F209" s="17" t="s">
        <v>572</v>
      </c>
      <c r="G209" s="17" t="s">
        <v>7</v>
      </c>
      <c r="H209" s="17" t="s">
        <v>54</v>
      </c>
      <c r="I209" s="17" t="s">
        <v>573</v>
      </c>
      <c r="J209" s="20" t="s">
        <v>620</v>
      </c>
      <c r="K209" s="17" t="s">
        <v>54</v>
      </c>
      <c r="L209" s="17" t="s">
        <v>575</v>
      </c>
      <c r="M209" s="17" t="s">
        <v>458</v>
      </c>
      <c r="N209" s="21" t="s">
        <v>54</v>
      </c>
      <c r="O209" s="22" t="s">
        <v>54</v>
      </c>
      <c r="P209" s="21" t="s">
        <v>54</v>
      </c>
    </row>
    <row r="210" ht="65" customHeight="1" spans="1:16">
      <c r="A210" s="17" t="s">
        <v>621</v>
      </c>
      <c r="B210" s="17" t="s">
        <v>105</v>
      </c>
      <c r="C210" s="17" t="s">
        <v>451</v>
      </c>
      <c r="D210" s="17" t="s">
        <v>577</v>
      </c>
      <c r="E210" s="17" t="s">
        <v>578</v>
      </c>
      <c r="F210" s="17" t="s">
        <v>107</v>
      </c>
      <c r="G210" s="17" t="s">
        <v>8</v>
      </c>
      <c r="H210" s="17" t="s">
        <v>54</v>
      </c>
      <c r="I210" s="17" t="s">
        <v>573</v>
      </c>
      <c r="J210" s="20" t="s">
        <v>620</v>
      </c>
      <c r="K210" s="17" t="s">
        <v>54</v>
      </c>
      <c r="L210" s="17" t="s">
        <v>575</v>
      </c>
      <c r="M210" s="17" t="s">
        <v>485</v>
      </c>
      <c r="N210" s="21" t="s">
        <v>54</v>
      </c>
      <c r="O210" s="22" t="s">
        <v>54</v>
      </c>
      <c r="P210" s="21" t="s">
        <v>54</v>
      </c>
    </row>
    <row r="211" ht="65" customHeight="1" spans="1:16">
      <c r="A211" s="17" t="s">
        <v>622</v>
      </c>
      <c r="B211" s="17" t="s">
        <v>105</v>
      </c>
      <c r="C211" s="17" t="s">
        <v>451</v>
      </c>
      <c r="D211" s="17" t="s">
        <v>580</v>
      </c>
      <c r="E211" s="17" t="s">
        <v>581</v>
      </c>
      <c r="F211" s="17" t="s">
        <v>582</v>
      </c>
      <c r="G211" s="17" t="s">
        <v>7</v>
      </c>
      <c r="H211" s="17" t="s">
        <v>54</v>
      </c>
      <c r="I211" s="17" t="s">
        <v>573</v>
      </c>
      <c r="J211" s="20" t="s">
        <v>623</v>
      </c>
      <c r="K211" s="17" t="s">
        <v>54</v>
      </c>
      <c r="L211" s="17" t="s">
        <v>575</v>
      </c>
      <c r="M211" s="17" t="s">
        <v>458</v>
      </c>
      <c r="N211" s="21" t="s">
        <v>54</v>
      </c>
      <c r="O211" s="22" t="s">
        <v>54</v>
      </c>
      <c r="P211" s="21" t="s">
        <v>54</v>
      </c>
    </row>
    <row r="212" ht="65" customHeight="1" spans="1:16">
      <c r="A212" s="17" t="s">
        <v>624</v>
      </c>
      <c r="B212" s="17" t="s">
        <v>108</v>
      </c>
      <c r="C212" s="17" t="s">
        <v>451</v>
      </c>
      <c r="D212" s="17" t="s">
        <v>570</v>
      </c>
      <c r="E212" s="17" t="s">
        <v>571</v>
      </c>
      <c r="F212" s="17" t="s">
        <v>572</v>
      </c>
      <c r="G212" s="17" t="s">
        <v>7</v>
      </c>
      <c r="H212" s="17" t="s">
        <v>54</v>
      </c>
      <c r="I212" s="17" t="s">
        <v>573</v>
      </c>
      <c r="J212" s="20" t="s">
        <v>625</v>
      </c>
      <c r="K212" s="17" t="s">
        <v>54</v>
      </c>
      <c r="L212" s="17" t="s">
        <v>575</v>
      </c>
      <c r="M212" s="17" t="s">
        <v>458</v>
      </c>
      <c r="N212" s="21" t="s">
        <v>54</v>
      </c>
      <c r="O212" s="22" t="s">
        <v>54</v>
      </c>
      <c r="P212" s="21" t="s">
        <v>54</v>
      </c>
    </row>
    <row r="213" ht="65" customHeight="1" spans="1:16">
      <c r="A213" s="17" t="s">
        <v>626</v>
      </c>
      <c r="B213" s="17" t="s">
        <v>108</v>
      </c>
      <c r="C213" s="17" t="s">
        <v>451</v>
      </c>
      <c r="D213" s="17" t="s">
        <v>577</v>
      </c>
      <c r="E213" s="17" t="s">
        <v>578</v>
      </c>
      <c r="F213" s="17" t="s">
        <v>110</v>
      </c>
      <c r="G213" s="17" t="s">
        <v>8</v>
      </c>
      <c r="H213" s="17" t="s">
        <v>54</v>
      </c>
      <c r="I213" s="17" t="s">
        <v>573</v>
      </c>
      <c r="J213" s="20" t="s">
        <v>625</v>
      </c>
      <c r="K213" s="17" t="s">
        <v>54</v>
      </c>
      <c r="L213" s="17" t="s">
        <v>575</v>
      </c>
      <c r="M213" s="17" t="s">
        <v>485</v>
      </c>
      <c r="N213" s="21" t="s">
        <v>54</v>
      </c>
      <c r="O213" s="22" t="s">
        <v>54</v>
      </c>
      <c r="P213" s="21" t="s">
        <v>54</v>
      </c>
    </row>
    <row r="214" ht="65" customHeight="1" spans="1:16">
      <c r="A214" s="17" t="s">
        <v>627</v>
      </c>
      <c r="B214" s="17" t="s">
        <v>108</v>
      </c>
      <c r="C214" s="17" t="s">
        <v>451</v>
      </c>
      <c r="D214" s="17" t="s">
        <v>580</v>
      </c>
      <c r="E214" s="17" t="s">
        <v>581</v>
      </c>
      <c r="F214" s="17" t="s">
        <v>582</v>
      </c>
      <c r="G214" s="17" t="s">
        <v>7</v>
      </c>
      <c r="H214" s="17" t="s">
        <v>54</v>
      </c>
      <c r="I214" s="17" t="s">
        <v>573</v>
      </c>
      <c r="J214" s="20" t="s">
        <v>628</v>
      </c>
      <c r="K214" s="17" t="s">
        <v>54</v>
      </c>
      <c r="L214" s="17" t="s">
        <v>575</v>
      </c>
      <c r="M214" s="17" t="s">
        <v>458</v>
      </c>
      <c r="N214" s="21" t="s">
        <v>54</v>
      </c>
      <c r="O214" s="22" t="s">
        <v>54</v>
      </c>
      <c r="P214" s="21" t="s">
        <v>54</v>
      </c>
    </row>
    <row r="215" ht="65" customHeight="1" spans="1:16">
      <c r="A215" s="17" t="s">
        <v>629</v>
      </c>
      <c r="B215" s="17" t="s">
        <v>111</v>
      </c>
      <c r="C215" s="17" t="s">
        <v>451</v>
      </c>
      <c r="D215" s="17" t="s">
        <v>570</v>
      </c>
      <c r="E215" s="17" t="s">
        <v>571</v>
      </c>
      <c r="F215" s="17" t="s">
        <v>572</v>
      </c>
      <c r="G215" s="17" t="s">
        <v>7</v>
      </c>
      <c r="H215" s="17" t="s">
        <v>54</v>
      </c>
      <c r="I215" s="17" t="s">
        <v>573</v>
      </c>
      <c r="J215" s="20" t="s">
        <v>630</v>
      </c>
      <c r="K215" s="17" t="s">
        <v>54</v>
      </c>
      <c r="L215" s="17" t="s">
        <v>575</v>
      </c>
      <c r="M215" s="17" t="s">
        <v>458</v>
      </c>
      <c r="N215" s="21" t="s">
        <v>54</v>
      </c>
      <c r="O215" s="22" t="s">
        <v>54</v>
      </c>
      <c r="P215" s="21" t="s">
        <v>54</v>
      </c>
    </row>
    <row r="216" ht="65" customHeight="1" spans="1:16">
      <c r="A216" s="17" t="s">
        <v>631</v>
      </c>
      <c r="B216" s="17" t="s">
        <v>111</v>
      </c>
      <c r="C216" s="17" t="s">
        <v>451</v>
      </c>
      <c r="D216" s="17" t="s">
        <v>577</v>
      </c>
      <c r="E216" s="17" t="s">
        <v>578</v>
      </c>
      <c r="F216" s="17" t="s">
        <v>113</v>
      </c>
      <c r="G216" s="17" t="s">
        <v>8</v>
      </c>
      <c r="H216" s="17" t="s">
        <v>54</v>
      </c>
      <c r="I216" s="17" t="s">
        <v>573</v>
      </c>
      <c r="J216" s="20" t="s">
        <v>630</v>
      </c>
      <c r="K216" s="17" t="s">
        <v>54</v>
      </c>
      <c r="L216" s="17" t="s">
        <v>575</v>
      </c>
      <c r="M216" s="17" t="s">
        <v>485</v>
      </c>
      <c r="N216" s="21" t="s">
        <v>54</v>
      </c>
      <c r="O216" s="22" t="s">
        <v>54</v>
      </c>
      <c r="P216" s="21" t="s">
        <v>54</v>
      </c>
    </row>
    <row r="217" ht="65" customHeight="1" spans="1:16">
      <c r="A217" s="17" t="s">
        <v>632</v>
      </c>
      <c r="B217" s="17" t="s">
        <v>111</v>
      </c>
      <c r="C217" s="17" t="s">
        <v>451</v>
      </c>
      <c r="D217" s="17" t="s">
        <v>580</v>
      </c>
      <c r="E217" s="17" t="s">
        <v>581</v>
      </c>
      <c r="F217" s="17" t="s">
        <v>582</v>
      </c>
      <c r="G217" s="17" t="s">
        <v>7</v>
      </c>
      <c r="H217" s="17" t="s">
        <v>54</v>
      </c>
      <c r="I217" s="17" t="s">
        <v>573</v>
      </c>
      <c r="J217" s="20" t="s">
        <v>633</v>
      </c>
      <c r="K217" s="17" t="s">
        <v>54</v>
      </c>
      <c r="L217" s="17" t="s">
        <v>575</v>
      </c>
      <c r="M217" s="17" t="s">
        <v>458</v>
      </c>
      <c r="N217" s="21" t="s">
        <v>54</v>
      </c>
      <c r="O217" s="22" t="s">
        <v>54</v>
      </c>
      <c r="P217" s="21" t="s">
        <v>54</v>
      </c>
    </row>
    <row r="218" ht="65" customHeight="1" spans="1:16">
      <c r="A218" s="17" t="s">
        <v>634</v>
      </c>
      <c r="B218" s="17" t="s">
        <v>114</v>
      </c>
      <c r="C218" s="17" t="s">
        <v>451</v>
      </c>
      <c r="D218" s="17" t="s">
        <v>570</v>
      </c>
      <c r="E218" s="17" t="s">
        <v>571</v>
      </c>
      <c r="F218" s="17" t="s">
        <v>572</v>
      </c>
      <c r="G218" s="17" t="s">
        <v>7</v>
      </c>
      <c r="H218" s="17" t="s">
        <v>54</v>
      </c>
      <c r="I218" s="17" t="s">
        <v>573</v>
      </c>
      <c r="J218" s="20" t="s">
        <v>635</v>
      </c>
      <c r="K218" s="17" t="s">
        <v>54</v>
      </c>
      <c r="L218" s="17" t="s">
        <v>575</v>
      </c>
      <c r="M218" s="17" t="s">
        <v>458</v>
      </c>
      <c r="N218" s="21" t="s">
        <v>54</v>
      </c>
      <c r="O218" s="22" t="s">
        <v>54</v>
      </c>
      <c r="P218" s="21" t="s">
        <v>54</v>
      </c>
    </row>
    <row r="219" ht="65" customHeight="1" spans="1:16">
      <c r="A219" s="17" t="s">
        <v>636</v>
      </c>
      <c r="B219" s="17" t="s">
        <v>114</v>
      </c>
      <c r="C219" s="17" t="s">
        <v>451</v>
      </c>
      <c r="D219" s="17" t="s">
        <v>577</v>
      </c>
      <c r="E219" s="17" t="s">
        <v>578</v>
      </c>
      <c r="F219" s="17" t="s">
        <v>116</v>
      </c>
      <c r="G219" s="17" t="s">
        <v>8</v>
      </c>
      <c r="H219" s="17" t="s">
        <v>54</v>
      </c>
      <c r="I219" s="17" t="s">
        <v>573</v>
      </c>
      <c r="J219" s="20" t="s">
        <v>635</v>
      </c>
      <c r="K219" s="17" t="s">
        <v>54</v>
      </c>
      <c r="L219" s="17" t="s">
        <v>575</v>
      </c>
      <c r="M219" s="17" t="s">
        <v>485</v>
      </c>
      <c r="N219" s="21" t="s">
        <v>54</v>
      </c>
      <c r="O219" s="22" t="s">
        <v>54</v>
      </c>
      <c r="P219" s="21" t="s">
        <v>54</v>
      </c>
    </row>
    <row r="220" ht="65" customHeight="1" spans="1:16">
      <c r="A220" s="17" t="s">
        <v>637</v>
      </c>
      <c r="B220" s="17" t="s">
        <v>114</v>
      </c>
      <c r="C220" s="17" t="s">
        <v>451</v>
      </c>
      <c r="D220" s="17" t="s">
        <v>580</v>
      </c>
      <c r="E220" s="17" t="s">
        <v>581</v>
      </c>
      <c r="F220" s="17" t="s">
        <v>582</v>
      </c>
      <c r="G220" s="17" t="s">
        <v>7</v>
      </c>
      <c r="H220" s="17" t="s">
        <v>54</v>
      </c>
      <c r="I220" s="17" t="s">
        <v>573</v>
      </c>
      <c r="J220" s="20" t="s">
        <v>638</v>
      </c>
      <c r="K220" s="17" t="s">
        <v>54</v>
      </c>
      <c r="L220" s="17" t="s">
        <v>575</v>
      </c>
      <c r="M220" s="17" t="s">
        <v>458</v>
      </c>
      <c r="N220" s="21" t="s">
        <v>54</v>
      </c>
      <c r="O220" s="22" t="s">
        <v>54</v>
      </c>
      <c r="P220" s="21" t="s">
        <v>54</v>
      </c>
    </row>
    <row r="221" ht="65" customHeight="1" spans="1:16">
      <c r="A221" s="17" t="s">
        <v>639</v>
      </c>
      <c r="B221" s="17" t="s">
        <v>117</v>
      </c>
      <c r="C221" s="17" t="s">
        <v>451</v>
      </c>
      <c r="D221" s="17" t="s">
        <v>570</v>
      </c>
      <c r="E221" s="17" t="s">
        <v>571</v>
      </c>
      <c r="F221" s="17" t="s">
        <v>572</v>
      </c>
      <c r="G221" s="17" t="s">
        <v>7</v>
      </c>
      <c r="H221" s="17" t="s">
        <v>54</v>
      </c>
      <c r="I221" s="17" t="s">
        <v>573</v>
      </c>
      <c r="J221" s="20" t="s">
        <v>640</v>
      </c>
      <c r="K221" s="17" t="s">
        <v>54</v>
      </c>
      <c r="L221" s="17" t="s">
        <v>575</v>
      </c>
      <c r="M221" s="17" t="s">
        <v>458</v>
      </c>
      <c r="N221" s="21" t="s">
        <v>54</v>
      </c>
      <c r="O221" s="22" t="s">
        <v>54</v>
      </c>
      <c r="P221" s="21" t="s">
        <v>54</v>
      </c>
    </row>
    <row r="222" ht="65" customHeight="1" spans="1:16">
      <c r="A222" s="17" t="s">
        <v>641</v>
      </c>
      <c r="B222" s="17" t="s">
        <v>117</v>
      </c>
      <c r="C222" s="17" t="s">
        <v>451</v>
      </c>
      <c r="D222" s="17" t="s">
        <v>577</v>
      </c>
      <c r="E222" s="17" t="s">
        <v>578</v>
      </c>
      <c r="F222" s="17" t="s">
        <v>119</v>
      </c>
      <c r="G222" s="17" t="s">
        <v>8</v>
      </c>
      <c r="H222" s="17" t="s">
        <v>54</v>
      </c>
      <c r="I222" s="17" t="s">
        <v>573</v>
      </c>
      <c r="J222" s="20" t="s">
        <v>640</v>
      </c>
      <c r="K222" s="17" t="s">
        <v>54</v>
      </c>
      <c r="L222" s="17" t="s">
        <v>575</v>
      </c>
      <c r="M222" s="17" t="s">
        <v>485</v>
      </c>
      <c r="N222" s="21" t="s">
        <v>54</v>
      </c>
      <c r="O222" s="22" t="s">
        <v>54</v>
      </c>
      <c r="P222" s="21" t="s">
        <v>54</v>
      </c>
    </row>
    <row r="223" ht="65" customHeight="1" spans="1:16">
      <c r="A223" s="17" t="s">
        <v>642</v>
      </c>
      <c r="B223" s="17" t="s">
        <v>117</v>
      </c>
      <c r="C223" s="17" t="s">
        <v>451</v>
      </c>
      <c r="D223" s="17" t="s">
        <v>580</v>
      </c>
      <c r="E223" s="17" t="s">
        <v>581</v>
      </c>
      <c r="F223" s="17" t="s">
        <v>582</v>
      </c>
      <c r="G223" s="17" t="s">
        <v>7</v>
      </c>
      <c r="H223" s="17" t="s">
        <v>54</v>
      </c>
      <c r="I223" s="17" t="s">
        <v>573</v>
      </c>
      <c r="J223" s="20" t="s">
        <v>643</v>
      </c>
      <c r="K223" s="17" t="s">
        <v>54</v>
      </c>
      <c r="L223" s="17" t="s">
        <v>575</v>
      </c>
      <c r="M223" s="17" t="s">
        <v>458</v>
      </c>
      <c r="N223" s="21" t="s">
        <v>54</v>
      </c>
      <c r="O223" s="22" t="s">
        <v>54</v>
      </c>
      <c r="P223" s="21" t="s">
        <v>54</v>
      </c>
    </row>
    <row r="224" ht="65" customHeight="1" spans="1:16">
      <c r="A224" s="17" t="s">
        <v>644</v>
      </c>
      <c r="B224" s="17" t="s">
        <v>120</v>
      </c>
      <c r="C224" s="17" t="s">
        <v>451</v>
      </c>
      <c r="D224" s="17" t="s">
        <v>570</v>
      </c>
      <c r="E224" s="17" t="s">
        <v>571</v>
      </c>
      <c r="F224" s="17" t="s">
        <v>572</v>
      </c>
      <c r="G224" s="17" t="s">
        <v>7</v>
      </c>
      <c r="H224" s="17" t="s">
        <v>54</v>
      </c>
      <c r="I224" s="17" t="s">
        <v>573</v>
      </c>
      <c r="J224" s="20" t="s">
        <v>645</v>
      </c>
      <c r="K224" s="17" t="s">
        <v>54</v>
      </c>
      <c r="L224" s="17" t="s">
        <v>575</v>
      </c>
      <c r="M224" s="17" t="s">
        <v>458</v>
      </c>
      <c r="N224" s="21" t="s">
        <v>54</v>
      </c>
      <c r="O224" s="22" t="s">
        <v>54</v>
      </c>
      <c r="P224" s="21" t="s">
        <v>54</v>
      </c>
    </row>
    <row r="225" ht="65" customHeight="1" spans="1:16">
      <c r="A225" s="17" t="s">
        <v>646</v>
      </c>
      <c r="B225" s="17" t="s">
        <v>120</v>
      </c>
      <c r="C225" s="17" t="s">
        <v>451</v>
      </c>
      <c r="D225" s="17" t="s">
        <v>577</v>
      </c>
      <c r="E225" s="17" t="s">
        <v>578</v>
      </c>
      <c r="F225" s="17" t="s">
        <v>122</v>
      </c>
      <c r="G225" s="17" t="s">
        <v>8</v>
      </c>
      <c r="H225" s="17" t="s">
        <v>54</v>
      </c>
      <c r="I225" s="17" t="s">
        <v>573</v>
      </c>
      <c r="J225" s="20" t="s">
        <v>645</v>
      </c>
      <c r="K225" s="17" t="s">
        <v>54</v>
      </c>
      <c r="L225" s="17" t="s">
        <v>575</v>
      </c>
      <c r="M225" s="17" t="s">
        <v>485</v>
      </c>
      <c r="N225" s="21" t="s">
        <v>54</v>
      </c>
      <c r="O225" s="22" t="s">
        <v>54</v>
      </c>
      <c r="P225" s="21" t="s">
        <v>54</v>
      </c>
    </row>
    <row r="226" ht="65" customHeight="1" spans="1:16">
      <c r="A226" s="17" t="s">
        <v>647</v>
      </c>
      <c r="B226" s="17" t="s">
        <v>120</v>
      </c>
      <c r="C226" s="17" t="s">
        <v>451</v>
      </c>
      <c r="D226" s="17" t="s">
        <v>580</v>
      </c>
      <c r="E226" s="17" t="s">
        <v>581</v>
      </c>
      <c r="F226" s="17" t="s">
        <v>582</v>
      </c>
      <c r="G226" s="17" t="s">
        <v>7</v>
      </c>
      <c r="H226" s="17" t="s">
        <v>54</v>
      </c>
      <c r="I226" s="17" t="s">
        <v>573</v>
      </c>
      <c r="J226" s="20" t="s">
        <v>648</v>
      </c>
      <c r="K226" s="17" t="s">
        <v>54</v>
      </c>
      <c r="L226" s="17" t="s">
        <v>575</v>
      </c>
      <c r="M226" s="17" t="s">
        <v>458</v>
      </c>
      <c r="N226" s="21" t="s">
        <v>54</v>
      </c>
      <c r="O226" s="22" t="s">
        <v>54</v>
      </c>
      <c r="P226" s="21" t="s">
        <v>54</v>
      </c>
    </row>
    <row r="227" ht="65" customHeight="1" spans="1:16">
      <c r="A227" s="17" t="s">
        <v>649</v>
      </c>
      <c r="B227" s="17" t="s">
        <v>123</v>
      </c>
      <c r="C227" s="17" t="s">
        <v>451</v>
      </c>
      <c r="D227" s="17" t="s">
        <v>570</v>
      </c>
      <c r="E227" s="17" t="s">
        <v>571</v>
      </c>
      <c r="F227" s="17" t="s">
        <v>572</v>
      </c>
      <c r="G227" s="17" t="s">
        <v>7</v>
      </c>
      <c r="H227" s="17" t="s">
        <v>54</v>
      </c>
      <c r="I227" s="17" t="s">
        <v>573</v>
      </c>
      <c r="J227" s="20" t="s">
        <v>650</v>
      </c>
      <c r="K227" s="17" t="s">
        <v>54</v>
      </c>
      <c r="L227" s="17" t="s">
        <v>575</v>
      </c>
      <c r="M227" s="17" t="s">
        <v>458</v>
      </c>
      <c r="N227" s="21" t="s">
        <v>54</v>
      </c>
      <c r="O227" s="22" t="s">
        <v>54</v>
      </c>
      <c r="P227" s="21" t="s">
        <v>54</v>
      </c>
    </row>
    <row r="228" ht="65" customHeight="1" spans="1:16">
      <c r="A228" s="17" t="s">
        <v>651</v>
      </c>
      <c r="B228" s="17" t="s">
        <v>123</v>
      </c>
      <c r="C228" s="17" t="s">
        <v>451</v>
      </c>
      <c r="D228" s="17" t="s">
        <v>577</v>
      </c>
      <c r="E228" s="17" t="s">
        <v>578</v>
      </c>
      <c r="F228" s="17" t="s">
        <v>125</v>
      </c>
      <c r="G228" s="17" t="s">
        <v>8</v>
      </c>
      <c r="H228" s="17" t="s">
        <v>54</v>
      </c>
      <c r="I228" s="17" t="s">
        <v>573</v>
      </c>
      <c r="J228" s="20" t="s">
        <v>650</v>
      </c>
      <c r="K228" s="17" t="s">
        <v>54</v>
      </c>
      <c r="L228" s="17" t="s">
        <v>575</v>
      </c>
      <c r="M228" s="17" t="s">
        <v>485</v>
      </c>
      <c r="N228" s="21" t="s">
        <v>54</v>
      </c>
      <c r="O228" s="22" t="s">
        <v>54</v>
      </c>
      <c r="P228" s="21" t="s">
        <v>54</v>
      </c>
    </row>
    <row r="229" ht="65" customHeight="1" spans="1:16">
      <c r="A229" s="17" t="s">
        <v>652</v>
      </c>
      <c r="B229" s="17" t="s">
        <v>123</v>
      </c>
      <c r="C229" s="17" t="s">
        <v>451</v>
      </c>
      <c r="D229" s="17" t="s">
        <v>580</v>
      </c>
      <c r="E229" s="17" t="s">
        <v>581</v>
      </c>
      <c r="F229" s="17" t="s">
        <v>582</v>
      </c>
      <c r="G229" s="17" t="s">
        <v>7</v>
      </c>
      <c r="H229" s="17" t="s">
        <v>54</v>
      </c>
      <c r="I229" s="17" t="s">
        <v>573</v>
      </c>
      <c r="J229" s="20" t="s">
        <v>653</v>
      </c>
      <c r="K229" s="17" t="s">
        <v>54</v>
      </c>
      <c r="L229" s="17" t="s">
        <v>575</v>
      </c>
      <c r="M229" s="17" t="s">
        <v>458</v>
      </c>
      <c r="N229" s="21" t="s">
        <v>54</v>
      </c>
      <c r="O229" s="22" t="s">
        <v>54</v>
      </c>
      <c r="P229" s="21" t="s">
        <v>54</v>
      </c>
    </row>
    <row r="230" ht="65" customHeight="1" spans="1:16">
      <c r="A230" s="17" t="s">
        <v>654</v>
      </c>
      <c r="B230" s="17" t="s">
        <v>126</v>
      </c>
      <c r="C230" s="17" t="s">
        <v>451</v>
      </c>
      <c r="D230" s="17" t="s">
        <v>570</v>
      </c>
      <c r="E230" s="17" t="s">
        <v>571</v>
      </c>
      <c r="F230" s="17" t="s">
        <v>572</v>
      </c>
      <c r="G230" s="17" t="s">
        <v>7</v>
      </c>
      <c r="H230" s="17" t="s">
        <v>54</v>
      </c>
      <c r="I230" s="17" t="s">
        <v>573</v>
      </c>
      <c r="J230" s="20" t="s">
        <v>655</v>
      </c>
      <c r="K230" s="17" t="s">
        <v>54</v>
      </c>
      <c r="L230" s="17" t="s">
        <v>575</v>
      </c>
      <c r="M230" s="17" t="s">
        <v>458</v>
      </c>
      <c r="N230" s="21" t="s">
        <v>54</v>
      </c>
      <c r="O230" s="22" t="s">
        <v>54</v>
      </c>
      <c r="P230" s="21" t="s">
        <v>54</v>
      </c>
    </row>
    <row r="231" ht="65" customHeight="1" spans="1:16">
      <c r="A231" s="17" t="s">
        <v>656</v>
      </c>
      <c r="B231" s="17" t="s">
        <v>126</v>
      </c>
      <c r="C231" s="17" t="s">
        <v>451</v>
      </c>
      <c r="D231" s="17" t="s">
        <v>577</v>
      </c>
      <c r="E231" s="17" t="s">
        <v>578</v>
      </c>
      <c r="F231" s="17" t="s">
        <v>128</v>
      </c>
      <c r="G231" s="17" t="s">
        <v>8</v>
      </c>
      <c r="H231" s="17" t="s">
        <v>54</v>
      </c>
      <c r="I231" s="17" t="s">
        <v>573</v>
      </c>
      <c r="J231" s="20" t="s">
        <v>655</v>
      </c>
      <c r="K231" s="17" t="s">
        <v>54</v>
      </c>
      <c r="L231" s="17" t="s">
        <v>575</v>
      </c>
      <c r="M231" s="17" t="s">
        <v>485</v>
      </c>
      <c r="N231" s="21" t="s">
        <v>54</v>
      </c>
      <c r="O231" s="22" t="s">
        <v>54</v>
      </c>
      <c r="P231" s="21" t="s">
        <v>54</v>
      </c>
    </row>
    <row r="232" ht="65" customHeight="1" spans="1:16">
      <c r="A232" s="17" t="s">
        <v>657</v>
      </c>
      <c r="B232" s="17" t="s">
        <v>126</v>
      </c>
      <c r="C232" s="17" t="s">
        <v>451</v>
      </c>
      <c r="D232" s="17" t="s">
        <v>580</v>
      </c>
      <c r="E232" s="17" t="s">
        <v>581</v>
      </c>
      <c r="F232" s="17" t="s">
        <v>582</v>
      </c>
      <c r="G232" s="17" t="s">
        <v>7</v>
      </c>
      <c r="H232" s="17" t="s">
        <v>54</v>
      </c>
      <c r="I232" s="17" t="s">
        <v>573</v>
      </c>
      <c r="J232" s="20" t="s">
        <v>658</v>
      </c>
      <c r="K232" s="17" t="s">
        <v>54</v>
      </c>
      <c r="L232" s="17" t="s">
        <v>575</v>
      </c>
      <c r="M232" s="17" t="s">
        <v>458</v>
      </c>
      <c r="N232" s="21" t="s">
        <v>54</v>
      </c>
      <c r="O232" s="22" t="s">
        <v>54</v>
      </c>
      <c r="P232" s="21" t="s">
        <v>54</v>
      </c>
    </row>
    <row r="233" ht="65" customHeight="1" spans="1:16">
      <c r="A233" s="17" t="s">
        <v>659</v>
      </c>
      <c r="B233" s="17" t="s">
        <v>129</v>
      </c>
      <c r="C233" s="17" t="s">
        <v>451</v>
      </c>
      <c r="D233" s="17" t="s">
        <v>570</v>
      </c>
      <c r="E233" s="17" t="s">
        <v>571</v>
      </c>
      <c r="F233" s="17" t="s">
        <v>572</v>
      </c>
      <c r="G233" s="17" t="s">
        <v>7</v>
      </c>
      <c r="H233" s="17" t="s">
        <v>54</v>
      </c>
      <c r="I233" s="17" t="s">
        <v>573</v>
      </c>
      <c r="J233" s="20" t="s">
        <v>660</v>
      </c>
      <c r="K233" s="17" t="s">
        <v>54</v>
      </c>
      <c r="L233" s="17" t="s">
        <v>575</v>
      </c>
      <c r="M233" s="17" t="s">
        <v>458</v>
      </c>
      <c r="N233" s="21" t="s">
        <v>54</v>
      </c>
      <c r="O233" s="22" t="s">
        <v>54</v>
      </c>
      <c r="P233" s="21" t="s">
        <v>54</v>
      </c>
    </row>
    <row r="234" ht="65" customHeight="1" spans="1:16">
      <c r="A234" s="17" t="s">
        <v>661</v>
      </c>
      <c r="B234" s="17" t="s">
        <v>129</v>
      </c>
      <c r="C234" s="17" t="s">
        <v>451</v>
      </c>
      <c r="D234" s="17" t="s">
        <v>577</v>
      </c>
      <c r="E234" s="17" t="s">
        <v>578</v>
      </c>
      <c r="F234" s="17" t="s">
        <v>131</v>
      </c>
      <c r="G234" s="17" t="s">
        <v>8</v>
      </c>
      <c r="H234" s="17" t="s">
        <v>54</v>
      </c>
      <c r="I234" s="17" t="s">
        <v>573</v>
      </c>
      <c r="J234" s="20" t="s">
        <v>660</v>
      </c>
      <c r="K234" s="17" t="s">
        <v>54</v>
      </c>
      <c r="L234" s="17" t="s">
        <v>575</v>
      </c>
      <c r="M234" s="17" t="s">
        <v>485</v>
      </c>
      <c r="N234" s="21" t="s">
        <v>54</v>
      </c>
      <c r="O234" s="22" t="s">
        <v>54</v>
      </c>
      <c r="P234" s="21" t="s">
        <v>54</v>
      </c>
    </row>
    <row r="235" ht="65" customHeight="1" spans="1:16">
      <c r="A235" s="17" t="s">
        <v>662</v>
      </c>
      <c r="B235" s="17" t="s">
        <v>129</v>
      </c>
      <c r="C235" s="17" t="s">
        <v>451</v>
      </c>
      <c r="D235" s="17" t="s">
        <v>580</v>
      </c>
      <c r="E235" s="17" t="s">
        <v>581</v>
      </c>
      <c r="F235" s="17" t="s">
        <v>582</v>
      </c>
      <c r="G235" s="17" t="s">
        <v>7</v>
      </c>
      <c r="H235" s="17" t="s">
        <v>54</v>
      </c>
      <c r="I235" s="17" t="s">
        <v>573</v>
      </c>
      <c r="J235" s="20" t="s">
        <v>663</v>
      </c>
      <c r="K235" s="17" t="s">
        <v>54</v>
      </c>
      <c r="L235" s="17" t="s">
        <v>575</v>
      </c>
      <c r="M235" s="17" t="s">
        <v>458</v>
      </c>
      <c r="N235" s="21" t="s">
        <v>54</v>
      </c>
      <c r="O235" s="22" t="s">
        <v>54</v>
      </c>
      <c r="P235" s="21" t="s">
        <v>54</v>
      </c>
    </row>
    <row r="236" ht="65" customHeight="1" spans="1:16">
      <c r="A236" s="17" t="s">
        <v>664</v>
      </c>
      <c r="B236" s="17" t="s">
        <v>132</v>
      </c>
      <c r="C236" s="17" t="s">
        <v>451</v>
      </c>
      <c r="D236" s="17" t="s">
        <v>570</v>
      </c>
      <c r="E236" s="17" t="s">
        <v>571</v>
      </c>
      <c r="F236" s="17" t="s">
        <v>572</v>
      </c>
      <c r="G236" s="17" t="s">
        <v>7</v>
      </c>
      <c r="H236" s="17" t="s">
        <v>54</v>
      </c>
      <c r="I236" s="17" t="s">
        <v>573</v>
      </c>
      <c r="J236" s="20" t="s">
        <v>665</v>
      </c>
      <c r="K236" s="17" t="s">
        <v>54</v>
      </c>
      <c r="L236" s="17" t="s">
        <v>575</v>
      </c>
      <c r="M236" s="17" t="s">
        <v>458</v>
      </c>
      <c r="N236" s="21" t="s">
        <v>54</v>
      </c>
      <c r="O236" s="22" t="s">
        <v>54</v>
      </c>
      <c r="P236" s="21" t="s">
        <v>54</v>
      </c>
    </row>
    <row r="237" ht="65" customHeight="1" spans="1:16">
      <c r="A237" s="17" t="s">
        <v>666</v>
      </c>
      <c r="B237" s="17" t="s">
        <v>132</v>
      </c>
      <c r="C237" s="17" t="s">
        <v>451</v>
      </c>
      <c r="D237" s="17" t="s">
        <v>577</v>
      </c>
      <c r="E237" s="17" t="s">
        <v>578</v>
      </c>
      <c r="F237" s="17" t="s">
        <v>134</v>
      </c>
      <c r="G237" s="17" t="s">
        <v>8</v>
      </c>
      <c r="H237" s="17" t="s">
        <v>54</v>
      </c>
      <c r="I237" s="17" t="s">
        <v>573</v>
      </c>
      <c r="J237" s="20" t="s">
        <v>665</v>
      </c>
      <c r="K237" s="17" t="s">
        <v>54</v>
      </c>
      <c r="L237" s="17" t="s">
        <v>575</v>
      </c>
      <c r="M237" s="17" t="s">
        <v>485</v>
      </c>
      <c r="N237" s="21" t="s">
        <v>54</v>
      </c>
      <c r="O237" s="22" t="s">
        <v>54</v>
      </c>
      <c r="P237" s="21" t="s">
        <v>54</v>
      </c>
    </row>
    <row r="238" ht="65" customHeight="1" spans="1:16">
      <c r="A238" s="17" t="s">
        <v>667</v>
      </c>
      <c r="B238" s="17" t="s">
        <v>132</v>
      </c>
      <c r="C238" s="17" t="s">
        <v>451</v>
      </c>
      <c r="D238" s="17" t="s">
        <v>580</v>
      </c>
      <c r="E238" s="17" t="s">
        <v>581</v>
      </c>
      <c r="F238" s="17" t="s">
        <v>582</v>
      </c>
      <c r="G238" s="17" t="s">
        <v>7</v>
      </c>
      <c r="H238" s="17" t="s">
        <v>54</v>
      </c>
      <c r="I238" s="17" t="s">
        <v>573</v>
      </c>
      <c r="J238" s="20" t="s">
        <v>668</v>
      </c>
      <c r="K238" s="17" t="s">
        <v>54</v>
      </c>
      <c r="L238" s="17" t="s">
        <v>575</v>
      </c>
      <c r="M238" s="17" t="s">
        <v>458</v>
      </c>
      <c r="N238" s="21" t="s">
        <v>54</v>
      </c>
      <c r="O238" s="22" t="s">
        <v>54</v>
      </c>
      <c r="P238" s="21" t="s">
        <v>54</v>
      </c>
    </row>
    <row r="239" ht="65" customHeight="1" spans="1:16">
      <c r="A239" s="17" t="s">
        <v>669</v>
      </c>
      <c r="B239" s="17" t="s">
        <v>135</v>
      </c>
      <c r="C239" s="17" t="s">
        <v>451</v>
      </c>
      <c r="D239" s="17" t="s">
        <v>570</v>
      </c>
      <c r="E239" s="17" t="s">
        <v>670</v>
      </c>
      <c r="F239" s="17" t="s">
        <v>572</v>
      </c>
      <c r="G239" s="17" t="s">
        <v>7</v>
      </c>
      <c r="H239" s="17" t="s">
        <v>54</v>
      </c>
      <c r="I239" s="17" t="s">
        <v>573</v>
      </c>
      <c r="J239" s="20" t="s">
        <v>671</v>
      </c>
      <c r="K239" s="17" t="s">
        <v>54</v>
      </c>
      <c r="L239" s="17" t="s">
        <v>575</v>
      </c>
      <c r="M239" s="17" t="s">
        <v>458</v>
      </c>
      <c r="N239" s="21" t="s">
        <v>54</v>
      </c>
      <c r="O239" s="22" t="s">
        <v>54</v>
      </c>
      <c r="P239" s="21" t="s">
        <v>54</v>
      </c>
    </row>
    <row r="240" ht="78" customHeight="1" spans="1:16">
      <c r="A240" s="17" t="s">
        <v>672</v>
      </c>
      <c r="B240" s="17" t="s">
        <v>135</v>
      </c>
      <c r="C240" s="17" t="s">
        <v>451</v>
      </c>
      <c r="D240" s="17" t="s">
        <v>673</v>
      </c>
      <c r="E240" s="17" t="s">
        <v>674</v>
      </c>
      <c r="F240" s="17" t="s">
        <v>137</v>
      </c>
      <c r="G240" s="17" t="s">
        <v>8</v>
      </c>
      <c r="H240" s="17" t="s">
        <v>54</v>
      </c>
      <c r="I240" s="17" t="s">
        <v>573</v>
      </c>
      <c r="J240" s="20" t="s">
        <v>671</v>
      </c>
      <c r="K240" s="17" t="s">
        <v>54</v>
      </c>
      <c r="L240" s="17" t="s">
        <v>575</v>
      </c>
      <c r="M240" s="17" t="s">
        <v>485</v>
      </c>
      <c r="N240" s="21" t="s">
        <v>54</v>
      </c>
      <c r="O240" s="22" t="s">
        <v>54</v>
      </c>
      <c r="P240" s="21" t="s">
        <v>54</v>
      </c>
    </row>
    <row r="241" ht="65" customHeight="1" spans="1:16">
      <c r="A241" s="17" t="s">
        <v>675</v>
      </c>
      <c r="B241" s="17" t="s">
        <v>135</v>
      </c>
      <c r="C241" s="17" t="s">
        <v>451</v>
      </c>
      <c r="D241" s="17" t="s">
        <v>676</v>
      </c>
      <c r="E241" s="17" t="s">
        <v>677</v>
      </c>
      <c r="F241" s="17" t="s">
        <v>582</v>
      </c>
      <c r="G241" s="17" t="s">
        <v>7</v>
      </c>
      <c r="H241" s="17" t="s">
        <v>54</v>
      </c>
      <c r="I241" s="17" t="s">
        <v>573</v>
      </c>
      <c r="J241" s="20" t="s">
        <v>678</v>
      </c>
      <c r="K241" s="17" t="s">
        <v>54</v>
      </c>
      <c r="L241" s="17" t="s">
        <v>575</v>
      </c>
      <c r="M241" s="17" t="s">
        <v>458</v>
      </c>
      <c r="N241" s="21" t="s">
        <v>54</v>
      </c>
      <c r="O241" s="22" t="s">
        <v>54</v>
      </c>
      <c r="P241" s="21" t="s">
        <v>54</v>
      </c>
    </row>
    <row r="242" ht="65" customHeight="1" spans="1:16">
      <c r="A242" s="17" t="s">
        <v>679</v>
      </c>
      <c r="B242" s="17" t="s">
        <v>138</v>
      </c>
      <c r="C242" s="17" t="s">
        <v>451</v>
      </c>
      <c r="D242" s="17" t="s">
        <v>570</v>
      </c>
      <c r="E242" s="17" t="s">
        <v>670</v>
      </c>
      <c r="F242" s="17" t="s">
        <v>572</v>
      </c>
      <c r="G242" s="17" t="s">
        <v>7</v>
      </c>
      <c r="H242" s="17" t="s">
        <v>54</v>
      </c>
      <c r="I242" s="17" t="s">
        <v>573</v>
      </c>
      <c r="J242" s="20" t="s">
        <v>680</v>
      </c>
      <c r="K242" s="17" t="s">
        <v>54</v>
      </c>
      <c r="L242" s="17" t="s">
        <v>575</v>
      </c>
      <c r="M242" s="17" t="s">
        <v>458</v>
      </c>
      <c r="N242" s="21" t="s">
        <v>54</v>
      </c>
      <c r="O242" s="22" t="s">
        <v>54</v>
      </c>
      <c r="P242" s="21" t="s">
        <v>54</v>
      </c>
    </row>
    <row r="243" ht="78" customHeight="1" spans="1:16">
      <c r="A243" s="17" t="s">
        <v>681</v>
      </c>
      <c r="B243" s="17" t="s">
        <v>138</v>
      </c>
      <c r="C243" s="17" t="s">
        <v>451</v>
      </c>
      <c r="D243" s="17" t="s">
        <v>673</v>
      </c>
      <c r="E243" s="17" t="s">
        <v>674</v>
      </c>
      <c r="F243" s="17" t="s">
        <v>140</v>
      </c>
      <c r="G243" s="17" t="s">
        <v>8</v>
      </c>
      <c r="H243" s="17" t="s">
        <v>54</v>
      </c>
      <c r="I243" s="17" t="s">
        <v>573</v>
      </c>
      <c r="J243" s="20" t="s">
        <v>680</v>
      </c>
      <c r="K243" s="17" t="s">
        <v>54</v>
      </c>
      <c r="L243" s="17" t="s">
        <v>575</v>
      </c>
      <c r="M243" s="17" t="s">
        <v>485</v>
      </c>
      <c r="N243" s="21" t="s">
        <v>54</v>
      </c>
      <c r="O243" s="22" t="s">
        <v>54</v>
      </c>
      <c r="P243" s="21" t="s">
        <v>54</v>
      </c>
    </row>
    <row r="244" ht="65" customHeight="1" spans="1:16">
      <c r="A244" s="17" t="s">
        <v>682</v>
      </c>
      <c r="B244" s="17" t="s">
        <v>138</v>
      </c>
      <c r="C244" s="17" t="s">
        <v>451</v>
      </c>
      <c r="D244" s="17" t="s">
        <v>676</v>
      </c>
      <c r="E244" s="17" t="s">
        <v>677</v>
      </c>
      <c r="F244" s="17" t="s">
        <v>582</v>
      </c>
      <c r="G244" s="17" t="s">
        <v>7</v>
      </c>
      <c r="H244" s="17" t="s">
        <v>54</v>
      </c>
      <c r="I244" s="17" t="s">
        <v>573</v>
      </c>
      <c r="J244" s="20" t="s">
        <v>683</v>
      </c>
      <c r="K244" s="17" t="s">
        <v>54</v>
      </c>
      <c r="L244" s="17" t="s">
        <v>575</v>
      </c>
      <c r="M244" s="17" t="s">
        <v>458</v>
      </c>
      <c r="N244" s="21" t="s">
        <v>54</v>
      </c>
      <c r="O244" s="22" t="s">
        <v>54</v>
      </c>
      <c r="P244" s="21" t="s">
        <v>54</v>
      </c>
    </row>
    <row r="245" ht="52" customHeight="1" spans="1:16">
      <c r="A245" s="17" t="s">
        <v>684</v>
      </c>
      <c r="B245" s="17" t="s">
        <v>141</v>
      </c>
      <c r="C245" s="17" t="s">
        <v>451</v>
      </c>
      <c r="D245" s="17" t="s">
        <v>685</v>
      </c>
      <c r="E245" s="17" t="s">
        <v>686</v>
      </c>
      <c r="F245" s="17" t="s">
        <v>687</v>
      </c>
      <c r="G245" s="17" t="s">
        <v>7</v>
      </c>
      <c r="H245" s="17" t="s">
        <v>54</v>
      </c>
      <c r="I245" s="17" t="s">
        <v>688</v>
      </c>
      <c r="J245" s="20" t="s">
        <v>689</v>
      </c>
      <c r="K245" s="17" t="s">
        <v>54</v>
      </c>
      <c r="L245" s="17" t="s">
        <v>690</v>
      </c>
      <c r="M245" s="17" t="s">
        <v>458</v>
      </c>
      <c r="N245" s="21" t="s">
        <v>54</v>
      </c>
      <c r="O245" s="22" t="s">
        <v>54</v>
      </c>
      <c r="P245" s="21" t="s">
        <v>54</v>
      </c>
    </row>
    <row r="246" ht="52" customHeight="1" spans="1:16">
      <c r="A246" s="17" t="s">
        <v>691</v>
      </c>
      <c r="B246" s="17" t="s">
        <v>141</v>
      </c>
      <c r="C246" s="17" t="s">
        <v>451</v>
      </c>
      <c r="D246" s="17" t="s">
        <v>692</v>
      </c>
      <c r="E246" s="17" t="s">
        <v>693</v>
      </c>
      <c r="F246" s="17" t="s">
        <v>694</v>
      </c>
      <c r="G246" s="17" t="s">
        <v>7</v>
      </c>
      <c r="H246" s="17" t="s">
        <v>54</v>
      </c>
      <c r="I246" s="17" t="s">
        <v>688</v>
      </c>
      <c r="J246" s="20" t="s">
        <v>695</v>
      </c>
      <c r="K246" s="17" t="s">
        <v>54</v>
      </c>
      <c r="L246" s="17" t="s">
        <v>690</v>
      </c>
      <c r="M246" s="17" t="s">
        <v>458</v>
      </c>
      <c r="N246" s="21" t="s">
        <v>54</v>
      </c>
      <c r="O246" s="22" t="s">
        <v>54</v>
      </c>
      <c r="P246" s="21" t="s">
        <v>54</v>
      </c>
    </row>
    <row r="247" ht="65" customHeight="1" spans="1:16">
      <c r="A247" s="17" t="s">
        <v>696</v>
      </c>
      <c r="B247" s="17" t="s">
        <v>145</v>
      </c>
      <c r="C247" s="17" t="s">
        <v>451</v>
      </c>
      <c r="D247" s="17" t="s">
        <v>697</v>
      </c>
      <c r="E247" s="17" t="s">
        <v>698</v>
      </c>
      <c r="F247" s="17" t="s">
        <v>699</v>
      </c>
      <c r="G247" s="17" t="s">
        <v>7</v>
      </c>
      <c r="H247" s="17" t="s">
        <v>54</v>
      </c>
      <c r="I247" s="17" t="s">
        <v>700</v>
      </c>
      <c r="J247" s="20" t="s">
        <v>701</v>
      </c>
      <c r="K247" s="17" t="s">
        <v>54</v>
      </c>
      <c r="L247" s="17" t="s">
        <v>702</v>
      </c>
      <c r="M247" s="17" t="s">
        <v>458</v>
      </c>
      <c r="N247" s="21" t="s">
        <v>54</v>
      </c>
      <c r="O247" s="22" t="s">
        <v>54</v>
      </c>
      <c r="P247" s="21" t="s">
        <v>54</v>
      </c>
    </row>
    <row r="248" ht="91" customHeight="1" spans="1:16">
      <c r="A248" s="17" t="s">
        <v>703</v>
      </c>
      <c r="B248" s="17" t="s">
        <v>145</v>
      </c>
      <c r="C248" s="17" t="s">
        <v>451</v>
      </c>
      <c r="D248" s="17" t="s">
        <v>704</v>
      </c>
      <c r="E248" s="17" t="s">
        <v>705</v>
      </c>
      <c r="F248" s="17" t="s">
        <v>706</v>
      </c>
      <c r="G248" s="17" t="s">
        <v>7</v>
      </c>
      <c r="H248" s="17" t="s">
        <v>54</v>
      </c>
      <c r="I248" s="17" t="s">
        <v>700</v>
      </c>
      <c r="J248" s="20" t="s">
        <v>707</v>
      </c>
      <c r="K248" s="17" t="s">
        <v>54</v>
      </c>
      <c r="L248" s="17" t="s">
        <v>702</v>
      </c>
      <c r="M248" s="17" t="s">
        <v>458</v>
      </c>
      <c r="N248" s="21" t="s">
        <v>54</v>
      </c>
      <c r="O248" s="22" t="s">
        <v>54</v>
      </c>
      <c r="P248" s="21" t="s">
        <v>54</v>
      </c>
    </row>
    <row r="249" ht="52" customHeight="1" spans="1:16">
      <c r="A249" s="17" t="s">
        <v>708</v>
      </c>
      <c r="B249" s="17" t="s">
        <v>148</v>
      </c>
      <c r="C249" s="17" t="s">
        <v>451</v>
      </c>
      <c r="D249" s="17" t="s">
        <v>709</v>
      </c>
      <c r="E249" s="17" t="s">
        <v>710</v>
      </c>
      <c r="F249" s="17" t="s">
        <v>711</v>
      </c>
      <c r="G249" s="17" t="s">
        <v>7</v>
      </c>
      <c r="H249" s="17" t="s">
        <v>54</v>
      </c>
      <c r="I249" s="17" t="s">
        <v>712</v>
      </c>
      <c r="J249" s="20" t="s">
        <v>713</v>
      </c>
      <c r="K249" s="17" t="s">
        <v>54</v>
      </c>
      <c r="L249" s="17" t="s">
        <v>714</v>
      </c>
      <c r="M249" s="17" t="s">
        <v>458</v>
      </c>
      <c r="N249" s="21" t="s">
        <v>54</v>
      </c>
      <c r="O249" s="22" t="s">
        <v>54</v>
      </c>
      <c r="P249" s="21" t="s">
        <v>54</v>
      </c>
    </row>
    <row r="250" ht="104" customHeight="1" spans="1:16">
      <c r="A250" s="17" t="s">
        <v>715</v>
      </c>
      <c r="B250" s="17" t="s">
        <v>150</v>
      </c>
      <c r="C250" s="17" t="s">
        <v>451</v>
      </c>
      <c r="D250" s="17" t="s">
        <v>716</v>
      </c>
      <c r="E250" s="17" t="s">
        <v>717</v>
      </c>
      <c r="F250" s="17" t="s">
        <v>718</v>
      </c>
      <c r="G250" s="17" t="s">
        <v>7</v>
      </c>
      <c r="H250" s="17" t="s">
        <v>54</v>
      </c>
      <c r="I250" s="17" t="s">
        <v>719</v>
      </c>
      <c r="J250" s="20" t="s">
        <v>720</v>
      </c>
      <c r="K250" s="17" t="s">
        <v>54</v>
      </c>
      <c r="L250" s="17" t="s">
        <v>721</v>
      </c>
      <c r="M250" s="17" t="s">
        <v>458</v>
      </c>
      <c r="N250" s="21" t="s">
        <v>54</v>
      </c>
      <c r="O250" s="22" t="s">
        <v>54</v>
      </c>
      <c r="P250" s="21" t="s">
        <v>54</v>
      </c>
    </row>
    <row r="251" ht="39" customHeight="1" spans="1:16">
      <c r="A251" s="17" t="s">
        <v>722</v>
      </c>
      <c r="B251" s="17" t="s">
        <v>154</v>
      </c>
      <c r="C251" s="17" t="s">
        <v>451</v>
      </c>
      <c r="D251" s="17" t="s">
        <v>723</v>
      </c>
      <c r="E251" s="17" t="s">
        <v>724</v>
      </c>
      <c r="F251" s="17" t="s">
        <v>725</v>
      </c>
      <c r="G251" s="17" t="s">
        <v>8</v>
      </c>
      <c r="H251" s="17" t="s">
        <v>54</v>
      </c>
      <c r="I251" s="17" t="s">
        <v>726</v>
      </c>
      <c r="J251" s="20" t="s">
        <v>727</v>
      </c>
      <c r="K251" s="17" t="s">
        <v>54</v>
      </c>
      <c r="L251" s="17" t="s">
        <v>457</v>
      </c>
      <c r="M251" s="17" t="s">
        <v>485</v>
      </c>
      <c r="N251" s="21" t="s">
        <v>54</v>
      </c>
      <c r="O251" s="22" t="s">
        <v>54</v>
      </c>
      <c r="P251" s="21" t="s">
        <v>54</v>
      </c>
    </row>
    <row r="252" ht="65" customHeight="1" spans="1:16">
      <c r="A252" s="17" t="s">
        <v>728</v>
      </c>
      <c r="B252" s="17" t="s">
        <v>154</v>
      </c>
      <c r="C252" s="17" t="s">
        <v>451</v>
      </c>
      <c r="D252" s="17" t="s">
        <v>729</v>
      </c>
      <c r="E252" s="17" t="s">
        <v>730</v>
      </c>
      <c r="F252" s="17" t="s">
        <v>731</v>
      </c>
      <c r="G252" s="17" t="s">
        <v>8</v>
      </c>
      <c r="H252" s="17" t="s">
        <v>54</v>
      </c>
      <c r="I252" s="17" t="s">
        <v>726</v>
      </c>
      <c r="J252" s="20" t="s">
        <v>732</v>
      </c>
      <c r="K252" s="17" t="s">
        <v>54</v>
      </c>
      <c r="L252" s="17" t="s">
        <v>457</v>
      </c>
      <c r="M252" s="17" t="s">
        <v>485</v>
      </c>
      <c r="N252" s="21" t="s">
        <v>54</v>
      </c>
      <c r="O252" s="22" t="s">
        <v>54</v>
      </c>
      <c r="P252" s="21" t="s">
        <v>54</v>
      </c>
    </row>
    <row r="253" ht="52" customHeight="1" spans="1:16">
      <c r="A253" s="17" t="s">
        <v>733</v>
      </c>
      <c r="B253" s="17" t="s">
        <v>154</v>
      </c>
      <c r="C253" s="17" t="s">
        <v>451</v>
      </c>
      <c r="D253" s="17" t="s">
        <v>734</v>
      </c>
      <c r="E253" s="17" t="s">
        <v>735</v>
      </c>
      <c r="F253" s="17" t="s">
        <v>736</v>
      </c>
      <c r="G253" s="17" t="s">
        <v>7</v>
      </c>
      <c r="H253" s="17" t="s">
        <v>54</v>
      </c>
      <c r="I253" s="17" t="s">
        <v>726</v>
      </c>
      <c r="J253" s="20" t="s">
        <v>737</v>
      </c>
      <c r="K253" s="17" t="s">
        <v>54</v>
      </c>
      <c r="L253" s="17" t="s">
        <v>457</v>
      </c>
      <c r="M253" s="17" t="s">
        <v>458</v>
      </c>
      <c r="N253" s="21" t="s">
        <v>54</v>
      </c>
      <c r="O253" s="22" t="s">
        <v>54</v>
      </c>
      <c r="P253" s="21" t="s">
        <v>54</v>
      </c>
    </row>
    <row r="254" ht="52" customHeight="1" spans="1:16">
      <c r="A254" s="17" t="s">
        <v>738</v>
      </c>
      <c r="B254" s="17" t="s">
        <v>158</v>
      </c>
      <c r="C254" s="17" t="s">
        <v>739</v>
      </c>
      <c r="D254" s="17" t="s">
        <v>740</v>
      </c>
      <c r="E254" s="17" t="s">
        <v>741</v>
      </c>
      <c r="F254" s="17" t="s">
        <v>54</v>
      </c>
      <c r="G254" s="17" t="s">
        <v>161</v>
      </c>
      <c r="H254" s="17" t="s">
        <v>54</v>
      </c>
      <c r="I254" s="17" t="s">
        <v>742</v>
      </c>
      <c r="J254" s="17" t="s">
        <v>54</v>
      </c>
      <c r="K254" s="17" t="s">
        <v>54</v>
      </c>
      <c r="L254" s="17" t="s">
        <v>457</v>
      </c>
      <c r="M254" s="17" t="s">
        <v>743</v>
      </c>
      <c r="N254" s="21" t="s">
        <v>54</v>
      </c>
      <c r="O254" s="22" t="s">
        <v>54</v>
      </c>
      <c r="P254" s="21" t="s">
        <v>54</v>
      </c>
    </row>
    <row r="255" ht="52" customHeight="1" spans="1:16">
      <c r="A255" s="17" t="s">
        <v>744</v>
      </c>
      <c r="B255" s="17" t="s">
        <v>158</v>
      </c>
      <c r="C255" s="17" t="s">
        <v>739</v>
      </c>
      <c r="D255" s="17" t="s">
        <v>745</v>
      </c>
      <c r="E255" s="17" t="s">
        <v>746</v>
      </c>
      <c r="F255" s="17" t="s">
        <v>54</v>
      </c>
      <c r="G255" s="17" t="s">
        <v>161</v>
      </c>
      <c r="H255" s="17" t="s">
        <v>54</v>
      </c>
      <c r="I255" s="17" t="s">
        <v>742</v>
      </c>
      <c r="J255" s="17" t="s">
        <v>54</v>
      </c>
      <c r="K255" s="17" t="s">
        <v>54</v>
      </c>
      <c r="L255" s="17" t="s">
        <v>457</v>
      </c>
      <c r="M255" s="17" t="s">
        <v>743</v>
      </c>
      <c r="N255" s="21" t="s">
        <v>54</v>
      </c>
      <c r="O255" s="22" t="s">
        <v>54</v>
      </c>
      <c r="P255" s="21" t="s">
        <v>54</v>
      </c>
    </row>
    <row r="256" ht="52" customHeight="1" spans="1:16">
      <c r="A256" s="17" t="s">
        <v>747</v>
      </c>
      <c r="B256" s="17" t="s">
        <v>158</v>
      </c>
      <c r="C256" s="17" t="s">
        <v>739</v>
      </c>
      <c r="D256" s="17" t="s">
        <v>748</v>
      </c>
      <c r="E256" s="17" t="s">
        <v>749</v>
      </c>
      <c r="F256" s="17" t="s">
        <v>54</v>
      </c>
      <c r="G256" s="17" t="s">
        <v>161</v>
      </c>
      <c r="H256" s="17" t="s">
        <v>54</v>
      </c>
      <c r="I256" s="17" t="s">
        <v>742</v>
      </c>
      <c r="J256" s="17" t="s">
        <v>54</v>
      </c>
      <c r="K256" s="17" t="s">
        <v>54</v>
      </c>
      <c r="L256" s="17" t="s">
        <v>457</v>
      </c>
      <c r="M256" s="17" t="s">
        <v>743</v>
      </c>
      <c r="N256" s="21" t="s">
        <v>54</v>
      </c>
      <c r="O256" s="22" t="s">
        <v>54</v>
      </c>
      <c r="P256" s="21" t="s">
        <v>54</v>
      </c>
    </row>
    <row r="257" ht="52" customHeight="1" spans="1:16">
      <c r="A257" s="17" t="s">
        <v>750</v>
      </c>
      <c r="B257" s="17" t="s">
        <v>158</v>
      </c>
      <c r="C257" s="17" t="s">
        <v>739</v>
      </c>
      <c r="D257" s="17" t="s">
        <v>751</v>
      </c>
      <c r="E257" s="17" t="s">
        <v>752</v>
      </c>
      <c r="F257" s="17" t="s">
        <v>54</v>
      </c>
      <c r="G257" s="17" t="s">
        <v>161</v>
      </c>
      <c r="H257" s="17" t="s">
        <v>54</v>
      </c>
      <c r="I257" s="17" t="s">
        <v>742</v>
      </c>
      <c r="J257" s="17" t="s">
        <v>54</v>
      </c>
      <c r="K257" s="17" t="s">
        <v>54</v>
      </c>
      <c r="L257" s="17" t="s">
        <v>457</v>
      </c>
      <c r="M257" s="17" t="s">
        <v>743</v>
      </c>
      <c r="N257" s="21" t="s">
        <v>54</v>
      </c>
      <c r="O257" s="22" t="s">
        <v>54</v>
      </c>
      <c r="P257" s="21" t="s">
        <v>54</v>
      </c>
    </row>
    <row r="258" ht="39" customHeight="1" spans="1:16">
      <c r="A258" s="17" t="s">
        <v>753</v>
      </c>
      <c r="B258" s="17" t="s">
        <v>166</v>
      </c>
      <c r="C258" s="17" t="s">
        <v>739</v>
      </c>
      <c r="D258" s="17" t="s">
        <v>754</v>
      </c>
      <c r="E258" s="17" t="s">
        <v>755</v>
      </c>
      <c r="F258" s="17" t="s">
        <v>54</v>
      </c>
      <c r="G258" s="17" t="s">
        <v>161</v>
      </c>
      <c r="H258" s="17" t="s">
        <v>54</v>
      </c>
      <c r="I258" s="17" t="s">
        <v>756</v>
      </c>
      <c r="J258" s="17" t="s">
        <v>54</v>
      </c>
      <c r="K258" s="17" t="s">
        <v>54</v>
      </c>
      <c r="L258" s="17" t="s">
        <v>457</v>
      </c>
      <c r="M258" s="17" t="s">
        <v>743</v>
      </c>
      <c r="N258" s="21" t="s">
        <v>54</v>
      </c>
      <c r="O258" s="22" t="s">
        <v>54</v>
      </c>
      <c r="P258" s="21" t="s">
        <v>54</v>
      </c>
    </row>
    <row r="259" ht="39" customHeight="1" spans="1:16">
      <c r="A259" s="17" t="s">
        <v>757</v>
      </c>
      <c r="B259" s="17" t="s">
        <v>166</v>
      </c>
      <c r="C259" s="17" t="s">
        <v>739</v>
      </c>
      <c r="D259" s="17" t="s">
        <v>758</v>
      </c>
      <c r="E259" s="17" t="s">
        <v>759</v>
      </c>
      <c r="F259" s="17" t="s">
        <v>54</v>
      </c>
      <c r="G259" s="17" t="s">
        <v>161</v>
      </c>
      <c r="H259" s="17" t="s">
        <v>54</v>
      </c>
      <c r="I259" s="17" t="s">
        <v>756</v>
      </c>
      <c r="J259" s="17" t="s">
        <v>54</v>
      </c>
      <c r="K259" s="17" t="s">
        <v>54</v>
      </c>
      <c r="L259" s="17" t="s">
        <v>457</v>
      </c>
      <c r="M259" s="17" t="s">
        <v>743</v>
      </c>
      <c r="N259" s="21" t="s">
        <v>54</v>
      </c>
      <c r="O259" s="22" t="s">
        <v>54</v>
      </c>
      <c r="P259" s="21" t="s">
        <v>54</v>
      </c>
    </row>
    <row r="260" ht="52" customHeight="1" spans="1:16">
      <c r="A260" s="17" t="s">
        <v>760</v>
      </c>
      <c r="B260" s="17" t="s">
        <v>166</v>
      </c>
      <c r="C260" s="17" t="s">
        <v>739</v>
      </c>
      <c r="D260" s="17" t="s">
        <v>761</v>
      </c>
      <c r="E260" s="17" t="s">
        <v>762</v>
      </c>
      <c r="F260" s="17" t="s">
        <v>54</v>
      </c>
      <c r="G260" s="17" t="s">
        <v>161</v>
      </c>
      <c r="H260" s="17" t="s">
        <v>54</v>
      </c>
      <c r="I260" s="17" t="s">
        <v>756</v>
      </c>
      <c r="J260" s="17" t="s">
        <v>54</v>
      </c>
      <c r="K260" s="17" t="s">
        <v>54</v>
      </c>
      <c r="L260" s="17" t="s">
        <v>457</v>
      </c>
      <c r="M260" s="17" t="s">
        <v>743</v>
      </c>
      <c r="N260" s="21" t="s">
        <v>54</v>
      </c>
      <c r="O260" s="22" t="s">
        <v>54</v>
      </c>
      <c r="P260" s="21" t="s">
        <v>54</v>
      </c>
    </row>
    <row r="261" ht="52" customHeight="1" spans="1:16">
      <c r="A261" s="17" t="s">
        <v>763</v>
      </c>
      <c r="B261" s="17" t="s">
        <v>166</v>
      </c>
      <c r="C261" s="17" t="s">
        <v>739</v>
      </c>
      <c r="D261" s="17" t="s">
        <v>764</v>
      </c>
      <c r="E261" s="17" t="s">
        <v>765</v>
      </c>
      <c r="F261" s="17" t="s">
        <v>54</v>
      </c>
      <c r="G261" s="17" t="s">
        <v>161</v>
      </c>
      <c r="H261" s="17" t="s">
        <v>54</v>
      </c>
      <c r="I261" s="17" t="s">
        <v>756</v>
      </c>
      <c r="J261" s="17" t="s">
        <v>54</v>
      </c>
      <c r="K261" s="17" t="s">
        <v>54</v>
      </c>
      <c r="L261" s="17" t="s">
        <v>457</v>
      </c>
      <c r="M261" s="17" t="s">
        <v>743</v>
      </c>
      <c r="N261" s="21" t="s">
        <v>54</v>
      </c>
      <c r="O261" s="22" t="s">
        <v>54</v>
      </c>
      <c r="P261" s="21" t="s">
        <v>54</v>
      </c>
    </row>
    <row r="262" ht="39" customHeight="1" spans="1:16">
      <c r="A262" s="17" t="s">
        <v>766</v>
      </c>
      <c r="B262" s="17" t="s">
        <v>168</v>
      </c>
      <c r="C262" s="17" t="s">
        <v>739</v>
      </c>
      <c r="D262" s="17" t="s">
        <v>767</v>
      </c>
      <c r="E262" s="17" t="s">
        <v>768</v>
      </c>
      <c r="F262" s="17" t="s">
        <v>54</v>
      </c>
      <c r="G262" s="17" t="s">
        <v>161</v>
      </c>
      <c r="H262" s="17" t="s">
        <v>54</v>
      </c>
      <c r="I262" s="17" t="s">
        <v>769</v>
      </c>
      <c r="J262" s="17" t="s">
        <v>54</v>
      </c>
      <c r="K262" s="17" t="s">
        <v>54</v>
      </c>
      <c r="L262" s="17" t="s">
        <v>457</v>
      </c>
      <c r="M262" s="17" t="s">
        <v>743</v>
      </c>
      <c r="N262" s="21" t="s">
        <v>54</v>
      </c>
      <c r="O262" s="22" t="s">
        <v>54</v>
      </c>
      <c r="P262" s="21" t="s">
        <v>54</v>
      </c>
    </row>
    <row r="263" ht="39" customHeight="1" spans="1:16">
      <c r="A263" s="17" t="s">
        <v>770</v>
      </c>
      <c r="B263" s="17" t="s">
        <v>168</v>
      </c>
      <c r="C263" s="17" t="s">
        <v>739</v>
      </c>
      <c r="D263" s="17" t="s">
        <v>771</v>
      </c>
      <c r="E263" s="17" t="s">
        <v>772</v>
      </c>
      <c r="F263" s="17" t="s">
        <v>54</v>
      </c>
      <c r="G263" s="17" t="s">
        <v>161</v>
      </c>
      <c r="H263" s="17" t="s">
        <v>54</v>
      </c>
      <c r="I263" s="17" t="s">
        <v>769</v>
      </c>
      <c r="J263" s="17" t="s">
        <v>54</v>
      </c>
      <c r="K263" s="17" t="s">
        <v>54</v>
      </c>
      <c r="L263" s="17" t="s">
        <v>457</v>
      </c>
      <c r="M263" s="17" t="s">
        <v>743</v>
      </c>
      <c r="N263" s="21" t="s">
        <v>54</v>
      </c>
      <c r="O263" s="22" t="s">
        <v>54</v>
      </c>
      <c r="P263" s="21" t="s">
        <v>54</v>
      </c>
    </row>
    <row r="264" ht="52" customHeight="1" spans="1:16">
      <c r="A264" s="17" t="s">
        <v>773</v>
      </c>
      <c r="B264" s="17" t="s">
        <v>168</v>
      </c>
      <c r="C264" s="17" t="s">
        <v>739</v>
      </c>
      <c r="D264" s="17" t="s">
        <v>774</v>
      </c>
      <c r="E264" s="17" t="s">
        <v>775</v>
      </c>
      <c r="F264" s="17" t="s">
        <v>54</v>
      </c>
      <c r="G264" s="17" t="s">
        <v>161</v>
      </c>
      <c r="H264" s="17" t="s">
        <v>54</v>
      </c>
      <c r="I264" s="17" t="s">
        <v>769</v>
      </c>
      <c r="J264" s="17" t="s">
        <v>54</v>
      </c>
      <c r="K264" s="17" t="s">
        <v>54</v>
      </c>
      <c r="L264" s="17" t="s">
        <v>457</v>
      </c>
      <c r="M264" s="17" t="s">
        <v>743</v>
      </c>
      <c r="N264" s="21" t="s">
        <v>54</v>
      </c>
      <c r="O264" s="22" t="s">
        <v>54</v>
      </c>
      <c r="P264" s="21" t="s">
        <v>54</v>
      </c>
    </row>
    <row r="265" ht="39" customHeight="1" spans="1:16">
      <c r="A265" s="17" t="s">
        <v>776</v>
      </c>
      <c r="B265" s="17" t="s">
        <v>168</v>
      </c>
      <c r="C265" s="17" t="s">
        <v>739</v>
      </c>
      <c r="D265" s="17" t="s">
        <v>777</v>
      </c>
      <c r="E265" s="17" t="s">
        <v>778</v>
      </c>
      <c r="F265" s="17" t="s">
        <v>54</v>
      </c>
      <c r="G265" s="17" t="s">
        <v>161</v>
      </c>
      <c r="H265" s="17" t="s">
        <v>54</v>
      </c>
      <c r="I265" s="17" t="s">
        <v>769</v>
      </c>
      <c r="J265" s="17" t="s">
        <v>54</v>
      </c>
      <c r="K265" s="17" t="s">
        <v>54</v>
      </c>
      <c r="L265" s="17" t="s">
        <v>457</v>
      </c>
      <c r="M265" s="17" t="s">
        <v>743</v>
      </c>
      <c r="N265" s="21" t="s">
        <v>54</v>
      </c>
      <c r="O265" s="22" t="s">
        <v>54</v>
      </c>
      <c r="P265" s="21" t="s">
        <v>54</v>
      </c>
    </row>
    <row r="266" ht="52" customHeight="1" spans="1:16">
      <c r="A266" s="17" t="s">
        <v>779</v>
      </c>
      <c r="B266" s="17" t="s">
        <v>171</v>
      </c>
      <c r="C266" s="17" t="s">
        <v>739</v>
      </c>
      <c r="D266" s="17" t="s">
        <v>780</v>
      </c>
      <c r="E266" s="17" t="s">
        <v>781</v>
      </c>
      <c r="F266" s="17" t="s">
        <v>54</v>
      </c>
      <c r="G266" s="17" t="s">
        <v>161</v>
      </c>
      <c r="H266" s="17" t="s">
        <v>54</v>
      </c>
      <c r="I266" s="17" t="s">
        <v>782</v>
      </c>
      <c r="J266" s="17" t="s">
        <v>54</v>
      </c>
      <c r="K266" s="17" t="s">
        <v>54</v>
      </c>
      <c r="L266" s="17" t="s">
        <v>457</v>
      </c>
      <c r="M266" s="17" t="s">
        <v>743</v>
      </c>
      <c r="N266" s="21" t="s">
        <v>54</v>
      </c>
      <c r="O266" s="22" t="s">
        <v>54</v>
      </c>
      <c r="P266" s="21" t="s">
        <v>54</v>
      </c>
    </row>
    <row r="267" ht="52" customHeight="1" spans="1:16">
      <c r="A267" s="17" t="s">
        <v>783</v>
      </c>
      <c r="B267" s="17" t="s">
        <v>171</v>
      </c>
      <c r="C267" s="17" t="s">
        <v>739</v>
      </c>
      <c r="D267" s="17" t="s">
        <v>784</v>
      </c>
      <c r="E267" s="17" t="s">
        <v>785</v>
      </c>
      <c r="F267" s="17" t="s">
        <v>54</v>
      </c>
      <c r="G267" s="17" t="s">
        <v>161</v>
      </c>
      <c r="H267" s="17" t="s">
        <v>54</v>
      </c>
      <c r="I267" s="17" t="s">
        <v>782</v>
      </c>
      <c r="J267" s="17" t="s">
        <v>54</v>
      </c>
      <c r="K267" s="17" t="s">
        <v>54</v>
      </c>
      <c r="L267" s="17" t="s">
        <v>457</v>
      </c>
      <c r="M267" s="17" t="s">
        <v>743</v>
      </c>
      <c r="N267" s="21" t="s">
        <v>54</v>
      </c>
      <c r="O267" s="22" t="s">
        <v>54</v>
      </c>
      <c r="P267" s="21" t="s">
        <v>54</v>
      </c>
    </row>
    <row r="268" ht="52" customHeight="1" spans="1:16">
      <c r="A268" s="17" t="s">
        <v>786</v>
      </c>
      <c r="B268" s="17" t="s">
        <v>171</v>
      </c>
      <c r="C268" s="17" t="s">
        <v>739</v>
      </c>
      <c r="D268" s="17" t="s">
        <v>787</v>
      </c>
      <c r="E268" s="17" t="s">
        <v>788</v>
      </c>
      <c r="F268" s="17" t="s">
        <v>54</v>
      </c>
      <c r="G268" s="17" t="s">
        <v>161</v>
      </c>
      <c r="H268" s="17" t="s">
        <v>54</v>
      </c>
      <c r="I268" s="17" t="s">
        <v>782</v>
      </c>
      <c r="J268" s="17" t="s">
        <v>54</v>
      </c>
      <c r="K268" s="17" t="s">
        <v>54</v>
      </c>
      <c r="L268" s="17" t="s">
        <v>457</v>
      </c>
      <c r="M268" s="17" t="s">
        <v>743</v>
      </c>
      <c r="N268" s="21" t="s">
        <v>54</v>
      </c>
      <c r="O268" s="22" t="s">
        <v>54</v>
      </c>
      <c r="P268" s="21" t="s">
        <v>54</v>
      </c>
    </row>
    <row r="269" ht="52" customHeight="1" spans="1:16">
      <c r="A269" s="17" t="s">
        <v>789</v>
      </c>
      <c r="B269" s="17" t="s">
        <v>171</v>
      </c>
      <c r="C269" s="17" t="s">
        <v>739</v>
      </c>
      <c r="D269" s="17" t="s">
        <v>790</v>
      </c>
      <c r="E269" s="17" t="s">
        <v>791</v>
      </c>
      <c r="F269" s="17" t="s">
        <v>54</v>
      </c>
      <c r="G269" s="17" t="s">
        <v>161</v>
      </c>
      <c r="H269" s="17" t="s">
        <v>54</v>
      </c>
      <c r="I269" s="17" t="s">
        <v>782</v>
      </c>
      <c r="J269" s="17" t="s">
        <v>54</v>
      </c>
      <c r="K269" s="17" t="s">
        <v>54</v>
      </c>
      <c r="L269" s="17" t="s">
        <v>457</v>
      </c>
      <c r="M269" s="17" t="s">
        <v>743</v>
      </c>
      <c r="N269" s="21" t="s">
        <v>54</v>
      </c>
      <c r="O269" s="22" t="s">
        <v>54</v>
      </c>
      <c r="P269" s="21" t="s">
        <v>54</v>
      </c>
    </row>
    <row r="270" ht="52" customHeight="1" spans="1:16">
      <c r="A270" s="17" t="s">
        <v>792</v>
      </c>
      <c r="B270" s="17" t="s">
        <v>173</v>
      </c>
      <c r="C270" s="17" t="s">
        <v>739</v>
      </c>
      <c r="D270" s="17" t="s">
        <v>793</v>
      </c>
      <c r="E270" s="17" t="s">
        <v>794</v>
      </c>
      <c r="F270" s="17" t="s">
        <v>54</v>
      </c>
      <c r="G270" s="17" t="s">
        <v>161</v>
      </c>
      <c r="H270" s="17" t="s">
        <v>54</v>
      </c>
      <c r="I270" s="17" t="s">
        <v>795</v>
      </c>
      <c r="J270" s="17" t="s">
        <v>54</v>
      </c>
      <c r="K270" s="17" t="s">
        <v>54</v>
      </c>
      <c r="L270" s="17" t="s">
        <v>457</v>
      </c>
      <c r="M270" s="17" t="s">
        <v>743</v>
      </c>
      <c r="N270" s="21" t="s">
        <v>54</v>
      </c>
      <c r="O270" s="22" t="s">
        <v>54</v>
      </c>
      <c r="P270" s="21" t="s">
        <v>54</v>
      </c>
    </row>
    <row r="271" ht="39" customHeight="1" spans="1:16">
      <c r="A271" s="17" t="s">
        <v>796</v>
      </c>
      <c r="B271" s="17" t="s">
        <v>173</v>
      </c>
      <c r="C271" s="17" t="s">
        <v>739</v>
      </c>
      <c r="D271" s="17" t="s">
        <v>797</v>
      </c>
      <c r="E271" s="17" t="s">
        <v>798</v>
      </c>
      <c r="F271" s="17" t="s">
        <v>54</v>
      </c>
      <c r="G271" s="17" t="s">
        <v>161</v>
      </c>
      <c r="H271" s="17" t="s">
        <v>54</v>
      </c>
      <c r="I271" s="17" t="s">
        <v>795</v>
      </c>
      <c r="J271" s="17" t="s">
        <v>54</v>
      </c>
      <c r="K271" s="17" t="s">
        <v>54</v>
      </c>
      <c r="L271" s="17" t="s">
        <v>457</v>
      </c>
      <c r="M271" s="17" t="s">
        <v>743</v>
      </c>
      <c r="N271" s="21" t="s">
        <v>54</v>
      </c>
      <c r="O271" s="22" t="s">
        <v>54</v>
      </c>
      <c r="P271" s="21" t="s">
        <v>54</v>
      </c>
    </row>
    <row r="272" ht="52" customHeight="1" spans="1:16">
      <c r="A272" s="17" t="s">
        <v>799</v>
      </c>
      <c r="B272" s="17" t="s">
        <v>173</v>
      </c>
      <c r="C272" s="17" t="s">
        <v>739</v>
      </c>
      <c r="D272" s="17" t="s">
        <v>800</v>
      </c>
      <c r="E272" s="17" t="s">
        <v>801</v>
      </c>
      <c r="F272" s="17" t="s">
        <v>54</v>
      </c>
      <c r="G272" s="17" t="s">
        <v>161</v>
      </c>
      <c r="H272" s="17" t="s">
        <v>54</v>
      </c>
      <c r="I272" s="17" t="s">
        <v>795</v>
      </c>
      <c r="J272" s="17" t="s">
        <v>54</v>
      </c>
      <c r="K272" s="17" t="s">
        <v>54</v>
      </c>
      <c r="L272" s="17" t="s">
        <v>457</v>
      </c>
      <c r="M272" s="17" t="s">
        <v>743</v>
      </c>
      <c r="N272" s="21" t="s">
        <v>54</v>
      </c>
      <c r="O272" s="22" t="s">
        <v>54</v>
      </c>
      <c r="P272" s="21" t="s">
        <v>54</v>
      </c>
    </row>
    <row r="273" ht="52" customHeight="1" spans="1:16">
      <c r="A273" s="17" t="s">
        <v>802</v>
      </c>
      <c r="B273" s="17" t="s">
        <v>173</v>
      </c>
      <c r="C273" s="17" t="s">
        <v>739</v>
      </c>
      <c r="D273" s="17" t="s">
        <v>803</v>
      </c>
      <c r="E273" s="17" t="s">
        <v>804</v>
      </c>
      <c r="F273" s="17" t="s">
        <v>54</v>
      </c>
      <c r="G273" s="17" t="s">
        <v>161</v>
      </c>
      <c r="H273" s="17" t="s">
        <v>54</v>
      </c>
      <c r="I273" s="17" t="s">
        <v>795</v>
      </c>
      <c r="J273" s="17" t="s">
        <v>54</v>
      </c>
      <c r="K273" s="17" t="s">
        <v>54</v>
      </c>
      <c r="L273" s="17" t="s">
        <v>457</v>
      </c>
      <c r="M273" s="17" t="s">
        <v>743</v>
      </c>
      <c r="N273" s="21" t="s">
        <v>54</v>
      </c>
      <c r="O273" s="22" t="s">
        <v>54</v>
      </c>
      <c r="P273" s="21" t="s">
        <v>54</v>
      </c>
    </row>
    <row r="274" ht="52" customHeight="1" spans="1:16">
      <c r="A274" s="17" t="s">
        <v>805</v>
      </c>
      <c r="B274" s="17" t="s">
        <v>176</v>
      </c>
      <c r="C274" s="17" t="s">
        <v>739</v>
      </c>
      <c r="D274" s="17" t="s">
        <v>806</v>
      </c>
      <c r="E274" s="17" t="s">
        <v>807</v>
      </c>
      <c r="F274" s="17" t="s">
        <v>54</v>
      </c>
      <c r="G274" s="17" t="s">
        <v>161</v>
      </c>
      <c r="H274" s="17" t="s">
        <v>54</v>
      </c>
      <c r="I274" s="17" t="s">
        <v>808</v>
      </c>
      <c r="J274" s="17" t="s">
        <v>54</v>
      </c>
      <c r="K274" s="17" t="s">
        <v>54</v>
      </c>
      <c r="L274" s="17" t="s">
        <v>457</v>
      </c>
      <c r="M274" s="17" t="s">
        <v>743</v>
      </c>
      <c r="N274" s="21" t="s">
        <v>54</v>
      </c>
      <c r="O274" s="22" t="s">
        <v>54</v>
      </c>
      <c r="P274" s="21" t="s">
        <v>54</v>
      </c>
    </row>
    <row r="275" ht="52" customHeight="1" spans="1:16">
      <c r="A275" s="17" t="s">
        <v>809</v>
      </c>
      <c r="B275" s="17" t="s">
        <v>176</v>
      </c>
      <c r="C275" s="17" t="s">
        <v>739</v>
      </c>
      <c r="D275" s="17" t="s">
        <v>810</v>
      </c>
      <c r="E275" s="17" t="s">
        <v>811</v>
      </c>
      <c r="F275" s="17" t="s">
        <v>54</v>
      </c>
      <c r="G275" s="17" t="s">
        <v>161</v>
      </c>
      <c r="H275" s="17" t="s">
        <v>54</v>
      </c>
      <c r="I275" s="17" t="s">
        <v>808</v>
      </c>
      <c r="J275" s="17" t="s">
        <v>54</v>
      </c>
      <c r="K275" s="17" t="s">
        <v>54</v>
      </c>
      <c r="L275" s="17" t="s">
        <v>457</v>
      </c>
      <c r="M275" s="17" t="s">
        <v>743</v>
      </c>
      <c r="N275" s="21" t="s">
        <v>54</v>
      </c>
      <c r="O275" s="22" t="s">
        <v>54</v>
      </c>
      <c r="P275" s="21" t="s">
        <v>54</v>
      </c>
    </row>
    <row r="276" ht="52" customHeight="1" spans="1:16">
      <c r="A276" s="17" t="s">
        <v>812</v>
      </c>
      <c r="B276" s="17" t="s">
        <v>176</v>
      </c>
      <c r="C276" s="17" t="s">
        <v>739</v>
      </c>
      <c r="D276" s="17" t="s">
        <v>813</v>
      </c>
      <c r="E276" s="17" t="s">
        <v>814</v>
      </c>
      <c r="F276" s="17" t="s">
        <v>54</v>
      </c>
      <c r="G276" s="17" t="s">
        <v>161</v>
      </c>
      <c r="H276" s="17" t="s">
        <v>54</v>
      </c>
      <c r="I276" s="17" t="s">
        <v>808</v>
      </c>
      <c r="J276" s="17" t="s">
        <v>54</v>
      </c>
      <c r="K276" s="17" t="s">
        <v>54</v>
      </c>
      <c r="L276" s="17" t="s">
        <v>457</v>
      </c>
      <c r="M276" s="17" t="s">
        <v>743</v>
      </c>
      <c r="N276" s="21" t="s">
        <v>54</v>
      </c>
      <c r="O276" s="22" t="s">
        <v>54</v>
      </c>
      <c r="P276" s="21" t="s">
        <v>54</v>
      </c>
    </row>
    <row r="277" ht="52" customHeight="1" spans="1:16">
      <c r="A277" s="17" t="s">
        <v>815</v>
      </c>
      <c r="B277" s="17" t="s">
        <v>176</v>
      </c>
      <c r="C277" s="17" t="s">
        <v>739</v>
      </c>
      <c r="D277" s="17" t="s">
        <v>816</v>
      </c>
      <c r="E277" s="17" t="s">
        <v>817</v>
      </c>
      <c r="F277" s="17" t="s">
        <v>54</v>
      </c>
      <c r="G277" s="17" t="s">
        <v>161</v>
      </c>
      <c r="H277" s="17" t="s">
        <v>54</v>
      </c>
      <c r="I277" s="17" t="s">
        <v>808</v>
      </c>
      <c r="J277" s="17" t="s">
        <v>54</v>
      </c>
      <c r="K277" s="17" t="s">
        <v>54</v>
      </c>
      <c r="L277" s="17" t="s">
        <v>457</v>
      </c>
      <c r="M277" s="17" t="s">
        <v>743</v>
      </c>
      <c r="N277" s="21" t="s">
        <v>54</v>
      </c>
      <c r="O277" s="22" t="s">
        <v>54</v>
      </c>
      <c r="P277" s="21" t="s">
        <v>54</v>
      </c>
    </row>
    <row r="278" ht="52" customHeight="1" spans="1:16">
      <c r="A278" s="17" t="s">
        <v>818</v>
      </c>
      <c r="B278" s="17" t="s">
        <v>178</v>
      </c>
      <c r="C278" s="17" t="s">
        <v>739</v>
      </c>
      <c r="D278" s="17" t="s">
        <v>819</v>
      </c>
      <c r="E278" s="17" t="s">
        <v>820</v>
      </c>
      <c r="F278" s="17" t="s">
        <v>54</v>
      </c>
      <c r="G278" s="17" t="s">
        <v>161</v>
      </c>
      <c r="H278" s="17" t="s">
        <v>54</v>
      </c>
      <c r="I278" s="17" t="s">
        <v>821</v>
      </c>
      <c r="J278" s="17" t="s">
        <v>54</v>
      </c>
      <c r="K278" s="17" t="s">
        <v>54</v>
      </c>
      <c r="L278" s="17" t="s">
        <v>457</v>
      </c>
      <c r="M278" s="17" t="s">
        <v>743</v>
      </c>
      <c r="N278" s="21" t="s">
        <v>54</v>
      </c>
      <c r="O278" s="22" t="s">
        <v>54</v>
      </c>
      <c r="P278" s="21" t="s">
        <v>54</v>
      </c>
    </row>
    <row r="279" ht="52" customHeight="1" spans="1:16">
      <c r="A279" s="17" t="s">
        <v>822</v>
      </c>
      <c r="B279" s="17" t="s">
        <v>178</v>
      </c>
      <c r="C279" s="17" t="s">
        <v>739</v>
      </c>
      <c r="D279" s="17" t="s">
        <v>823</v>
      </c>
      <c r="E279" s="17" t="s">
        <v>824</v>
      </c>
      <c r="F279" s="17" t="s">
        <v>54</v>
      </c>
      <c r="G279" s="17" t="s">
        <v>161</v>
      </c>
      <c r="H279" s="17" t="s">
        <v>54</v>
      </c>
      <c r="I279" s="17" t="s">
        <v>821</v>
      </c>
      <c r="J279" s="17" t="s">
        <v>54</v>
      </c>
      <c r="K279" s="17" t="s">
        <v>54</v>
      </c>
      <c r="L279" s="17" t="s">
        <v>457</v>
      </c>
      <c r="M279" s="17" t="s">
        <v>743</v>
      </c>
      <c r="N279" s="21" t="s">
        <v>54</v>
      </c>
      <c r="O279" s="22" t="s">
        <v>54</v>
      </c>
      <c r="P279" s="21" t="s">
        <v>54</v>
      </c>
    </row>
    <row r="280" ht="52" customHeight="1" spans="1:16">
      <c r="A280" s="17" t="s">
        <v>825</v>
      </c>
      <c r="B280" s="17" t="s">
        <v>178</v>
      </c>
      <c r="C280" s="17" t="s">
        <v>739</v>
      </c>
      <c r="D280" s="17" t="s">
        <v>826</v>
      </c>
      <c r="E280" s="17" t="s">
        <v>827</v>
      </c>
      <c r="F280" s="17" t="s">
        <v>54</v>
      </c>
      <c r="G280" s="17" t="s">
        <v>161</v>
      </c>
      <c r="H280" s="17" t="s">
        <v>54</v>
      </c>
      <c r="I280" s="17" t="s">
        <v>821</v>
      </c>
      <c r="J280" s="17" t="s">
        <v>54</v>
      </c>
      <c r="K280" s="17" t="s">
        <v>54</v>
      </c>
      <c r="L280" s="17" t="s">
        <v>457</v>
      </c>
      <c r="M280" s="17" t="s">
        <v>743</v>
      </c>
      <c r="N280" s="21" t="s">
        <v>54</v>
      </c>
      <c r="O280" s="22" t="s">
        <v>54</v>
      </c>
      <c r="P280" s="21" t="s">
        <v>54</v>
      </c>
    </row>
    <row r="281" ht="52" customHeight="1" spans="1:16">
      <c r="A281" s="17" t="s">
        <v>828</v>
      </c>
      <c r="B281" s="17" t="s">
        <v>181</v>
      </c>
      <c r="C281" s="17" t="s">
        <v>739</v>
      </c>
      <c r="D281" s="17" t="s">
        <v>829</v>
      </c>
      <c r="E281" s="17" t="s">
        <v>830</v>
      </c>
      <c r="F281" s="17" t="s">
        <v>54</v>
      </c>
      <c r="G281" s="17" t="s">
        <v>161</v>
      </c>
      <c r="H281" s="17" t="s">
        <v>54</v>
      </c>
      <c r="I281" s="17" t="s">
        <v>831</v>
      </c>
      <c r="J281" s="17" t="s">
        <v>54</v>
      </c>
      <c r="K281" s="17" t="s">
        <v>54</v>
      </c>
      <c r="L281" s="17" t="s">
        <v>457</v>
      </c>
      <c r="M281" s="17" t="s">
        <v>743</v>
      </c>
      <c r="N281" s="21" t="s">
        <v>54</v>
      </c>
      <c r="O281" s="22" t="s">
        <v>54</v>
      </c>
      <c r="P281" s="21" t="s">
        <v>54</v>
      </c>
    </row>
    <row r="282" ht="52" customHeight="1" spans="1:16">
      <c r="A282" s="17" t="s">
        <v>832</v>
      </c>
      <c r="B282" s="17" t="s">
        <v>181</v>
      </c>
      <c r="C282" s="17" t="s">
        <v>739</v>
      </c>
      <c r="D282" s="17" t="s">
        <v>833</v>
      </c>
      <c r="E282" s="17" t="s">
        <v>834</v>
      </c>
      <c r="F282" s="17" t="s">
        <v>54</v>
      </c>
      <c r="G282" s="17" t="s">
        <v>161</v>
      </c>
      <c r="H282" s="17" t="s">
        <v>54</v>
      </c>
      <c r="I282" s="17" t="s">
        <v>831</v>
      </c>
      <c r="J282" s="17" t="s">
        <v>54</v>
      </c>
      <c r="K282" s="17" t="s">
        <v>54</v>
      </c>
      <c r="L282" s="17" t="s">
        <v>457</v>
      </c>
      <c r="M282" s="17" t="s">
        <v>743</v>
      </c>
      <c r="N282" s="21" t="s">
        <v>54</v>
      </c>
      <c r="O282" s="22" t="s">
        <v>54</v>
      </c>
      <c r="P282" s="21" t="s">
        <v>54</v>
      </c>
    </row>
    <row r="283" ht="52" customHeight="1" spans="1:16">
      <c r="A283" s="17" t="s">
        <v>835</v>
      </c>
      <c r="B283" s="17" t="s">
        <v>181</v>
      </c>
      <c r="C283" s="17" t="s">
        <v>739</v>
      </c>
      <c r="D283" s="17" t="s">
        <v>836</v>
      </c>
      <c r="E283" s="17" t="s">
        <v>837</v>
      </c>
      <c r="F283" s="17" t="s">
        <v>54</v>
      </c>
      <c r="G283" s="17" t="s">
        <v>161</v>
      </c>
      <c r="H283" s="17" t="s">
        <v>54</v>
      </c>
      <c r="I283" s="17" t="s">
        <v>831</v>
      </c>
      <c r="J283" s="17" t="s">
        <v>54</v>
      </c>
      <c r="K283" s="17" t="s">
        <v>54</v>
      </c>
      <c r="L283" s="17" t="s">
        <v>457</v>
      </c>
      <c r="M283" s="17" t="s">
        <v>743</v>
      </c>
      <c r="N283" s="21" t="s">
        <v>54</v>
      </c>
      <c r="O283" s="22" t="s">
        <v>54</v>
      </c>
      <c r="P283" s="21" t="s">
        <v>54</v>
      </c>
    </row>
    <row r="284" ht="39" customHeight="1" spans="1:16">
      <c r="A284" s="17" t="s">
        <v>838</v>
      </c>
      <c r="B284" s="17" t="s">
        <v>181</v>
      </c>
      <c r="C284" s="17" t="s">
        <v>739</v>
      </c>
      <c r="D284" s="17" t="s">
        <v>839</v>
      </c>
      <c r="E284" s="17" t="s">
        <v>840</v>
      </c>
      <c r="F284" s="17" t="s">
        <v>54</v>
      </c>
      <c r="G284" s="17" t="s">
        <v>161</v>
      </c>
      <c r="H284" s="17" t="s">
        <v>54</v>
      </c>
      <c r="I284" s="17" t="s">
        <v>831</v>
      </c>
      <c r="J284" s="17" t="s">
        <v>54</v>
      </c>
      <c r="K284" s="17" t="s">
        <v>54</v>
      </c>
      <c r="L284" s="17" t="s">
        <v>457</v>
      </c>
      <c r="M284" s="17" t="s">
        <v>743</v>
      </c>
      <c r="N284" s="21" t="s">
        <v>54</v>
      </c>
      <c r="O284" s="22" t="s">
        <v>54</v>
      </c>
      <c r="P284" s="21" t="s">
        <v>54</v>
      </c>
    </row>
    <row r="285" ht="52" customHeight="1" spans="1:16">
      <c r="A285" s="17" t="s">
        <v>841</v>
      </c>
      <c r="B285" s="17" t="s">
        <v>183</v>
      </c>
      <c r="C285" s="17" t="s">
        <v>739</v>
      </c>
      <c r="D285" s="17" t="s">
        <v>842</v>
      </c>
      <c r="E285" s="17" t="s">
        <v>843</v>
      </c>
      <c r="F285" s="17" t="s">
        <v>54</v>
      </c>
      <c r="G285" s="17" t="s">
        <v>161</v>
      </c>
      <c r="H285" s="17" t="s">
        <v>54</v>
      </c>
      <c r="I285" s="17" t="s">
        <v>844</v>
      </c>
      <c r="J285" s="17" t="s">
        <v>54</v>
      </c>
      <c r="K285" s="17" t="s">
        <v>54</v>
      </c>
      <c r="L285" s="17" t="s">
        <v>457</v>
      </c>
      <c r="M285" s="17" t="s">
        <v>743</v>
      </c>
      <c r="N285" s="21" t="s">
        <v>54</v>
      </c>
      <c r="O285" s="22" t="s">
        <v>54</v>
      </c>
      <c r="P285" s="21" t="s">
        <v>54</v>
      </c>
    </row>
    <row r="286" ht="39" customHeight="1" spans="1:16">
      <c r="A286" s="17" t="s">
        <v>845</v>
      </c>
      <c r="B286" s="17" t="s">
        <v>183</v>
      </c>
      <c r="C286" s="17" t="s">
        <v>739</v>
      </c>
      <c r="D286" s="17" t="s">
        <v>846</v>
      </c>
      <c r="E286" s="17" t="s">
        <v>847</v>
      </c>
      <c r="F286" s="17" t="s">
        <v>54</v>
      </c>
      <c r="G286" s="17" t="s">
        <v>161</v>
      </c>
      <c r="H286" s="17" t="s">
        <v>54</v>
      </c>
      <c r="I286" s="17" t="s">
        <v>844</v>
      </c>
      <c r="J286" s="17" t="s">
        <v>54</v>
      </c>
      <c r="K286" s="17" t="s">
        <v>54</v>
      </c>
      <c r="L286" s="17" t="s">
        <v>457</v>
      </c>
      <c r="M286" s="17" t="s">
        <v>743</v>
      </c>
      <c r="N286" s="21" t="s">
        <v>54</v>
      </c>
      <c r="O286" s="22" t="s">
        <v>54</v>
      </c>
      <c r="P286" s="21" t="s">
        <v>54</v>
      </c>
    </row>
    <row r="287" ht="52" customHeight="1" spans="1:16">
      <c r="A287" s="17" t="s">
        <v>848</v>
      </c>
      <c r="B287" s="17" t="s">
        <v>183</v>
      </c>
      <c r="C287" s="17" t="s">
        <v>739</v>
      </c>
      <c r="D287" s="17" t="s">
        <v>849</v>
      </c>
      <c r="E287" s="17" t="s">
        <v>850</v>
      </c>
      <c r="F287" s="17" t="s">
        <v>54</v>
      </c>
      <c r="G287" s="17" t="s">
        <v>161</v>
      </c>
      <c r="H287" s="17" t="s">
        <v>54</v>
      </c>
      <c r="I287" s="17" t="s">
        <v>844</v>
      </c>
      <c r="J287" s="17" t="s">
        <v>54</v>
      </c>
      <c r="K287" s="17" t="s">
        <v>54</v>
      </c>
      <c r="L287" s="17" t="s">
        <v>457</v>
      </c>
      <c r="M287" s="17" t="s">
        <v>743</v>
      </c>
      <c r="N287" s="21" t="s">
        <v>54</v>
      </c>
      <c r="O287" s="22" t="s">
        <v>54</v>
      </c>
      <c r="P287" s="21" t="s">
        <v>54</v>
      </c>
    </row>
    <row r="288" ht="39" customHeight="1" spans="1:16">
      <c r="A288" s="17" t="s">
        <v>851</v>
      </c>
      <c r="B288" s="17" t="s">
        <v>183</v>
      </c>
      <c r="C288" s="17" t="s">
        <v>739</v>
      </c>
      <c r="D288" s="17" t="s">
        <v>852</v>
      </c>
      <c r="E288" s="17" t="s">
        <v>853</v>
      </c>
      <c r="F288" s="17" t="s">
        <v>54</v>
      </c>
      <c r="G288" s="17" t="s">
        <v>161</v>
      </c>
      <c r="H288" s="17" t="s">
        <v>54</v>
      </c>
      <c r="I288" s="17" t="s">
        <v>844</v>
      </c>
      <c r="J288" s="17" t="s">
        <v>54</v>
      </c>
      <c r="K288" s="17" t="s">
        <v>54</v>
      </c>
      <c r="L288" s="17" t="s">
        <v>457</v>
      </c>
      <c r="M288" s="17" t="s">
        <v>743</v>
      </c>
      <c r="N288" s="21" t="s">
        <v>54</v>
      </c>
      <c r="O288" s="22" t="s">
        <v>54</v>
      </c>
      <c r="P288" s="21" t="s">
        <v>54</v>
      </c>
    </row>
    <row r="289" ht="39" customHeight="1" spans="1:16">
      <c r="A289" s="17" t="s">
        <v>854</v>
      </c>
      <c r="B289" s="17" t="s">
        <v>186</v>
      </c>
      <c r="C289" s="17" t="s">
        <v>739</v>
      </c>
      <c r="D289" s="17" t="s">
        <v>855</v>
      </c>
      <c r="E289" s="17" t="s">
        <v>856</v>
      </c>
      <c r="F289" s="17" t="s">
        <v>54</v>
      </c>
      <c r="G289" s="17" t="s">
        <v>161</v>
      </c>
      <c r="H289" s="17" t="s">
        <v>54</v>
      </c>
      <c r="I289" s="17" t="s">
        <v>857</v>
      </c>
      <c r="J289" s="17" t="s">
        <v>54</v>
      </c>
      <c r="K289" s="17" t="s">
        <v>54</v>
      </c>
      <c r="L289" s="17" t="s">
        <v>457</v>
      </c>
      <c r="M289" s="17" t="s">
        <v>743</v>
      </c>
      <c r="N289" s="21" t="s">
        <v>54</v>
      </c>
      <c r="O289" s="22" t="s">
        <v>54</v>
      </c>
      <c r="P289" s="21" t="s">
        <v>54</v>
      </c>
    </row>
    <row r="290" ht="52" customHeight="1" spans="1:16">
      <c r="A290" s="17" t="s">
        <v>858</v>
      </c>
      <c r="B290" s="17" t="s">
        <v>186</v>
      </c>
      <c r="C290" s="17" t="s">
        <v>739</v>
      </c>
      <c r="D290" s="17" t="s">
        <v>859</v>
      </c>
      <c r="E290" s="17" t="s">
        <v>860</v>
      </c>
      <c r="F290" s="17" t="s">
        <v>54</v>
      </c>
      <c r="G290" s="17" t="s">
        <v>161</v>
      </c>
      <c r="H290" s="17" t="s">
        <v>54</v>
      </c>
      <c r="I290" s="17" t="s">
        <v>857</v>
      </c>
      <c r="J290" s="17" t="s">
        <v>54</v>
      </c>
      <c r="K290" s="17" t="s">
        <v>54</v>
      </c>
      <c r="L290" s="17" t="s">
        <v>457</v>
      </c>
      <c r="M290" s="17" t="s">
        <v>743</v>
      </c>
      <c r="N290" s="21" t="s">
        <v>54</v>
      </c>
      <c r="O290" s="22" t="s">
        <v>54</v>
      </c>
      <c r="P290" s="21" t="s">
        <v>54</v>
      </c>
    </row>
    <row r="291" ht="39" customHeight="1" spans="1:16">
      <c r="A291" s="17" t="s">
        <v>861</v>
      </c>
      <c r="B291" s="17" t="s">
        <v>186</v>
      </c>
      <c r="C291" s="17" t="s">
        <v>739</v>
      </c>
      <c r="D291" s="17" t="s">
        <v>862</v>
      </c>
      <c r="E291" s="17" t="s">
        <v>863</v>
      </c>
      <c r="F291" s="17" t="s">
        <v>54</v>
      </c>
      <c r="G291" s="17" t="s">
        <v>161</v>
      </c>
      <c r="H291" s="17" t="s">
        <v>54</v>
      </c>
      <c r="I291" s="17" t="s">
        <v>857</v>
      </c>
      <c r="J291" s="17" t="s">
        <v>54</v>
      </c>
      <c r="K291" s="17" t="s">
        <v>54</v>
      </c>
      <c r="L291" s="17" t="s">
        <v>457</v>
      </c>
      <c r="M291" s="17" t="s">
        <v>743</v>
      </c>
      <c r="N291" s="21" t="s">
        <v>54</v>
      </c>
      <c r="O291" s="22" t="s">
        <v>54</v>
      </c>
      <c r="P291" s="21" t="s">
        <v>54</v>
      </c>
    </row>
    <row r="292" ht="39" customHeight="1" spans="1:16">
      <c r="A292" s="17" t="s">
        <v>864</v>
      </c>
      <c r="B292" s="17" t="s">
        <v>186</v>
      </c>
      <c r="C292" s="17" t="s">
        <v>739</v>
      </c>
      <c r="D292" s="17" t="s">
        <v>865</v>
      </c>
      <c r="E292" s="17" t="s">
        <v>866</v>
      </c>
      <c r="F292" s="17" t="s">
        <v>54</v>
      </c>
      <c r="G292" s="17" t="s">
        <v>161</v>
      </c>
      <c r="H292" s="17" t="s">
        <v>54</v>
      </c>
      <c r="I292" s="17" t="s">
        <v>857</v>
      </c>
      <c r="J292" s="17" t="s">
        <v>54</v>
      </c>
      <c r="K292" s="17" t="s">
        <v>54</v>
      </c>
      <c r="L292" s="17" t="s">
        <v>457</v>
      </c>
      <c r="M292" s="17" t="s">
        <v>743</v>
      </c>
      <c r="N292" s="21" t="s">
        <v>54</v>
      </c>
      <c r="O292" s="22" t="s">
        <v>54</v>
      </c>
      <c r="P292" s="21" t="s">
        <v>54</v>
      </c>
    </row>
    <row r="293" ht="52" customHeight="1" spans="1:16">
      <c r="A293" s="17" t="s">
        <v>867</v>
      </c>
      <c r="B293" s="17" t="s">
        <v>188</v>
      </c>
      <c r="C293" s="17" t="s">
        <v>739</v>
      </c>
      <c r="D293" s="17" t="s">
        <v>868</v>
      </c>
      <c r="E293" s="17" t="s">
        <v>869</v>
      </c>
      <c r="F293" s="17" t="s">
        <v>54</v>
      </c>
      <c r="G293" s="17" t="s">
        <v>161</v>
      </c>
      <c r="H293" s="17" t="s">
        <v>54</v>
      </c>
      <c r="I293" s="17" t="s">
        <v>870</v>
      </c>
      <c r="J293" s="17" t="s">
        <v>54</v>
      </c>
      <c r="K293" s="17" t="s">
        <v>54</v>
      </c>
      <c r="L293" s="17" t="s">
        <v>457</v>
      </c>
      <c r="M293" s="17" t="s">
        <v>743</v>
      </c>
      <c r="N293" s="21" t="s">
        <v>54</v>
      </c>
      <c r="O293" s="22" t="s">
        <v>54</v>
      </c>
      <c r="P293" s="21" t="s">
        <v>54</v>
      </c>
    </row>
    <row r="294" ht="52" customHeight="1" spans="1:16">
      <c r="A294" s="17" t="s">
        <v>871</v>
      </c>
      <c r="B294" s="17" t="s">
        <v>188</v>
      </c>
      <c r="C294" s="17" t="s">
        <v>739</v>
      </c>
      <c r="D294" s="17" t="s">
        <v>872</v>
      </c>
      <c r="E294" s="17" t="s">
        <v>873</v>
      </c>
      <c r="F294" s="17" t="s">
        <v>54</v>
      </c>
      <c r="G294" s="17" t="s">
        <v>161</v>
      </c>
      <c r="H294" s="17" t="s">
        <v>54</v>
      </c>
      <c r="I294" s="17" t="s">
        <v>870</v>
      </c>
      <c r="J294" s="17" t="s">
        <v>54</v>
      </c>
      <c r="K294" s="17" t="s">
        <v>54</v>
      </c>
      <c r="L294" s="17" t="s">
        <v>457</v>
      </c>
      <c r="M294" s="17" t="s">
        <v>743</v>
      </c>
      <c r="N294" s="21" t="s">
        <v>54</v>
      </c>
      <c r="O294" s="22" t="s">
        <v>54</v>
      </c>
      <c r="P294" s="21" t="s">
        <v>54</v>
      </c>
    </row>
    <row r="295" ht="52" customHeight="1" spans="1:16">
      <c r="A295" s="17" t="s">
        <v>874</v>
      </c>
      <c r="B295" s="17" t="s">
        <v>188</v>
      </c>
      <c r="C295" s="17" t="s">
        <v>739</v>
      </c>
      <c r="D295" s="17" t="s">
        <v>875</v>
      </c>
      <c r="E295" s="17" t="s">
        <v>876</v>
      </c>
      <c r="F295" s="17" t="s">
        <v>54</v>
      </c>
      <c r="G295" s="17" t="s">
        <v>161</v>
      </c>
      <c r="H295" s="17" t="s">
        <v>54</v>
      </c>
      <c r="I295" s="17" t="s">
        <v>870</v>
      </c>
      <c r="J295" s="17" t="s">
        <v>54</v>
      </c>
      <c r="K295" s="17" t="s">
        <v>54</v>
      </c>
      <c r="L295" s="17" t="s">
        <v>457</v>
      </c>
      <c r="M295" s="17" t="s">
        <v>743</v>
      </c>
      <c r="N295" s="21" t="s">
        <v>54</v>
      </c>
      <c r="O295" s="22" t="s">
        <v>54</v>
      </c>
      <c r="P295" s="21" t="s">
        <v>54</v>
      </c>
    </row>
    <row r="296" ht="39" customHeight="1" spans="1:16">
      <c r="A296" s="17" t="s">
        <v>877</v>
      </c>
      <c r="B296" s="17" t="s">
        <v>191</v>
      </c>
      <c r="C296" s="17" t="s">
        <v>739</v>
      </c>
      <c r="D296" s="17" t="s">
        <v>878</v>
      </c>
      <c r="E296" s="17" t="s">
        <v>879</v>
      </c>
      <c r="F296" s="17" t="s">
        <v>54</v>
      </c>
      <c r="G296" s="17" t="s">
        <v>161</v>
      </c>
      <c r="H296" s="17" t="s">
        <v>54</v>
      </c>
      <c r="I296" s="17" t="s">
        <v>880</v>
      </c>
      <c r="J296" s="17" t="s">
        <v>54</v>
      </c>
      <c r="K296" s="17" t="s">
        <v>54</v>
      </c>
      <c r="L296" s="17" t="s">
        <v>457</v>
      </c>
      <c r="M296" s="17" t="s">
        <v>743</v>
      </c>
      <c r="N296" s="21" t="s">
        <v>54</v>
      </c>
      <c r="O296" s="22" t="s">
        <v>54</v>
      </c>
      <c r="P296" s="21" t="s">
        <v>54</v>
      </c>
    </row>
    <row r="297" ht="39" customHeight="1" spans="1:16">
      <c r="A297" s="17" t="s">
        <v>881</v>
      </c>
      <c r="B297" s="17" t="s">
        <v>191</v>
      </c>
      <c r="C297" s="17" t="s">
        <v>739</v>
      </c>
      <c r="D297" s="17" t="s">
        <v>882</v>
      </c>
      <c r="E297" s="17" t="s">
        <v>883</v>
      </c>
      <c r="F297" s="17" t="s">
        <v>54</v>
      </c>
      <c r="G297" s="17" t="s">
        <v>161</v>
      </c>
      <c r="H297" s="17" t="s">
        <v>54</v>
      </c>
      <c r="I297" s="17" t="s">
        <v>880</v>
      </c>
      <c r="J297" s="17" t="s">
        <v>54</v>
      </c>
      <c r="K297" s="17" t="s">
        <v>54</v>
      </c>
      <c r="L297" s="17" t="s">
        <v>457</v>
      </c>
      <c r="M297" s="17" t="s">
        <v>743</v>
      </c>
      <c r="N297" s="21" t="s">
        <v>54</v>
      </c>
      <c r="O297" s="22" t="s">
        <v>54</v>
      </c>
      <c r="P297" s="21" t="s">
        <v>54</v>
      </c>
    </row>
    <row r="298" ht="39" customHeight="1" spans="1:16">
      <c r="A298" s="17" t="s">
        <v>884</v>
      </c>
      <c r="B298" s="17" t="s">
        <v>191</v>
      </c>
      <c r="C298" s="17" t="s">
        <v>739</v>
      </c>
      <c r="D298" s="17" t="s">
        <v>885</v>
      </c>
      <c r="E298" s="17" t="s">
        <v>886</v>
      </c>
      <c r="F298" s="17" t="s">
        <v>54</v>
      </c>
      <c r="G298" s="17" t="s">
        <v>161</v>
      </c>
      <c r="H298" s="17" t="s">
        <v>54</v>
      </c>
      <c r="I298" s="17" t="s">
        <v>880</v>
      </c>
      <c r="J298" s="17" t="s">
        <v>54</v>
      </c>
      <c r="K298" s="17" t="s">
        <v>54</v>
      </c>
      <c r="L298" s="17" t="s">
        <v>457</v>
      </c>
      <c r="M298" s="17" t="s">
        <v>743</v>
      </c>
      <c r="N298" s="21" t="s">
        <v>54</v>
      </c>
      <c r="O298" s="22" t="s">
        <v>54</v>
      </c>
      <c r="P298" s="21" t="s">
        <v>54</v>
      </c>
    </row>
    <row r="299" ht="52" customHeight="1" spans="1:16">
      <c r="A299" s="17" t="s">
        <v>887</v>
      </c>
      <c r="B299" s="17" t="s">
        <v>191</v>
      </c>
      <c r="C299" s="17" t="s">
        <v>739</v>
      </c>
      <c r="D299" s="17" t="s">
        <v>888</v>
      </c>
      <c r="E299" s="17" t="s">
        <v>889</v>
      </c>
      <c r="F299" s="17" t="s">
        <v>54</v>
      </c>
      <c r="G299" s="17" t="s">
        <v>161</v>
      </c>
      <c r="H299" s="17" t="s">
        <v>54</v>
      </c>
      <c r="I299" s="17" t="s">
        <v>880</v>
      </c>
      <c r="J299" s="17" t="s">
        <v>54</v>
      </c>
      <c r="K299" s="17" t="s">
        <v>54</v>
      </c>
      <c r="L299" s="17" t="s">
        <v>457</v>
      </c>
      <c r="M299" s="17" t="s">
        <v>743</v>
      </c>
      <c r="N299" s="21" t="s">
        <v>54</v>
      </c>
      <c r="O299" s="22" t="s">
        <v>54</v>
      </c>
      <c r="P299" s="21" t="s">
        <v>54</v>
      </c>
    </row>
    <row r="300" ht="39" customHeight="1" spans="1:16">
      <c r="A300" s="17" t="s">
        <v>890</v>
      </c>
      <c r="B300" s="17" t="s">
        <v>193</v>
      </c>
      <c r="C300" s="17" t="s">
        <v>739</v>
      </c>
      <c r="D300" s="17" t="s">
        <v>891</v>
      </c>
      <c r="E300" s="17" t="s">
        <v>892</v>
      </c>
      <c r="F300" s="17" t="s">
        <v>54</v>
      </c>
      <c r="G300" s="17" t="s">
        <v>161</v>
      </c>
      <c r="H300" s="17" t="s">
        <v>54</v>
      </c>
      <c r="I300" s="17" t="s">
        <v>893</v>
      </c>
      <c r="J300" s="17" t="s">
        <v>54</v>
      </c>
      <c r="K300" s="17" t="s">
        <v>54</v>
      </c>
      <c r="L300" s="17" t="s">
        <v>457</v>
      </c>
      <c r="M300" s="17" t="s">
        <v>743</v>
      </c>
      <c r="N300" s="21" t="s">
        <v>54</v>
      </c>
      <c r="O300" s="22" t="s">
        <v>54</v>
      </c>
      <c r="P300" s="21" t="s">
        <v>54</v>
      </c>
    </row>
    <row r="301" ht="39" customHeight="1" spans="1:16">
      <c r="A301" s="17" t="s">
        <v>894</v>
      </c>
      <c r="B301" s="17" t="s">
        <v>193</v>
      </c>
      <c r="C301" s="17" t="s">
        <v>739</v>
      </c>
      <c r="D301" s="17" t="s">
        <v>895</v>
      </c>
      <c r="E301" s="17" t="s">
        <v>896</v>
      </c>
      <c r="F301" s="17" t="s">
        <v>54</v>
      </c>
      <c r="G301" s="17" t="s">
        <v>161</v>
      </c>
      <c r="H301" s="17" t="s">
        <v>54</v>
      </c>
      <c r="I301" s="17" t="s">
        <v>893</v>
      </c>
      <c r="J301" s="17" t="s">
        <v>54</v>
      </c>
      <c r="K301" s="17" t="s">
        <v>54</v>
      </c>
      <c r="L301" s="17" t="s">
        <v>457</v>
      </c>
      <c r="M301" s="17" t="s">
        <v>743</v>
      </c>
      <c r="N301" s="21" t="s">
        <v>54</v>
      </c>
      <c r="O301" s="22" t="s">
        <v>54</v>
      </c>
      <c r="P301" s="21" t="s">
        <v>54</v>
      </c>
    </row>
    <row r="302" ht="39" customHeight="1" spans="1:16">
      <c r="A302" s="17" t="s">
        <v>897</v>
      </c>
      <c r="B302" s="17" t="s">
        <v>193</v>
      </c>
      <c r="C302" s="17" t="s">
        <v>739</v>
      </c>
      <c r="D302" s="17" t="s">
        <v>898</v>
      </c>
      <c r="E302" s="17" t="s">
        <v>899</v>
      </c>
      <c r="F302" s="17" t="s">
        <v>54</v>
      </c>
      <c r="G302" s="17" t="s">
        <v>161</v>
      </c>
      <c r="H302" s="17" t="s">
        <v>54</v>
      </c>
      <c r="I302" s="17" t="s">
        <v>893</v>
      </c>
      <c r="J302" s="17" t="s">
        <v>54</v>
      </c>
      <c r="K302" s="17" t="s">
        <v>54</v>
      </c>
      <c r="L302" s="17" t="s">
        <v>457</v>
      </c>
      <c r="M302" s="17" t="s">
        <v>743</v>
      </c>
      <c r="N302" s="21" t="s">
        <v>54</v>
      </c>
      <c r="O302" s="22" t="s">
        <v>54</v>
      </c>
      <c r="P302" s="21" t="s">
        <v>54</v>
      </c>
    </row>
    <row r="303" ht="52" customHeight="1" spans="1:16">
      <c r="A303" s="17" t="s">
        <v>900</v>
      </c>
      <c r="B303" s="17" t="s">
        <v>193</v>
      </c>
      <c r="C303" s="17" t="s">
        <v>739</v>
      </c>
      <c r="D303" s="17" t="s">
        <v>901</v>
      </c>
      <c r="E303" s="17" t="s">
        <v>902</v>
      </c>
      <c r="F303" s="17" t="s">
        <v>54</v>
      </c>
      <c r="G303" s="17" t="s">
        <v>161</v>
      </c>
      <c r="H303" s="17" t="s">
        <v>54</v>
      </c>
      <c r="I303" s="17" t="s">
        <v>893</v>
      </c>
      <c r="J303" s="17" t="s">
        <v>54</v>
      </c>
      <c r="K303" s="17" t="s">
        <v>54</v>
      </c>
      <c r="L303" s="17" t="s">
        <v>457</v>
      </c>
      <c r="M303" s="17" t="s">
        <v>743</v>
      </c>
      <c r="N303" s="21" t="s">
        <v>54</v>
      </c>
      <c r="O303" s="22" t="s">
        <v>54</v>
      </c>
      <c r="P303" s="21" t="s">
        <v>54</v>
      </c>
    </row>
    <row r="304" ht="39" customHeight="1" spans="1:16">
      <c r="A304" s="17" t="s">
        <v>903</v>
      </c>
      <c r="B304" s="17" t="s">
        <v>196</v>
      </c>
      <c r="C304" s="17" t="s">
        <v>739</v>
      </c>
      <c r="D304" s="17" t="s">
        <v>904</v>
      </c>
      <c r="E304" s="17" t="s">
        <v>905</v>
      </c>
      <c r="F304" s="17" t="s">
        <v>54</v>
      </c>
      <c r="G304" s="17" t="s">
        <v>161</v>
      </c>
      <c r="H304" s="17" t="s">
        <v>54</v>
      </c>
      <c r="I304" s="17" t="s">
        <v>906</v>
      </c>
      <c r="J304" s="17" t="s">
        <v>54</v>
      </c>
      <c r="K304" s="17" t="s">
        <v>54</v>
      </c>
      <c r="L304" s="17" t="s">
        <v>457</v>
      </c>
      <c r="M304" s="17" t="s">
        <v>743</v>
      </c>
      <c r="N304" s="21" t="s">
        <v>54</v>
      </c>
      <c r="O304" s="22" t="s">
        <v>54</v>
      </c>
      <c r="P304" s="21" t="s">
        <v>54</v>
      </c>
    </row>
    <row r="305" ht="52" customHeight="1" spans="1:16">
      <c r="A305" s="17" t="s">
        <v>907</v>
      </c>
      <c r="B305" s="17" t="s">
        <v>196</v>
      </c>
      <c r="C305" s="17" t="s">
        <v>739</v>
      </c>
      <c r="D305" s="17" t="s">
        <v>908</v>
      </c>
      <c r="E305" s="17" t="s">
        <v>909</v>
      </c>
      <c r="F305" s="17" t="s">
        <v>54</v>
      </c>
      <c r="G305" s="17" t="s">
        <v>161</v>
      </c>
      <c r="H305" s="17" t="s">
        <v>54</v>
      </c>
      <c r="I305" s="17" t="s">
        <v>906</v>
      </c>
      <c r="J305" s="17" t="s">
        <v>54</v>
      </c>
      <c r="K305" s="17" t="s">
        <v>54</v>
      </c>
      <c r="L305" s="17" t="s">
        <v>457</v>
      </c>
      <c r="M305" s="17" t="s">
        <v>743</v>
      </c>
      <c r="N305" s="21" t="s">
        <v>54</v>
      </c>
      <c r="O305" s="22" t="s">
        <v>54</v>
      </c>
      <c r="P305" s="21" t="s">
        <v>54</v>
      </c>
    </row>
    <row r="306" ht="39" customHeight="1" spans="1:16">
      <c r="A306" s="17" t="s">
        <v>910</v>
      </c>
      <c r="B306" s="17" t="s">
        <v>196</v>
      </c>
      <c r="C306" s="17" t="s">
        <v>739</v>
      </c>
      <c r="D306" s="17" t="s">
        <v>911</v>
      </c>
      <c r="E306" s="17" t="s">
        <v>912</v>
      </c>
      <c r="F306" s="17" t="s">
        <v>54</v>
      </c>
      <c r="G306" s="17" t="s">
        <v>161</v>
      </c>
      <c r="H306" s="17" t="s">
        <v>54</v>
      </c>
      <c r="I306" s="17" t="s">
        <v>906</v>
      </c>
      <c r="J306" s="17" t="s">
        <v>54</v>
      </c>
      <c r="K306" s="17" t="s">
        <v>54</v>
      </c>
      <c r="L306" s="17" t="s">
        <v>457</v>
      </c>
      <c r="M306" s="17" t="s">
        <v>743</v>
      </c>
      <c r="N306" s="21" t="s">
        <v>54</v>
      </c>
      <c r="O306" s="22" t="s">
        <v>54</v>
      </c>
      <c r="P306" s="21" t="s">
        <v>54</v>
      </c>
    </row>
    <row r="307" ht="39" customHeight="1" spans="1:16">
      <c r="A307" s="17" t="s">
        <v>913</v>
      </c>
      <c r="B307" s="17" t="s">
        <v>196</v>
      </c>
      <c r="C307" s="17" t="s">
        <v>739</v>
      </c>
      <c r="D307" s="17" t="s">
        <v>914</v>
      </c>
      <c r="E307" s="17" t="s">
        <v>915</v>
      </c>
      <c r="F307" s="17" t="s">
        <v>54</v>
      </c>
      <c r="G307" s="17" t="s">
        <v>161</v>
      </c>
      <c r="H307" s="17" t="s">
        <v>54</v>
      </c>
      <c r="I307" s="17" t="s">
        <v>906</v>
      </c>
      <c r="J307" s="17" t="s">
        <v>54</v>
      </c>
      <c r="K307" s="17" t="s">
        <v>54</v>
      </c>
      <c r="L307" s="17" t="s">
        <v>457</v>
      </c>
      <c r="M307" s="17" t="s">
        <v>743</v>
      </c>
      <c r="N307" s="21" t="s">
        <v>54</v>
      </c>
      <c r="O307" s="22" t="s">
        <v>54</v>
      </c>
      <c r="P307" s="21" t="s">
        <v>54</v>
      </c>
    </row>
    <row r="308" ht="52" customHeight="1" spans="1:16">
      <c r="A308" s="17" t="s">
        <v>916</v>
      </c>
      <c r="B308" s="17" t="s">
        <v>198</v>
      </c>
      <c r="C308" s="17" t="s">
        <v>739</v>
      </c>
      <c r="D308" s="17" t="s">
        <v>917</v>
      </c>
      <c r="E308" s="17" t="s">
        <v>918</v>
      </c>
      <c r="F308" s="17" t="s">
        <v>54</v>
      </c>
      <c r="G308" s="17" t="s">
        <v>161</v>
      </c>
      <c r="H308" s="17" t="s">
        <v>54</v>
      </c>
      <c r="I308" s="17" t="s">
        <v>919</v>
      </c>
      <c r="J308" s="17" t="s">
        <v>54</v>
      </c>
      <c r="K308" s="17" t="s">
        <v>54</v>
      </c>
      <c r="L308" s="17" t="s">
        <v>457</v>
      </c>
      <c r="M308" s="17" t="s">
        <v>743</v>
      </c>
      <c r="N308" s="21" t="s">
        <v>54</v>
      </c>
      <c r="O308" s="22" t="s">
        <v>54</v>
      </c>
      <c r="P308" s="21" t="s">
        <v>54</v>
      </c>
    </row>
    <row r="309" ht="52" customHeight="1" spans="1:16">
      <c r="A309" s="17" t="s">
        <v>920</v>
      </c>
      <c r="B309" s="17" t="s">
        <v>198</v>
      </c>
      <c r="C309" s="17" t="s">
        <v>739</v>
      </c>
      <c r="D309" s="17" t="s">
        <v>921</v>
      </c>
      <c r="E309" s="17" t="s">
        <v>922</v>
      </c>
      <c r="F309" s="17" t="s">
        <v>54</v>
      </c>
      <c r="G309" s="17" t="s">
        <v>161</v>
      </c>
      <c r="H309" s="17" t="s">
        <v>54</v>
      </c>
      <c r="I309" s="17" t="s">
        <v>919</v>
      </c>
      <c r="J309" s="17" t="s">
        <v>54</v>
      </c>
      <c r="K309" s="17" t="s">
        <v>54</v>
      </c>
      <c r="L309" s="17" t="s">
        <v>457</v>
      </c>
      <c r="M309" s="17" t="s">
        <v>743</v>
      </c>
      <c r="N309" s="21" t="s">
        <v>54</v>
      </c>
      <c r="O309" s="22" t="s">
        <v>54</v>
      </c>
      <c r="P309" s="21" t="s">
        <v>54</v>
      </c>
    </row>
    <row r="310" ht="52" customHeight="1" spans="1:16">
      <c r="A310" s="17" t="s">
        <v>923</v>
      </c>
      <c r="B310" s="17" t="s">
        <v>198</v>
      </c>
      <c r="C310" s="17" t="s">
        <v>739</v>
      </c>
      <c r="D310" s="17" t="s">
        <v>924</v>
      </c>
      <c r="E310" s="17" t="s">
        <v>925</v>
      </c>
      <c r="F310" s="17" t="s">
        <v>54</v>
      </c>
      <c r="G310" s="17" t="s">
        <v>161</v>
      </c>
      <c r="H310" s="17" t="s">
        <v>54</v>
      </c>
      <c r="I310" s="17" t="s">
        <v>919</v>
      </c>
      <c r="J310" s="17" t="s">
        <v>54</v>
      </c>
      <c r="K310" s="17" t="s">
        <v>54</v>
      </c>
      <c r="L310" s="17" t="s">
        <v>457</v>
      </c>
      <c r="M310" s="17" t="s">
        <v>743</v>
      </c>
      <c r="N310" s="21" t="s">
        <v>54</v>
      </c>
      <c r="O310" s="22" t="s">
        <v>54</v>
      </c>
      <c r="P310" s="21" t="s">
        <v>54</v>
      </c>
    </row>
    <row r="311" ht="39" customHeight="1" spans="1:16">
      <c r="A311" s="17" t="s">
        <v>926</v>
      </c>
      <c r="B311" s="17" t="s">
        <v>198</v>
      </c>
      <c r="C311" s="17" t="s">
        <v>739</v>
      </c>
      <c r="D311" s="17" t="s">
        <v>927</v>
      </c>
      <c r="E311" s="17" t="s">
        <v>928</v>
      </c>
      <c r="F311" s="17" t="s">
        <v>54</v>
      </c>
      <c r="G311" s="17" t="s">
        <v>161</v>
      </c>
      <c r="H311" s="17" t="s">
        <v>54</v>
      </c>
      <c r="I311" s="17" t="s">
        <v>919</v>
      </c>
      <c r="J311" s="17" t="s">
        <v>54</v>
      </c>
      <c r="K311" s="17" t="s">
        <v>54</v>
      </c>
      <c r="L311" s="17" t="s">
        <v>457</v>
      </c>
      <c r="M311" s="17" t="s">
        <v>743</v>
      </c>
      <c r="N311" s="21" t="s">
        <v>54</v>
      </c>
      <c r="O311" s="22" t="s">
        <v>54</v>
      </c>
      <c r="P311" s="21" t="s">
        <v>54</v>
      </c>
    </row>
    <row r="312" ht="39" customHeight="1" spans="1:16">
      <c r="A312" s="17" t="s">
        <v>929</v>
      </c>
      <c r="B312" s="17" t="s">
        <v>201</v>
      </c>
      <c r="C312" s="17" t="s">
        <v>739</v>
      </c>
      <c r="D312" s="17" t="s">
        <v>930</v>
      </c>
      <c r="E312" s="17" t="s">
        <v>931</v>
      </c>
      <c r="F312" s="17" t="s">
        <v>54</v>
      </c>
      <c r="G312" s="17" t="s">
        <v>161</v>
      </c>
      <c r="H312" s="17" t="s">
        <v>54</v>
      </c>
      <c r="I312" s="17" t="s">
        <v>932</v>
      </c>
      <c r="J312" s="17" t="s">
        <v>54</v>
      </c>
      <c r="K312" s="17" t="s">
        <v>54</v>
      </c>
      <c r="L312" s="17" t="s">
        <v>457</v>
      </c>
      <c r="M312" s="17" t="s">
        <v>743</v>
      </c>
      <c r="N312" s="21" t="s">
        <v>54</v>
      </c>
      <c r="O312" s="22" t="s">
        <v>54</v>
      </c>
      <c r="P312" s="21" t="s">
        <v>54</v>
      </c>
    </row>
    <row r="313" ht="39" customHeight="1" spans="1:16">
      <c r="A313" s="17" t="s">
        <v>933</v>
      </c>
      <c r="B313" s="17" t="s">
        <v>201</v>
      </c>
      <c r="C313" s="17" t="s">
        <v>739</v>
      </c>
      <c r="D313" s="17" t="s">
        <v>934</v>
      </c>
      <c r="E313" s="17" t="s">
        <v>935</v>
      </c>
      <c r="F313" s="17" t="s">
        <v>54</v>
      </c>
      <c r="G313" s="17" t="s">
        <v>161</v>
      </c>
      <c r="H313" s="17" t="s">
        <v>54</v>
      </c>
      <c r="I313" s="17" t="s">
        <v>932</v>
      </c>
      <c r="J313" s="17" t="s">
        <v>54</v>
      </c>
      <c r="K313" s="17" t="s">
        <v>54</v>
      </c>
      <c r="L313" s="17" t="s">
        <v>457</v>
      </c>
      <c r="M313" s="17" t="s">
        <v>743</v>
      </c>
      <c r="N313" s="21" t="s">
        <v>54</v>
      </c>
      <c r="O313" s="22" t="s">
        <v>54</v>
      </c>
      <c r="P313" s="21" t="s">
        <v>54</v>
      </c>
    </row>
    <row r="314" ht="39" customHeight="1" spans="1:16">
      <c r="A314" s="17" t="s">
        <v>936</v>
      </c>
      <c r="B314" s="17" t="s">
        <v>201</v>
      </c>
      <c r="C314" s="17" t="s">
        <v>739</v>
      </c>
      <c r="D314" s="17" t="s">
        <v>937</v>
      </c>
      <c r="E314" s="17" t="s">
        <v>938</v>
      </c>
      <c r="F314" s="17" t="s">
        <v>54</v>
      </c>
      <c r="G314" s="17" t="s">
        <v>161</v>
      </c>
      <c r="H314" s="17" t="s">
        <v>54</v>
      </c>
      <c r="I314" s="17" t="s">
        <v>932</v>
      </c>
      <c r="J314" s="17" t="s">
        <v>54</v>
      </c>
      <c r="K314" s="17" t="s">
        <v>54</v>
      </c>
      <c r="L314" s="17" t="s">
        <v>457</v>
      </c>
      <c r="M314" s="17" t="s">
        <v>743</v>
      </c>
      <c r="N314" s="21" t="s">
        <v>54</v>
      </c>
      <c r="O314" s="22" t="s">
        <v>54</v>
      </c>
      <c r="P314" s="21" t="s">
        <v>54</v>
      </c>
    </row>
    <row r="315" ht="39" customHeight="1" spans="1:16">
      <c r="A315" s="17" t="s">
        <v>939</v>
      </c>
      <c r="B315" s="17" t="s">
        <v>201</v>
      </c>
      <c r="C315" s="17" t="s">
        <v>739</v>
      </c>
      <c r="D315" s="17" t="s">
        <v>940</v>
      </c>
      <c r="E315" s="17" t="s">
        <v>941</v>
      </c>
      <c r="F315" s="17" t="s">
        <v>54</v>
      </c>
      <c r="G315" s="17" t="s">
        <v>161</v>
      </c>
      <c r="H315" s="17" t="s">
        <v>54</v>
      </c>
      <c r="I315" s="17" t="s">
        <v>932</v>
      </c>
      <c r="J315" s="17" t="s">
        <v>54</v>
      </c>
      <c r="K315" s="17" t="s">
        <v>54</v>
      </c>
      <c r="L315" s="17" t="s">
        <v>457</v>
      </c>
      <c r="M315" s="17" t="s">
        <v>743</v>
      </c>
      <c r="N315" s="21" t="s">
        <v>54</v>
      </c>
      <c r="O315" s="22" t="s">
        <v>54</v>
      </c>
      <c r="P315" s="21" t="s">
        <v>54</v>
      </c>
    </row>
    <row r="316" ht="39" customHeight="1" spans="1:16">
      <c r="A316" s="17" t="s">
        <v>942</v>
      </c>
      <c r="B316" s="17" t="s">
        <v>203</v>
      </c>
      <c r="C316" s="17" t="s">
        <v>739</v>
      </c>
      <c r="D316" s="17" t="s">
        <v>943</v>
      </c>
      <c r="E316" s="17" t="s">
        <v>944</v>
      </c>
      <c r="F316" s="17" t="s">
        <v>54</v>
      </c>
      <c r="G316" s="17" t="s">
        <v>161</v>
      </c>
      <c r="H316" s="17" t="s">
        <v>54</v>
      </c>
      <c r="I316" s="17" t="s">
        <v>945</v>
      </c>
      <c r="J316" s="17" t="s">
        <v>54</v>
      </c>
      <c r="K316" s="17" t="s">
        <v>54</v>
      </c>
      <c r="L316" s="17" t="s">
        <v>457</v>
      </c>
      <c r="M316" s="17" t="s">
        <v>743</v>
      </c>
      <c r="N316" s="21" t="s">
        <v>54</v>
      </c>
      <c r="O316" s="22" t="s">
        <v>54</v>
      </c>
      <c r="P316" s="21" t="s">
        <v>54</v>
      </c>
    </row>
    <row r="317" ht="52" customHeight="1" spans="1:16">
      <c r="A317" s="17" t="s">
        <v>946</v>
      </c>
      <c r="B317" s="17" t="s">
        <v>203</v>
      </c>
      <c r="C317" s="17" t="s">
        <v>739</v>
      </c>
      <c r="D317" s="17" t="s">
        <v>947</v>
      </c>
      <c r="E317" s="17" t="s">
        <v>948</v>
      </c>
      <c r="F317" s="17" t="s">
        <v>54</v>
      </c>
      <c r="G317" s="17" t="s">
        <v>161</v>
      </c>
      <c r="H317" s="17" t="s">
        <v>54</v>
      </c>
      <c r="I317" s="17" t="s">
        <v>945</v>
      </c>
      <c r="J317" s="17" t="s">
        <v>54</v>
      </c>
      <c r="K317" s="17" t="s">
        <v>54</v>
      </c>
      <c r="L317" s="17" t="s">
        <v>457</v>
      </c>
      <c r="M317" s="17" t="s">
        <v>743</v>
      </c>
      <c r="N317" s="21" t="s">
        <v>54</v>
      </c>
      <c r="O317" s="22" t="s">
        <v>54</v>
      </c>
      <c r="P317" s="21" t="s">
        <v>54</v>
      </c>
    </row>
    <row r="318" ht="39" customHeight="1" spans="1:16">
      <c r="A318" s="17" t="s">
        <v>949</v>
      </c>
      <c r="B318" s="17" t="s">
        <v>203</v>
      </c>
      <c r="C318" s="17" t="s">
        <v>739</v>
      </c>
      <c r="D318" s="17" t="s">
        <v>950</v>
      </c>
      <c r="E318" s="17" t="s">
        <v>951</v>
      </c>
      <c r="F318" s="17" t="s">
        <v>54</v>
      </c>
      <c r="G318" s="17" t="s">
        <v>161</v>
      </c>
      <c r="H318" s="17" t="s">
        <v>54</v>
      </c>
      <c r="I318" s="17" t="s">
        <v>945</v>
      </c>
      <c r="J318" s="17" t="s">
        <v>54</v>
      </c>
      <c r="K318" s="17" t="s">
        <v>54</v>
      </c>
      <c r="L318" s="17" t="s">
        <v>457</v>
      </c>
      <c r="M318" s="17" t="s">
        <v>743</v>
      </c>
      <c r="N318" s="21" t="s">
        <v>54</v>
      </c>
      <c r="O318" s="22" t="s">
        <v>54</v>
      </c>
      <c r="P318" s="21" t="s">
        <v>54</v>
      </c>
    </row>
    <row r="319" ht="39" customHeight="1" spans="1:16">
      <c r="A319" s="17" t="s">
        <v>952</v>
      </c>
      <c r="B319" s="17" t="s">
        <v>206</v>
      </c>
      <c r="C319" s="17" t="s">
        <v>739</v>
      </c>
      <c r="D319" s="17" t="s">
        <v>953</v>
      </c>
      <c r="E319" s="17" t="s">
        <v>954</v>
      </c>
      <c r="F319" s="17" t="s">
        <v>54</v>
      </c>
      <c r="G319" s="17" t="s">
        <v>161</v>
      </c>
      <c r="H319" s="17" t="s">
        <v>54</v>
      </c>
      <c r="I319" s="17" t="s">
        <v>955</v>
      </c>
      <c r="J319" s="17" t="s">
        <v>54</v>
      </c>
      <c r="K319" s="17" t="s">
        <v>54</v>
      </c>
      <c r="L319" s="17" t="s">
        <v>457</v>
      </c>
      <c r="M319" s="17" t="s">
        <v>743</v>
      </c>
      <c r="N319" s="21" t="s">
        <v>54</v>
      </c>
      <c r="O319" s="22" t="s">
        <v>54</v>
      </c>
      <c r="P319" s="21" t="s">
        <v>54</v>
      </c>
    </row>
    <row r="320" ht="39" customHeight="1" spans="1:16">
      <c r="A320" s="17" t="s">
        <v>956</v>
      </c>
      <c r="B320" s="17" t="s">
        <v>206</v>
      </c>
      <c r="C320" s="17" t="s">
        <v>739</v>
      </c>
      <c r="D320" s="17" t="s">
        <v>957</v>
      </c>
      <c r="E320" s="17" t="s">
        <v>958</v>
      </c>
      <c r="F320" s="17" t="s">
        <v>54</v>
      </c>
      <c r="G320" s="17" t="s">
        <v>161</v>
      </c>
      <c r="H320" s="17" t="s">
        <v>54</v>
      </c>
      <c r="I320" s="17" t="s">
        <v>955</v>
      </c>
      <c r="J320" s="17" t="s">
        <v>54</v>
      </c>
      <c r="K320" s="17" t="s">
        <v>54</v>
      </c>
      <c r="L320" s="17" t="s">
        <v>457</v>
      </c>
      <c r="M320" s="17" t="s">
        <v>743</v>
      </c>
      <c r="N320" s="21" t="s">
        <v>54</v>
      </c>
      <c r="O320" s="22" t="s">
        <v>54</v>
      </c>
      <c r="P320" s="21" t="s">
        <v>54</v>
      </c>
    </row>
    <row r="321" ht="52" customHeight="1" spans="1:16">
      <c r="A321" s="17" t="s">
        <v>959</v>
      </c>
      <c r="B321" s="17" t="s">
        <v>206</v>
      </c>
      <c r="C321" s="17" t="s">
        <v>739</v>
      </c>
      <c r="D321" s="17" t="s">
        <v>960</v>
      </c>
      <c r="E321" s="17" t="s">
        <v>961</v>
      </c>
      <c r="F321" s="17" t="s">
        <v>54</v>
      </c>
      <c r="G321" s="17" t="s">
        <v>161</v>
      </c>
      <c r="H321" s="17" t="s">
        <v>54</v>
      </c>
      <c r="I321" s="17" t="s">
        <v>955</v>
      </c>
      <c r="J321" s="17" t="s">
        <v>54</v>
      </c>
      <c r="K321" s="17" t="s">
        <v>54</v>
      </c>
      <c r="L321" s="17" t="s">
        <v>457</v>
      </c>
      <c r="M321" s="17" t="s">
        <v>743</v>
      </c>
      <c r="N321" s="21" t="s">
        <v>54</v>
      </c>
      <c r="O321" s="22" t="s">
        <v>54</v>
      </c>
      <c r="P321" s="21" t="s">
        <v>54</v>
      </c>
    </row>
    <row r="322" ht="39" customHeight="1" spans="1:16">
      <c r="A322" s="17" t="s">
        <v>962</v>
      </c>
      <c r="B322" s="17" t="s">
        <v>206</v>
      </c>
      <c r="C322" s="17" t="s">
        <v>739</v>
      </c>
      <c r="D322" s="17" t="s">
        <v>963</v>
      </c>
      <c r="E322" s="17" t="s">
        <v>964</v>
      </c>
      <c r="F322" s="17" t="s">
        <v>54</v>
      </c>
      <c r="G322" s="17" t="s">
        <v>161</v>
      </c>
      <c r="H322" s="17" t="s">
        <v>54</v>
      </c>
      <c r="I322" s="17" t="s">
        <v>955</v>
      </c>
      <c r="J322" s="17" t="s">
        <v>54</v>
      </c>
      <c r="K322" s="17" t="s">
        <v>54</v>
      </c>
      <c r="L322" s="17" t="s">
        <v>457</v>
      </c>
      <c r="M322" s="17" t="s">
        <v>743</v>
      </c>
      <c r="N322" s="21" t="s">
        <v>54</v>
      </c>
      <c r="O322" s="22" t="s">
        <v>54</v>
      </c>
      <c r="P322" s="21" t="s">
        <v>54</v>
      </c>
    </row>
    <row r="323" ht="39" customHeight="1" spans="1:16">
      <c r="A323" s="17" t="s">
        <v>965</v>
      </c>
      <c r="B323" s="17" t="s">
        <v>208</v>
      </c>
      <c r="C323" s="17" t="s">
        <v>739</v>
      </c>
      <c r="D323" s="17" t="s">
        <v>966</v>
      </c>
      <c r="E323" s="17" t="s">
        <v>967</v>
      </c>
      <c r="F323" s="17" t="s">
        <v>54</v>
      </c>
      <c r="G323" s="17" t="s">
        <v>161</v>
      </c>
      <c r="H323" s="17" t="s">
        <v>54</v>
      </c>
      <c r="I323" s="17" t="s">
        <v>968</v>
      </c>
      <c r="J323" s="17" t="s">
        <v>54</v>
      </c>
      <c r="K323" s="17" t="s">
        <v>54</v>
      </c>
      <c r="L323" s="17" t="s">
        <v>457</v>
      </c>
      <c r="M323" s="17" t="s">
        <v>743</v>
      </c>
      <c r="N323" s="21" t="s">
        <v>54</v>
      </c>
      <c r="O323" s="22" t="s">
        <v>54</v>
      </c>
      <c r="P323" s="21" t="s">
        <v>54</v>
      </c>
    </row>
    <row r="324" ht="39" customHeight="1" spans="1:16">
      <c r="A324" s="17" t="s">
        <v>969</v>
      </c>
      <c r="B324" s="17" t="s">
        <v>208</v>
      </c>
      <c r="C324" s="17" t="s">
        <v>739</v>
      </c>
      <c r="D324" s="17" t="s">
        <v>970</v>
      </c>
      <c r="E324" s="17" t="s">
        <v>971</v>
      </c>
      <c r="F324" s="17" t="s">
        <v>54</v>
      </c>
      <c r="G324" s="17" t="s">
        <v>161</v>
      </c>
      <c r="H324" s="17" t="s">
        <v>54</v>
      </c>
      <c r="I324" s="17" t="s">
        <v>968</v>
      </c>
      <c r="J324" s="17" t="s">
        <v>54</v>
      </c>
      <c r="K324" s="17" t="s">
        <v>54</v>
      </c>
      <c r="L324" s="17" t="s">
        <v>457</v>
      </c>
      <c r="M324" s="17" t="s">
        <v>743</v>
      </c>
      <c r="N324" s="21" t="s">
        <v>54</v>
      </c>
      <c r="O324" s="22" t="s">
        <v>54</v>
      </c>
      <c r="P324" s="21" t="s">
        <v>54</v>
      </c>
    </row>
    <row r="325" ht="39" customHeight="1" spans="1:16">
      <c r="A325" s="17" t="s">
        <v>972</v>
      </c>
      <c r="B325" s="17" t="s">
        <v>208</v>
      </c>
      <c r="C325" s="17" t="s">
        <v>739</v>
      </c>
      <c r="D325" s="17" t="s">
        <v>973</v>
      </c>
      <c r="E325" s="17" t="s">
        <v>974</v>
      </c>
      <c r="F325" s="17" t="s">
        <v>54</v>
      </c>
      <c r="G325" s="17" t="s">
        <v>161</v>
      </c>
      <c r="H325" s="17" t="s">
        <v>54</v>
      </c>
      <c r="I325" s="17" t="s">
        <v>968</v>
      </c>
      <c r="J325" s="17" t="s">
        <v>54</v>
      </c>
      <c r="K325" s="17" t="s">
        <v>54</v>
      </c>
      <c r="L325" s="17" t="s">
        <v>457</v>
      </c>
      <c r="M325" s="17" t="s">
        <v>743</v>
      </c>
      <c r="N325" s="21" t="s">
        <v>54</v>
      </c>
      <c r="O325" s="22" t="s">
        <v>54</v>
      </c>
      <c r="P325" s="21" t="s">
        <v>54</v>
      </c>
    </row>
    <row r="326" ht="39" customHeight="1" spans="1:16">
      <c r="A326" s="17" t="s">
        <v>975</v>
      </c>
      <c r="B326" s="17" t="s">
        <v>211</v>
      </c>
      <c r="C326" s="17" t="s">
        <v>739</v>
      </c>
      <c r="D326" s="17" t="s">
        <v>976</v>
      </c>
      <c r="E326" s="17" t="s">
        <v>977</v>
      </c>
      <c r="F326" s="17" t="s">
        <v>54</v>
      </c>
      <c r="G326" s="17" t="s">
        <v>161</v>
      </c>
      <c r="H326" s="17" t="s">
        <v>54</v>
      </c>
      <c r="I326" s="17" t="s">
        <v>978</v>
      </c>
      <c r="J326" s="17" t="s">
        <v>54</v>
      </c>
      <c r="K326" s="17" t="s">
        <v>54</v>
      </c>
      <c r="L326" s="17" t="s">
        <v>457</v>
      </c>
      <c r="M326" s="17" t="s">
        <v>743</v>
      </c>
      <c r="N326" s="21" t="s">
        <v>54</v>
      </c>
      <c r="O326" s="22" t="s">
        <v>54</v>
      </c>
      <c r="P326" s="21" t="s">
        <v>54</v>
      </c>
    </row>
    <row r="327" ht="52" customHeight="1" spans="1:16">
      <c r="A327" s="17" t="s">
        <v>979</v>
      </c>
      <c r="B327" s="17" t="s">
        <v>211</v>
      </c>
      <c r="C327" s="17" t="s">
        <v>739</v>
      </c>
      <c r="D327" s="17" t="s">
        <v>980</v>
      </c>
      <c r="E327" s="17" t="s">
        <v>981</v>
      </c>
      <c r="F327" s="17" t="s">
        <v>54</v>
      </c>
      <c r="G327" s="17" t="s">
        <v>161</v>
      </c>
      <c r="H327" s="17" t="s">
        <v>54</v>
      </c>
      <c r="I327" s="17" t="s">
        <v>978</v>
      </c>
      <c r="J327" s="17" t="s">
        <v>54</v>
      </c>
      <c r="K327" s="17" t="s">
        <v>54</v>
      </c>
      <c r="L327" s="17" t="s">
        <v>457</v>
      </c>
      <c r="M327" s="17" t="s">
        <v>743</v>
      </c>
      <c r="N327" s="21" t="s">
        <v>54</v>
      </c>
      <c r="O327" s="22" t="s">
        <v>54</v>
      </c>
      <c r="P327" s="21" t="s">
        <v>54</v>
      </c>
    </row>
    <row r="328" ht="39" customHeight="1" spans="1:16">
      <c r="A328" s="17" t="s">
        <v>982</v>
      </c>
      <c r="B328" s="17" t="s">
        <v>211</v>
      </c>
      <c r="C328" s="17" t="s">
        <v>739</v>
      </c>
      <c r="D328" s="17" t="s">
        <v>983</v>
      </c>
      <c r="E328" s="17" t="s">
        <v>984</v>
      </c>
      <c r="F328" s="17" t="s">
        <v>54</v>
      </c>
      <c r="G328" s="17" t="s">
        <v>161</v>
      </c>
      <c r="H328" s="17" t="s">
        <v>54</v>
      </c>
      <c r="I328" s="17" t="s">
        <v>978</v>
      </c>
      <c r="J328" s="17" t="s">
        <v>54</v>
      </c>
      <c r="K328" s="17" t="s">
        <v>54</v>
      </c>
      <c r="L328" s="17" t="s">
        <v>457</v>
      </c>
      <c r="M328" s="17" t="s">
        <v>743</v>
      </c>
      <c r="N328" s="21" t="s">
        <v>54</v>
      </c>
      <c r="O328" s="22" t="s">
        <v>54</v>
      </c>
      <c r="P328" s="21" t="s">
        <v>54</v>
      </c>
    </row>
    <row r="329" ht="39" customHeight="1" spans="1:16">
      <c r="A329" s="17" t="s">
        <v>985</v>
      </c>
      <c r="B329" s="17" t="s">
        <v>213</v>
      </c>
      <c r="C329" s="17" t="s">
        <v>739</v>
      </c>
      <c r="D329" s="17" t="s">
        <v>986</v>
      </c>
      <c r="E329" s="17" t="s">
        <v>987</v>
      </c>
      <c r="F329" s="17" t="s">
        <v>54</v>
      </c>
      <c r="G329" s="17" t="s">
        <v>161</v>
      </c>
      <c r="H329" s="17" t="s">
        <v>54</v>
      </c>
      <c r="I329" s="17" t="s">
        <v>988</v>
      </c>
      <c r="J329" s="17" t="s">
        <v>54</v>
      </c>
      <c r="K329" s="17" t="s">
        <v>54</v>
      </c>
      <c r="L329" s="17" t="s">
        <v>457</v>
      </c>
      <c r="M329" s="17" t="s">
        <v>743</v>
      </c>
      <c r="N329" s="21" t="s">
        <v>54</v>
      </c>
      <c r="O329" s="22" t="s">
        <v>54</v>
      </c>
      <c r="P329" s="21" t="s">
        <v>54</v>
      </c>
    </row>
    <row r="330" ht="39" customHeight="1" spans="1:16">
      <c r="A330" s="17" t="s">
        <v>989</v>
      </c>
      <c r="B330" s="17" t="s">
        <v>213</v>
      </c>
      <c r="C330" s="17" t="s">
        <v>739</v>
      </c>
      <c r="D330" s="17" t="s">
        <v>990</v>
      </c>
      <c r="E330" s="17" t="s">
        <v>991</v>
      </c>
      <c r="F330" s="17" t="s">
        <v>54</v>
      </c>
      <c r="G330" s="17" t="s">
        <v>161</v>
      </c>
      <c r="H330" s="17" t="s">
        <v>54</v>
      </c>
      <c r="I330" s="17" t="s">
        <v>988</v>
      </c>
      <c r="J330" s="17" t="s">
        <v>54</v>
      </c>
      <c r="K330" s="17" t="s">
        <v>54</v>
      </c>
      <c r="L330" s="17" t="s">
        <v>457</v>
      </c>
      <c r="M330" s="17" t="s">
        <v>743</v>
      </c>
      <c r="N330" s="21" t="s">
        <v>54</v>
      </c>
      <c r="O330" s="22" t="s">
        <v>54</v>
      </c>
      <c r="P330" s="21" t="s">
        <v>54</v>
      </c>
    </row>
    <row r="331" ht="39" customHeight="1" spans="1:16">
      <c r="A331" s="17" t="s">
        <v>992</v>
      </c>
      <c r="B331" s="17" t="s">
        <v>213</v>
      </c>
      <c r="C331" s="17" t="s">
        <v>739</v>
      </c>
      <c r="D331" s="17" t="s">
        <v>993</v>
      </c>
      <c r="E331" s="17" t="s">
        <v>994</v>
      </c>
      <c r="F331" s="17" t="s">
        <v>54</v>
      </c>
      <c r="G331" s="17" t="s">
        <v>161</v>
      </c>
      <c r="H331" s="17" t="s">
        <v>54</v>
      </c>
      <c r="I331" s="17" t="s">
        <v>988</v>
      </c>
      <c r="J331" s="17" t="s">
        <v>54</v>
      </c>
      <c r="K331" s="17" t="s">
        <v>54</v>
      </c>
      <c r="L331" s="17" t="s">
        <v>457</v>
      </c>
      <c r="M331" s="17" t="s">
        <v>743</v>
      </c>
      <c r="N331" s="21" t="s">
        <v>54</v>
      </c>
      <c r="O331" s="22" t="s">
        <v>54</v>
      </c>
      <c r="P331" s="21" t="s">
        <v>54</v>
      </c>
    </row>
    <row r="332" ht="52" customHeight="1" spans="1:16">
      <c r="A332" s="17" t="s">
        <v>995</v>
      </c>
      <c r="B332" s="17" t="s">
        <v>216</v>
      </c>
      <c r="C332" s="17" t="s">
        <v>739</v>
      </c>
      <c r="D332" s="17" t="s">
        <v>996</v>
      </c>
      <c r="E332" s="17" t="s">
        <v>997</v>
      </c>
      <c r="F332" s="17" t="s">
        <v>54</v>
      </c>
      <c r="G332" s="17" t="s">
        <v>161</v>
      </c>
      <c r="H332" s="17" t="s">
        <v>54</v>
      </c>
      <c r="I332" s="17" t="s">
        <v>998</v>
      </c>
      <c r="J332" s="17" t="s">
        <v>54</v>
      </c>
      <c r="K332" s="17" t="s">
        <v>54</v>
      </c>
      <c r="L332" s="17" t="s">
        <v>457</v>
      </c>
      <c r="M332" s="17" t="s">
        <v>743</v>
      </c>
      <c r="N332" s="21" t="s">
        <v>54</v>
      </c>
      <c r="O332" s="22" t="s">
        <v>54</v>
      </c>
      <c r="P332" s="21" t="s">
        <v>54</v>
      </c>
    </row>
    <row r="333" ht="52" customHeight="1" spans="1:16">
      <c r="A333" s="17" t="s">
        <v>999</v>
      </c>
      <c r="B333" s="17" t="s">
        <v>216</v>
      </c>
      <c r="C333" s="17" t="s">
        <v>739</v>
      </c>
      <c r="D333" s="17" t="s">
        <v>1000</v>
      </c>
      <c r="E333" s="17" t="s">
        <v>1001</v>
      </c>
      <c r="F333" s="17" t="s">
        <v>54</v>
      </c>
      <c r="G333" s="17" t="s">
        <v>161</v>
      </c>
      <c r="H333" s="17" t="s">
        <v>54</v>
      </c>
      <c r="I333" s="17" t="s">
        <v>998</v>
      </c>
      <c r="J333" s="17" t="s">
        <v>54</v>
      </c>
      <c r="K333" s="17" t="s">
        <v>54</v>
      </c>
      <c r="L333" s="17" t="s">
        <v>457</v>
      </c>
      <c r="M333" s="17" t="s">
        <v>743</v>
      </c>
      <c r="N333" s="21" t="s">
        <v>54</v>
      </c>
      <c r="O333" s="22" t="s">
        <v>54</v>
      </c>
      <c r="P333" s="21" t="s">
        <v>54</v>
      </c>
    </row>
    <row r="334" ht="52" customHeight="1" spans="1:16">
      <c r="A334" s="17" t="s">
        <v>1002</v>
      </c>
      <c r="B334" s="17" t="s">
        <v>216</v>
      </c>
      <c r="C334" s="17" t="s">
        <v>739</v>
      </c>
      <c r="D334" s="17" t="s">
        <v>1003</v>
      </c>
      <c r="E334" s="17" t="s">
        <v>1004</v>
      </c>
      <c r="F334" s="17" t="s">
        <v>54</v>
      </c>
      <c r="G334" s="17" t="s">
        <v>161</v>
      </c>
      <c r="H334" s="17" t="s">
        <v>54</v>
      </c>
      <c r="I334" s="17" t="s">
        <v>998</v>
      </c>
      <c r="J334" s="17" t="s">
        <v>54</v>
      </c>
      <c r="K334" s="17" t="s">
        <v>54</v>
      </c>
      <c r="L334" s="17" t="s">
        <v>457</v>
      </c>
      <c r="M334" s="17" t="s">
        <v>743</v>
      </c>
      <c r="N334" s="21" t="s">
        <v>54</v>
      </c>
      <c r="O334" s="22" t="s">
        <v>54</v>
      </c>
      <c r="P334" s="21" t="s">
        <v>54</v>
      </c>
    </row>
    <row r="335" ht="39" customHeight="1" spans="1:16">
      <c r="A335" s="17" t="s">
        <v>1005</v>
      </c>
      <c r="B335" s="17" t="s">
        <v>218</v>
      </c>
      <c r="C335" s="17" t="s">
        <v>739</v>
      </c>
      <c r="D335" s="17" t="s">
        <v>1006</v>
      </c>
      <c r="E335" s="17" t="s">
        <v>1007</v>
      </c>
      <c r="F335" s="17" t="s">
        <v>54</v>
      </c>
      <c r="G335" s="17" t="s">
        <v>161</v>
      </c>
      <c r="H335" s="17" t="s">
        <v>54</v>
      </c>
      <c r="I335" s="17" t="s">
        <v>1008</v>
      </c>
      <c r="J335" s="17" t="s">
        <v>54</v>
      </c>
      <c r="K335" s="17" t="s">
        <v>54</v>
      </c>
      <c r="L335" s="17" t="s">
        <v>457</v>
      </c>
      <c r="M335" s="17" t="s">
        <v>743</v>
      </c>
      <c r="N335" s="21" t="s">
        <v>54</v>
      </c>
      <c r="O335" s="22" t="s">
        <v>54</v>
      </c>
      <c r="P335" s="21" t="s">
        <v>54</v>
      </c>
    </row>
    <row r="336" ht="39" customHeight="1" spans="1:16">
      <c r="A336" s="17" t="s">
        <v>1009</v>
      </c>
      <c r="B336" s="17" t="s">
        <v>218</v>
      </c>
      <c r="C336" s="17" t="s">
        <v>739</v>
      </c>
      <c r="D336" s="17" t="s">
        <v>1010</v>
      </c>
      <c r="E336" s="17" t="s">
        <v>1011</v>
      </c>
      <c r="F336" s="17" t="s">
        <v>54</v>
      </c>
      <c r="G336" s="17" t="s">
        <v>161</v>
      </c>
      <c r="H336" s="17" t="s">
        <v>54</v>
      </c>
      <c r="I336" s="17" t="s">
        <v>1008</v>
      </c>
      <c r="J336" s="17" t="s">
        <v>54</v>
      </c>
      <c r="K336" s="17" t="s">
        <v>54</v>
      </c>
      <c r="L336" s="17" t="s">
        <v>457</v>
      </c>
      <c r="M336" s="17" t="s">
        <v>743</v>
      </c>
      <c r="N336" s="21" t="s">
        <v>54</v>
      </c>
      <c r="O336" s="22" t="s">
        <v>54</v>
      </c>
      <c r="P336" s="21" t="s">
        <v>54</v>
      </c>
    </row>
    <row r="337" ht="52" customHeight="1" spans="1:16">
      <c r="A337" s="17" t="s">
        <v>1012</v>
      </c>
      <c r="B337" s="17" t="s">
        <v>218</v>
      </c>
      <c r="C337" s="17" t="s">
        <v>739</v>
      </c>
      <c r="D337" s="17" t="s">
        <v>1013</v>
      </c>
      <c r="E337" s="17" t="s">
        <v>1014</v>
      </c>
      <c r="F337" s="17" t="s">
        <v>54</v>
      </c>
      <c r="G337" s="17" t="s">
        <v>161</v>
      </c>
      <c r="H337" s="17" t="s">
        <v>54</v>
      </c>
      <c r="I337" s="17" t="s">
        <v>1008</v>
      </c>
      <c r="J337" s="17" t="s">
        <v>54</v>
      </c>
      <c r="K337" s="17" t="s">
        <v>54</v>
      </c>
      <c r="L337" s="17" t="s">
        <v>457</v>
      </c>
      <c r="M337" s="17" t="s">
        <v>743</v>
      </c>
      <c r="N337" s="21" t="s">
        <v>54</v>
      </c>
      <c r="O337" s="22" t="s">
        <v>54</v>
      </c>
      <c r="P337" s="21" t="s">
        <v>54</v>
      </c>
    </row>
    <row r="338" ht="52" customHeight="1" spans="1:16">
      <c r="A338" s="17" t="s">
        <v>1015</v>
      </c>
      <c r="B338" s="17" t="s">
        <v>221</v>
      </c>
      <c r="C338" s="17" t="s">
        <v>739</v>
      </c>
      <c r="D338" s="17" t="s">
        <v>1016</v>
      </c>
      <c r="E338" s="17" t="s">
        <v>1017</v>
      </c>
      <c r="F338" s="17" t="s">
        <v>54</v>
      </c>
      <c r="G338" s="17" t="s">
        <v>161</v>
      </c>
      <c r="H338" s="17" t="s">
        <v>54</v>
      </c>
      <c r="I338" s="17" t="s">
        <v>1018</v>
      </c>
      <c r="J338" s="17" t="s">
        <v>54</v>
      </c>
      <c r="K338" s="17" t="s">
        <v>54</v>
      </c>
      <c r="L338" s="17" t="s">
        <v>457</v>
      </c>
      <c r="M338" s="17" t="s">
        <v>743</v>
      </c>
      <c r="N338" s="21" t="s">
        <v>54</v>
      </c>
      <c r="O338" s="22" t="s">
        <v>54</v>
      </c>
      <c r="P338" s="21" t="s">
        <v>54</v>
      </c>
    </row>
    <row r="339" ht="78" customHeight="1" spans="1:16">
      <c r="A339" s="17" t="s">
        <v>1019</v>
      </c>
      <c r="B339" s="17" t="s">
        <v>221</v>
      </c>
      <c r="C339" s="17" t="s">
        <v>739</v>
      </c>
      <c r="D339" s="17" t="s">
        <v>1020</v>
      </c>
      <c r="E339" s="17" t="s">
        <v>1021</v>
      </c>
      <c r="F339" s="17" t="s">
        <v>54</v>
      </c>
      <c r="G339" s="17" t="s">
        <v>161</v>
      </c>
      <c r="H339" s="17" t="s">
        <v>54</v>
      </c>
      <c r="I339" s="17" t="s">
        <v>1018</v>
      </c>
      <c r="J339" s="17" t="s">
        <v>54</v>
      </c>
      <c r="K339" s="17" t="s">
        <v>54</v>
      </c>
      <c r="L339" s="17" t="s">
        <v>457</v>
      </c>
      <c r="M339" s="17" t="s">
        <v>743</v>
      </c>
      <c r="N339" s="21" t="s">
        <v>54</v>
      </c>
      <c r="O339" s="22" t="s">
        <v>54</v>
      </c>
      <c r="P339" s="21" t="s">
        <v>54</v>
      </c>
    </row>
    <row r="340" ht="52" customHeight="1" spans="1:16">
      <c r="A340" s="17" t="s">
        <v>1022</v>
      </c>
      <c r="B340" s="17" t="s">
        <v>221</v>
      </c>
      <c r="C340" s="17" t="s">
        <v>739</v>
      </c>
      <c r="D340" s="17" t="s">
        <v>1023</v>
      </c>
      <c r="E340" s="17" t="s">
        <v>1024</v>
      </c>
      <c r="F340" s="17" t="s">
        <v>54</v>
      </c>
      <c r="G340" s="17" t="s">
        <v>161</v>
      </c>
      <c r="H340" s="17" t="s">
        <v>54</v>
      </c>
      <c r="I340" s="17" t="s">
        <v>1018</v>
      </c>
      <c r="J340" s="17" t="s">
        <v>54</v>
      </c>
      <c r="K340" s="17" t="s">
        <v>54</v>
      </c>
      <c r="L340" s="17" t="s">
        <v>457</v>
      </c>
      <c r="M340" s="17" t="s">
        <v>743</v>
      </c>
      <c r="N340" s="21" t="s">
        <v>54</v>
      </c>
      <c r="O340" s="22" t="s">
        <v>54</v>
      </c>
      <c r="P340" s="21" t="s">
        <v>54</v>
      </c>
    </row>
    <row r="341" ht="52" customHeight="1" spans="1:16">
      <c r="A341" s="17" t="s">
        <v>1025</v>
      </c>
      <c r="B341" s="17" t="s">
        <v>221</v>
      </c>
      <c r="C341" s="17" t="s">
        <v>739</v>
      </c>
      <c r="D341" s="17" t="s">
        <v>1026</v>
      </c>
      <c r="E341" s="17" t="s">
        <v>1027</v>
      </c>
      <c r="F341" s="17" t="s">
        <v>54</v>
      </c>
      <c r="G341" s="17" t="s">
        <v>161</v>
      </c>
      <c r="H341" s="17" t="s">
        <v>54</v>
      </c>
      <c r="I341" s="17" t="s">
        <v>1018</v>
      </c>
      <c r="J341" s="17" t="s">
        <v>54</v>
      </c>
      <c r="K341" s="17" t="s">
        <v>54</v>
      </c>
      <c r="L341" s="17" t="s">
        <v>457</v>
      </c>
      <c r="M341" s="17" t="s">
        <v>743</v>
      </c>
      <c r="N341" s="21" t="s">
        <v>54</v>
      </c>
      <c r="O341" s="22" t="s">
        <v>54</v>
      </c>
      <c r="P341" s="21" t="s">
        <v>54</v>
      </c>
    </row>
    <row r="342" ht="52" customHeight="1" spans="1:16">
      <c r="A342" s="17" t="s">
        <v>1028</v>
      </c>
      <c r="B342" s="17" t="s">
        <v>223</v>
      </c>
      <c r="C342" s="17" t="s">
        <v>739</v>
      </c>
      <c r="D342" s="17" t="s">
        <v>1029</v>
      </c>
      <c r="E342" s="17" t="s">
        <v>1030</v>
      </c>
      <c r="F342" s="17" t="s">
        <v>54</v>
      </c>
      <c r="G342" s="17" t="s">
        <v>161</v>
      </c>
      <c r="H342" s="17" t="s">
        <v>54</v>
      </c>
      <c r="I342" s="17" t="s">
        <v>1031</v>
      </c>
      <c r="J342" s="17" t="s">
        <v>54</v>
      </c>
      <c r="K342" s="17" t="s">
        <v>54</v>
      </c>
      <c r="L342" s="17" t="s">
        <v>457</v>
      </c>
      <c r="M342" s="17" t="s">
        <v>743</v>
      </c>
      <c r="N342" s="21" t="s">
        <v>54</v>
      </c>
      <c r="O342" s="22" t="s">
        <v>54</v>
      </c>
      <c r="P342" s="21" t="s">
        <v>54</v>
      </c>
    </row>
    <row r="343" ht="52" customHeight="1" spans="1:16">
      <c r="A343" s="17" t="s">
        <v>1032</v>
      </c>
      <c r="B343" s="17" t="s">
        <v>223</v>
      </c>
      <c r="C343" s="17" t="s">
        <v>739</v>
      </c>
      <c r="D343" s="17" t="s">
        <v>1033</v>
      </c>
      <c r="E343" s="17" t="s">
        <v>1034</v>
      </c>
      <c r="F343" s="17" t="s">
        <v>54</v>
      </c>
      <c r="G343" s="17" t="s">
        <v>161</v>
      </c>
      <c r="H343" s="17" t="s">
        <v>54</v>
      </c>
      <c r="I343" s="17" t="s">
        <v>1031</v>
      </c>
      <c r="J343" s="17" t="s">
        <v>54</v>
      </c>
      <c r="K343" s="17" t="s">
        <v>54</v>
      </c>
      <c r="L343" s="17" t="s">
        <v>457</v>
      </c>
      <c r="M343" s="17" t="s">
        <v>743</v>
      </c>
      <c r="N343" s="21" t="s">
        <v>54</v>
      </c>
      <c r="O343" s="22" t="s">
        <v>54</v>
      </c>
      <c r="P343" s="21" t="s">
        <v>54</v>
      </c>
    </row>
    <row r="344" ht="39" customHeight="1" spans="1:16">
      <c r="A344" s="17" t="s">
        <v>1035</v>
      </c>
      <c r="B344" s="17" t="s">
        <v>223</v>
      </c>
      <c r="C344" s="17" t="s">
        <v>739</v>
      </c>
      <c r="D344" s="17" t="s">
        <v>1036</v>
      </c>
      <c r="E344" s="17" t="s">
        <v>1037</v>
      </c>
      <c r="F344" s="17" t="s">
        <v>54</v>
      </c>
      <c r="G344" s="17" t="s">
        <v>161</v>
      </c>
      <c r="H344" s="17" t="s">
        <v>54</v>
      </c>
      <c r="I344" s="17" t="s">
        <v>1031</v>
      </c>
      <c r="J344" s="17" t="s">
        <v>54</v>
      </c>
      <c r="K344" s="17" t="s">
        <v>54</v>
      </c>
      <c r="L344" s="17" t="s">
        <v>457</v>
      </c>
      <c r="M344" s="17" t="s">
        <v>743</v>
      </c>
      <c r="N344" s="21" t="s">
        <v>54</v>
      </c>
      <c r="O344" s="22" t="s">
        <v>54</v>
      </c>
      <c r="P344" s="21" t="s">
        <v>54</v>
      </c>
    </row>
    <row r="345" ht="52" customHeight="1" spans="1:16">
      <c r="A345" s="17" t="s">
        <v>1038</v>
      </c>
      <c r="B345" s="17" t="s">
        <v>226</v>
      </c>
      <c r="C345" s="17" t="s">
        <v>739</v>
      </c>
      <c r="D345" s="17" t="s">
        <v>1039</v>
      </c>
      <c r="E345" s="17" t="s">
        <v>1040</v>
      </c>
      <c r="F345" s="17" t="s">
        <v>54</v>
      </c>
      <c r="G345" s="17" t="s">
        <v>161</v>
      </c>
      <c r="H345" s="17" t="s">
        <v>54</v>
      </c>
      <c r="I345" s="17" t="s">
        <v>1041</v>
      </c>
      <c r="J345" s="17" t="s">
        <v>54</v>
      </c>
      <c r="K345" s="17" t="s">
        <v>54</v>
      </c>
      <c r="L345" s="17" t="s">
        <v>457</v>
      </c>
      <c r="M345" s="17" t="s">
        <v>743</v>
      </c>
      <c r="N345" s="21" t="s">
        <v>54</v>
      </c>
      <c r="O345" s="22" t="s">
        <v>54</v>
      </c>
      <c r="P345" s="21" t="s">
        <v>54</v>
      </c>
    </row>
    <row r="346" ht="39" customHeight="1" spans="1:16">
      <c r="A346" s="17" t="s">
        <v>1042</v>
      </c>
      <c r="B346" s="17" t="s">
        <v>226</v>
      </c>
      <c r="C346" s="17" t="s">
        <v>739</v>
      </c>
      <c r="D346" s="17" t="s">
        <v>1043</v>
      </c>
      <c r="E346" s="17" t="s">
        <v>1044</v>
      </c>
      <c r="F346" s="17" t="s">
        <v>54</v>
      </c>
      <c r="G346" s="17" t="s">
        <v>161</v>
      </c>
      <c r="H346" s="17" t="s">
        <v>54</v>
      </c>
      <c r="I346" s="17" t="s">
        <v>1041</v>
      </c>
      <c r="J346" s="17" t="s">
        <v>54</v>
      </c>
      <c r="K346" s="17" t="s">
        <v>54</v>
      </c>
      <c r="L346" s="17" t="s">
        <v>457</v>
      </c>
      <c r="M346" s="17" t="s">
        <v>743</v>
      </c>
      <c r="N346" s="21" t="s">
        <v>54</v>
      </c>
      <c r="O346" s="22" t="s">
        <v>54</v>
      </c>
      <c r="P346" s="21" t="s">
        <v>54</v>
      </c>
    </row>
    <row r="347" ht="52" customHeight="1" spans="1:16">
      <c r="A347" s="17" t="s">
        <v>1045</v>
      </c>
      <c r="B347" s="17" t="s">
        <v>226</v>
      </c>
      <c r="C347" s="17" t="s">
        <v>739</v>
      </c>
      <c r="D347" s="17" t="s">
        <v>1046</v>
      </c>
      <c r="E347" s="17" t="s">
        <v>1047</v>
      </c>
      <c r="F347" s="17" t="s">
        <v>54</v>
      </c>
      <c r="G347" s="17" t="s">
        <v>161</v>
      </c>
      <c r="H347" s="17" t="s">
        <v>54</v>
      </c>
      <c r="I347" s="17" t="s">
        <v>1041</v>
      </c>
      <c r="J347" s="17" t="s">
        <v>54</v>
      </c>
      <c r="K347" s="17" t="s">
        <v>54</v>
      </c>
      <c r="L347" s="17" t="s">
        <v>457</v>
      </c>
      <c r="M347" s="17" t="s">
        <v>743</v>
      </c>
      <c r="N347" s="21" t="s">
        <v>54</v>
      </c>
      <c r="O347" s="22" t="s">
        <v>54</v>
      </c>
      <c r="P347" s="21" t="s">
        <v>54</v>
      </c>
    </row>
    <row r="348" ht="52" customHeight="1" spans="1:16">
      <c r="A348" s="17" t="s">
        <v>1048</v>
      </c>
      <c r="B348" s="17" t="s">
        <v>228</v>
      </c>
      <c r="C348" s="17" t="s">
        <v>739</v>
      </c>
      <c r="D348" s="17" t="s">
        <v>1049</v>
      </c>
      <c r="E348" s="17" t="s">
        <v>1050</v>
      </c>
      <c r="F348" s="17" t="s">
        <v>54</v>
      </c>
      <c r="G348" s="17" t="s">
        <v>161</v>
      </c>
      <c r="H348" s="17" t="s">
        <v>54</v>
      </c>
      <c r="I348" s="17" t="s">
        <v>1051</v>
      </c>
      <c r="J348" s="17" t="s">
        <v>54</v>
      </c>
      <c r="K348" s="17" t="s">
        <v>54</v>
      </c>
      <c r="L348" s="17" t="s">
        <v>457</v>
      </c>
      <c r="M348" s="17" t="s">
        <v>743</v>
      </c>
      <c r="N348" s="21" t="s">
        <v>54</v>
      </c>
      <c r="O348" s="22" t="s">
        <v>54</v>
      </c>
      <c r="P348" s="21" t="s">
        <v>54</v>
      </c>
    </row>
    <row r="349" ht="39" customHeight="1" spans="1:16">
      <c r="A349" s="17" t="s">
        <v>1052</v>
      </c>
      <c r="B349" s="17" t="s">
        <v>228</v>
      </c>
      <c r="C349" s="17" t="s">
        <v>739</v>
      </c>
      <c r="D349" s="17" t="s">
        <v>1053</v>
      </c>
      <c r="E349" s="17" t="s">
        <v>1054</v>
      </c>
      <c r="F349" s="17" t="s">
        <v>54</v>
      </c>
      <c r="G349" s="17" t="s">
        <v>161</v>
      </c>
      <c r="H349" s="17" t="s">
        <v>54</v>
      </c>
      <c r="I349" s="17" t="s">
        <v>1051</v>
      </c>
      <c r="J349" s="17" t="s">
        <v>54</v>
      </c>
      <c r="K349" s="17" t="s">
        <v>54</v>
      </c>
      <c r="L349" s="17" t="s">
        <v>457</v>
      </c>
      <c r="M349" s="17" t="s">
        <v>743</v>
      </c>
      <c r="N349" s="21" t="s">
        <v>54</v>
      </c>
      <c r="O349" s="22" t="s">
        <v>54</v>
      </c>
      <c r="P349" s="21" t="s">
        <v>54</v>
      </c>
    </row>
    <row r="350" ht="39" customHeight="1" spans="1:16">
      <c r="A350" s="17" t="s">
        <v>1055</v>
      </c>
      <c r="B350" s="17" t="s">
        <v>228</v>
      </c>
      <c r="C350" s="17" t="s">
        <v>739</v>
      </c>
      <c r="D350" s="17" t="s">
        <v>1056</v>
      </c>
      <c r="E350" s="17" t="s">
        <v>1057</v>
      </c>
      <c r="F350" s="17" t="s">
        <v>54</v>
      </c>
      <c r="G350" s="17" t="s">
        <v>161</v>
      </c>
      <c r="H350" s="17" t="s">
        <v>54</v>
      </c>
      <c r="I350" s="17" t="s">
        <v>1051</v>
      </c>
      <c r="J350" s="17" t="s">
        <v>54</v>
      </c>
      <c r="K350" s="17" t="s">
        <v>54</v>
      </c>
      <c r="L350" s="17" t="s">
        <v>457</v>
      </c>
      <c r="M350" s="17" t="s">
        <v>743</v>
      </c>
      <c r="N350" s="21" t="s">
        <v>54</v>
      </c>
      <c r="O350" s="22" t="s">
        <v>54</v>
      </c>
      <c r="P350" s="21" t="s">
        <v>54</v>
      </c>
    </row>
    <row r="351" ht="39" customHeight="1" spans="1:16">
      <c r="A351" s="17" t="s">
        <v>1058</v>
      </c>
      <c r="B351" s="17" t="s">
        <v>228</v>
      </c>
      <c r="C351" s="17" t="s">
        <v>739</v>
      </c>
      <c r="D351" s="17" t="s">
        <v>1059</v>
      </c>
      <c r="E351" s="17" t="s">
        <v>1060</v>
      </c>
      <c r="F351" s="17" t="s">
        <v>54</v>
      </c>
      <c r="G351" s="17" t="s">
        <v>161</v>
      </c>
      <c r="H351" s="17" t="s">
        <v>54</v>
      </c>
      <c r="I351" s="17" t="s">
        <v>1051</v>
      </c>
      <c r="J351" s="17" t="s">
        <v>54</v>
      </c>
      <c r="K351" s="17" t="s">
        <v>54</v>
      </c>
      <c r="L351" s="17" t="s">
        <v>457</v>
      </c>
      <c r="M351" s="17" t="s">
        <v>743</v>
      </c>
      <c r="N351" s="21" t="s">
        <v>54</v>
      </c>
      <c r="O351" s="22" t="s">
        <v>54</v>
      </c>
      <c r="P351" s="21" t="s">
        <v>54</v>
      </c>
    </row>
    <row r="352" ht="39" customHeight="1" spans="1:16">
      <c r="A352" s="17" t="s">
        <v>1061</v>
      </c>
      <c r="B352" s="17" t="s">
        <v>231</v>
      </c>
      <c r="C352" s="17" t="s">
        <v>739</v>
      </c>
      <c r="D352" s="17" t="s">
        <v>1062</v>
      </c>
      <c r="E352" s="17" t="s">
        <v>1063</v>
      </c>
      <c r="F352" s="17" t="s">
        <v>54</v>
      </c>
      <c r="G352" s="17" t="s">
        <v>161</v>
      </c>
      <c r="H352" s="17" t="s">
        <v>54</v>
      </c>
      <c r="I352" s="17" t="s">
        <v>1064</v>
      </c>
      <c r="J352" s="17" t="s">
        <v>54</v>
      </c>
      <c r="K352" s="17" t="s">
        <v>54</v>
      </c>
      <c r="L352" s="17" t="s">
        <v>457</v>
      </c>
      <c r="M352" s="17" t="s">
        <v>743</v>
      </c>
      <c r="N352" s="21" t="s">
        <v>54</v>
      </c>
      <c r="O352" s="22" t="s">
        <v>54</v>
      </c>
      <c r="P352" s="21" t="s">
        <v>54</v>
      </c>
    </row>
    <row r="353" ht="52" customHeight="1" spans="1:16">
      <c r="A353" s="17" t="s">
        <v>1065</v>
      </c>
      <c r="B353" s="17" t="s">
        <v>231</v>
      </c>
      <c r="C353" s="17" t="s">
        <v>739</v>
      </c>
      <c r="D353" s="17" t="s">
        <v>1066</v>
      </c>
      <c r="E353" s="17" t="s">
        <v>1067</v>
      </c>
      <c r="F353" s="17" t="s">
        <v>54</v>
      </c>
      <c r="G353" s="17" t="s">
        <v>161</v>
      </c>
      <c r="H353" s="17" t="s">
        <v>54</v>
      </c>
      <c r="I353" s="17" t="s">
        <v>1064</v>
      </c>
      <c r="J353" s="17" t="s">
        <v>54</v>
      </c>
      <c r="K353" s="17" t="s">
        <v>54</v>
      </c>
      <c r="L353" s="17" t="s">
        <v>457</v>
      </c>
      <c r="M353" s="17" t="s">
        <v>743</v>
      </c>
      <c r="N353" s="21" t="s">
        <v>54</v>
      </c>
      <c r="O353" s="22" t="s">
        <v>54</v>
      </c>
      <c r="P353" s="21" t="s">
        <v>54</v>
      </c>
    </row>
    <row r="354" ht="52" customHeight="1" spans="1:16">
      <c r="A354" s="17" t="s">
        <v>1068</v>
      </c>
      <c r="B354" s="17" t="s">
        <v>231</v>
      </c>
      <c r="C354" s="17" t="s">
        <v>739</v>
      </c>
      <c r="D354" s="17" t="s">
        <v>1069</v>
      </c>
      <c r="E354" s="17" t="s">
        <v>1070</v>
      </c>
      <c r="F354" s="17" t="s">
        <v>54</v>
      </c>
      <c r="G354" s="17" t="s">
        <v>161</v>
      </c>
      <c r="H354" s="17" t="s">
        <v>54</v>
      </c>
      <c r="I354" s="17" t="s">
        <v>1064</v>
      </c>
      <c r="J354" s="17" t="s">
        <v>54</v>
      </c>
      <c r="K354" s="17" t="s">
        <v>54</v>
      </c>
      <c r="L354" s="17" t="s">
        <v>457</v>
      </c>
      <c r="M354" s="17" t="s">
        <v>743</v>
      </c>
      <c r="N354" s="21" t="s">
        <v>54</v>
      </c>
      <c r="O354" s="22" t="s">
        <v>54</v>
      </c>
      <c r="P354" s="21" t="s">
        <v>54</v>
      </c>
    </row>
    <row r="355" ht="39" customHeight="1" spans="1:16">
      <c r="A355" s="17" t="s">
        <v>1071</v>
      </c>
      <c r="B355" s="17" t="s">
        <v>231</v>
      </c>
      <c r="C355" s="17" t="s">
        <v>739</v>
      </c>
      <c r="D355" s="17" t="s">
        <v>1072</v>
      </c>
      <c r="E355" s="17" t="s">
        <v>1073</v>
      </c>
      <c r="F355" s="17" t="s">
        <v>54</v>
      </c>
      <c r="G355" s="17" t="s">
        <v>161</v>
      </c>
      <c r="H355" s="17" t="s">
        <v>54</v>
      </c>
      <c r="I355" s="17" t="s">
        <v>1064</v>
      </c>
      <c r="J355" s="17" t="s">
        <v>54</v>
      </c>
      <c r="K355" s="17" t="s">
        <v>54</v>
      </c>
      <c r="L355" s="17" t="s">
        <v>457</v>
      </c>
      <c r="M355" s="17" t="s">
        <v>743</v>
      </c>
      <c r="N355" s="21" t="s">
        <v>54</v>
      </c>
      <c r="O355" s="22" t="s">
        <v>54</v>
      </c>
      <c r="P355" s="21" t="s">
        <v>54</v>
      </c>
    </row>
    <row r="356" ht="39" customHeight="1" spans="1:16">
      <c r="A356" s="17" t="s">
        <v>1074</v>
      </c>
      <c r="B356" s="17" t="s">
        <v>233</v>
      </c>
      <c r="C356" s="17" t="s">
        <v>739</v>
      </c>
      <c r="D356" s="17" t="s">
        <v>1075</v>
      </c>
      <c r="E356" s="17" t="s">
        <v>1076</v>
      </c>
      <c r="F356" s="17" t="s">
        <v>54</v>
      </c>
      <c r="G356" s="17" t="s">
        <v>161</v>
      </c>
      <c r="H356" s="17" t="s">
        <v>54</v>
      </c>
      <c r="I356" s="17" t="s">
        <v>1077</v>
      </c>
      <c r="J356" s="17" t="s">
        <v>54</v>
      </c>
      <c r="K356" s="17" t="s">
        <v>54</v>
      </c>
      <c r="L356" s="17" t="s">
        <v>457</v>
      </c>
      <c r="M356" s="17" t="s">
        <v>743</v>
      </c>
      <c r="N356" s="21" t="s">
        <v>54</v>
      </c>
      <c r="O356" s="22" t="s">
        <v>54</v>
      </c>
      <c r="P356" s="21" t="s">
        <v>54</v>
      </c>
    </row>
    <row r="357" ht="39" customHeight="1" spans="1:16">
      <c r="A357" s="17" t="s">
        <v>1078</v>
      </c>
      <c r="B357" s="17" t="s">
        <v>233</v>
      </c>
      <c r="C357" s="17" t="s">
        <v>739</v>
      </c>
      <c r="D357" s="17" t="s">
        <v>1079</v>
      </c>
      <c r="E357" s="17" t="s">
        <v>1080</v>
      </c>
      <c r="F357" s="17" t="s">
        <v>54</v>
      </c>
      <c r="G357" s="17" t="s">
        <v>161</v>
      </c>
      <c r="H357" s="17" t="s">
        <v>54</v>
      </c>
      <c r="I357" s="17" t="s">
        <v>1077</v>
      </c>
      <c r="J357" s="17" t="s">
        <v>54</v>
      </c>
      <c r="K357" s="17" t="s">
        <v>54</v>
      </c>
      <c r="L357" s="17" t="s">
        <v>457</v>
      </c>
      <c r="M357" s="17" t="s">
        <v>743</v>
      </c>
      <c r="N357" s="21" t="s">
        <v>54</v>
      </c>
      <c r="O357" s="22" t="s">
        <v>54</v>
      </c>
      <c r="P357" s="21" t="s">
        <v>54</v>
      </c>
    </row>
    <row r="358" ht="39" customHeight="1" spans="1:16">
      <c r="A358" s="17" t="s">
        <v>1081</v>
      </c>
      <c r="B358" s="17" t="s">
        <v>233</v>
      </c>
      <c r="C358" s="17" t="s">
        <v>739</v>
      </c>
      <c r="D358" s="17" t="s">
        <v>1082</v>
      </c>
      <c r="E358" s="17" t="s">
        <v>1083</v>
      </c>
      <c r="F358" s="17" t="s">
        <v>54</v>
      </c>
      <c r="G358" s="17" t="s">
        <v>161</v>
      </c>
      <c r="H358" s="17" t="s">
        <v>54</v>
      </c>
      <c r="I358" s="17" t="s">
        <v>1077</v>
      </c>
      <c r="J358" s="17" t="s">
        <v>54</v>
      </c>
      <c r="K358" s="17" t="s">
        <v>54</v>
      </c>
      <c r="L358" s="17" t="s">
        <v>457</v>
      </c>
      <c r="M358" s="17" t="s">
        <v>743</v>
      </c>
      <c r="N358" s="21" t="s">
        <v>54</v>
      </c>
      <c r="O358" s="22" t="s">
        <v>54</v>
      </c>
      <c r="P358" s="21" t="s">
        <v>54</v>
      </c>
    </row>
    <row r="359" ht="39" customHeight="1" spans="1:16">
      <c r="A359" s="17" t="s">
        <v>1084</v>
      </c>
      <c r="B359" s="17" t="s">
        <v>236</v>
      </c>
      <c r="C359" s="17" t="s">
        <v>739</v>
      </c>
      <c r="D359" s="17" t="s">
        <v>1085</v>
      </c>
      <c r="E359" s="17" t="s">
        <v>1086</v>
      </c>
      <c r="F359" s="17" t="s">
        <v>54</v>
      </c>
      <c r="G359" s="17" t="s">
        <v>161</v>
      </c>
      <c r="H359" s="17" t="s">
        <v>54</v>
      </c>
      <c r="I359" s="17" t="s">
        <v>906</v>
      </c>
      <c r="J359" s="17" t="s">
        <v>54</v>
      </c>
      <c r="K359" s="17" t="s">
        <v>54</v>
      </c>
      <c r="L359" s="17" t="s">
        <v>457</v>
      </c>
      <c r="M359" s="17" t="s">
        <v>743</v>
      </c>
      <c r="N359" s="21" t="s">
        <v>54</v>
      </c>
      <c r="O359" s="22" t="s">
        <v>54</v>
      </c>
      <c r="P359" s="21" t="s">
        <v>54</v>
      </c>
    </row>
    <row r="360" ht="52" customHeight="1" spans="1:16">
      <c r="A360" s="17" t="s">
        <v>1087</v>
      </c>
      <c r="B360" s="17" t="s">
        <v>236</v>
      </c>
      <c r="C360" s="17" t="s">
        <v>739</v>
      </c>
      <c r="D360" s="17" t="s">
        <v>1088</v>
      </c>
      <c r="E360" s="17" t="s">
        <v>1089</v>
      </c>
      <c r="F360" s="17" t="s">
        <v>54</v>
      </c>
      <c r="G360" s="17" t="s">
        <v>161</v>
      </c>
      <c r="H360" s="17" t="s">
        <v>54</v>
      </c>
      <c r="I360" s="17" t="s">
        <v>906</v>
      </c>
      <c r="J360" s="17" t="s">
        <v>54</v>
      </c>
      <c r="K360" s="17" t="s">
        <v>54</v>
      </c>
      <c r="L360" s="17" t="s">
        <v>457</v>
      </c>
      <c r="M360" s="17" t="s">
        <v>743</v>
      </c>
      <c r="N360" s="21" t="s">
        <v>54</v>
      </c>
      <c r="O360" s="22" t="s">
        <v>54</v>
      </c>
      <c r="P360" s="21" t="s">
        <v>54</v>
      </c>
    </row>
    <row r="361" ht="39" customHeight="1" spans="1:16">
      <c r="A361" s="17" t="s">
        <v>1090</v>
      </c>
      <c r="B361" s="17" t="s">
        <v>236</v>
      </c>
      <c r="C361" s="17" t="s">
        <v>739</v>
      </c>
      <c r="D361" s="17" t="s">
        <v>1091</v>
      </c>
      <c r="E361" s="17" t="s">
        <v>1092</v>
      </c>
      <c r="F361" s="17" t="s">
        <v>54</v>
      </c>
      <c r="G361" s="17" t="s">
        <v>161</v>
      </c>
      <c r="H361" s="17" t="s">
        <v>54</v>
      </c>
      <c r="I361" s="17" t="s">
        <v>906</v>
      </c>
      <c r="J361" s="17" t="s">
        <v>54</v>
      </c>
      <c r="K361" s="17" t="s">
        <v>54</v>
      </c>
      <c r="L361" s="17" t="s">
        <v>457</v>
      </c>
      <c r="M361" s="17" t="s">
        <v>743</v>
      </c>
      <c r="N361" s="21" t="s">
        <v>54</v>
      </c>
      <c r="O361" s="22" t="s">
        <v>54</v>
      </c>
      <c r="P361" s="21" t="s">
        <v>54</v>
      </c>
    </row>
    <row r="362" ht="39" customHeight="1" spans="1:16">
      <c r="A362" s="17" t="s">
        <v>1093</v>
      </c>
      <c r="B362" s="17" t="s">
        <v>236</v>
      </c>
      <c r="C362" s="17" t="s">
        <v>739</v>
      </c>
      <c r="D362" s="17" t="s">
        <v>1094</v>
      </c>
      <c r="E362" s="17" t="s">
        <v>1095</v>
      </c>
      <c r="F362" s="17" t="s">
        <v>54</v>
      </c>
      <c r="G362" s="17" t="s">
        <v>161</v>
      </c>
      <c r="H362" s="17" t="s">
        <v>54</v>
      </c>
      <c r="I362" s="17" t="s">
        <v>906</v>
      </c>
      <c r="J362" s="17" t="s">
        <v>54</v>
      </c>
      <c r="K362" s="17" t="s">
        <v>54</v>
      </c>
      <c r="L362" s="17" t="s">
        <v>457</v>
      </c>
      <c r="M362" s="17" t="s">
        <v>743</v>
      </c>
      <c r="N362" s="21" t="s">
        <v>54</v>
      </c>
      <c r="O362" s="22" t="s">
        <v>54</v>
      </c>
      <c r="P362" s="21" t="s">
        <v>54</v>
      </c>
    </row>
    <row r="363" ht="52" customHeight="1" spans="1:16">
      <c r="A363" s="17" t="s">
        <v>1096</v>
      </c>
      <c r="B363" s="17" t="s">
        <v>238</v>
      </c>
      <c r="C363" s="17" t="s">
        <v>739</v>
      </c>
      <c r="D363" s="17" t="s">
        <v>1097</v>
      </c>
      <c r="E363" s="17" t="s">
        <v>1098</v>
      </c>
      <c r="F363" s="17" t="s">
        <v>54</v>
      </c>
      <c r="G363" s="17" t="s">
        <v>161</v>
      </c>
      <c r="H363" s="17" t="s">
        <v>54</v>
      </c>
      <c r="I363" s="17" t="s">
        <v>1099</v>
      </c>
      <c r="J363" s="17" t="s">
        <v>54</v>
      </c>
      <c r="K363" s="17" t="s">
        <v>54</v>
      </c>
      <c r="L363" s="17" t="s">
        <v>457</v>
      </c>
      <c r="M363" s="17" t="s">
        <v>743</v>
      </c>
      <c r="N363" s="21" t="s">
        <v>54</v>
      </c>
      <c r="O363" s="22" t="s">
        <v>54</v>
      </c>
      <c r="P363" s="21" t="s">
        <v>54</v>
      </c>
    </row>
    <row r="364" ht="39" customHeight="1" spans="1:16">
      <c r="A364" s="17" t="s">
        <v>1100</v>
      </c>
      <c r="B364" s="17" t="s">
        <v>238</v>
      </c>
      <c r="C364" s="17" t="s">
        <v>739</v>
      </c>
      <c r="D364" s="17" t="s">
        <v>1101</v>
      </c>
      <c r="E364" s="17" t="s">
        <v>1102</v>
      </c>
      <c r="F364" s="17" t="s">
        <v>54</v>
      </c>
      <c r="G364" s="17" t="s">
        <v>161</v>
      </c>
      <c r="H364" s="17" t="s">
        <v>54</v>
      </c>
      <c r="I364" s="17" t="s">
        <v>1099</v>
      </c>
      <c r="J364" s="17" t="s">
        <v>54</v>
      </c>
      <c r="K364" s="17" t="s">
        <v>54</v>
      </c>
      <c r="L364" s="17" t="s">
        <v>457</v>
      </c>
      <c r="M364" s="17" t="s">
        <v>743</v>
      </c>
      <c r="N364" s="21" t="s">
        <v>54</v>
      </c>
      <c r="O364" s="22" t="s">
        <v>54</v>
      </c>
      <c r="P364" s="21" t="s">
        <v>54</v>
      </c>
    </row>
    <row r="365" ht="39" customHeight="1" spans="1:16">
      <c r="A365" s="17" t="s">
        <v>1103</v>
      </c>
      <c r="B365" s="17" t="s">
        <v>238</v>
      </c>
      <c r="C365" s="17" t="s">
        <v>739</v>
      </c>
      <c r="D365" s="17" t="s">
        <v>1104</v>
      </c>
      <c r="E365" s="17" t="s">
        <v>1105</v>
      </c>
      <c r="F365" s="17" t="s">
        <v>54</v>
      </c>
      <c r="G365" s="17" t="s">
        <v>161</v>
      </c>
      <c r="H365" s="17" t="s">
        <v>54</v>
      </c>
      <c r="I365" s="17" t="s">
        <v>1099</v>
      </c>
      <c r="J365" s="17" t="s">
        <v>54</v>
      </c>
      <c r="K365" s="17" t="s">
        <v>54</v>
      </c>
      <c r="L365" s="17" t="s">
        <v>457</v>
      </c>
      <c r="M365" s="17" t="s">
        <v>743</v>
      </c>
      <c r="N365" s="21" t="s">
        <v>54</v>
      </c>
      <c r="O365" s="22" t="s">
        <v>54</v>
      </c>
      <c r="P365" s="21" t="s">
        <v>54</v>
      </c>
    </row>
    <row r="366" ht="52" customHeight="1" spans="1:16">
      <c r="A366" s="17" t="s">
        <v>1106</v>
      </c>
      <c r="B366" s="17" t="s">
        <v>238</v>
      </c>
      <c r="C366" s="17" t="s">
        <v>739</v>
      </c>
      <c r="D366" s="17" t="s">
        <v>1107</v>
      </c>
      <c r="E366" s="17" t="s">
        <v>1108</v>
      </c>
      <c r="F366" s="17" t="s">
        <v>54</v>
      </c>
      <c r="G366" s="17" t="s">
        <v>161</v>
      </c>
      <c r="H366" s="17" t="s">
        <v>54</v>
      </c>
      <c r="I366" s="17" t="s">
        <v>1099</v>
      </c>
      <c r="J366" s="17" t="s">
        <v>54</v>
      </c>
      <c r="K366" s="17" t="s">
        <v>54</v>
      </c>
      <c r="L366" s="17" t="s">
        <v>457</v>
      </c>
      <c r="M366" s="17" t="s">
        <v>743</v>
      </c>
      <c r="N366" s="21" t="s">
        <v>54</v>
      </c>
      <c r="O366" s="22" t="s">
        <v>54</v>
      </c>
      <c r="P366" s="21" t="s">
        <v>54</v>
      </c>
    </row>
    <row r="367" ht="39" customHeight="1" spans="1:16">
      <c r="A367" s="17" t="s">
        <v>1109</v>
      </c>
      <c r="B367" s="17" t="s">
        <v>241</v>
      </c>
      <c r="C367" s="17" t="s">
        <v>739</v>
      </c>
      <c r="D367" s="17" t="s">
        <v>1110</v>
      </c>
      <c r="E367" s="17" t="s">
        <v>1111</v>
      </c>
      <c r="F367" s="17" t="s">
        <v>54</v>
      </c>
      <c r="G367" s="17" t="s">
        <v>161</v>
      </c>
      <c r="H367" s="17" t="s">
        <v>54</v>
      </c>
      <c r="I367" s="17" t="s">
        <v>1112</v>
      </c>
      <c r="J367" s="17" t="s">
        <v>54</v>
      </c>
      <c r="K367" s="17" t="s">
        <v>54</v>
      </c>
      <c r="L367" s="17" t="s">
        <v>457</v>
      </c>
      <c r="M367" s="17" t="s">
        <v>743</v>
      </c>
      <c r="N367" s="21" t="s">
        <v>54</v>
      </c>
      <c r="O367" s="22" t="s">
        <v>54</v>
      </c>
      <c r="P367" s="21" t="s">
        <v>54</v>
      </c>
    </row>
    <row r="368" ht="39" customHeight="1" spans="1:16">
      <c r="A368" s="17" t="s">
        <v>1113</v>
      </c>
      <c r="B368" s="17" t="s">
        <v>241</v>
      </c>
      <c r="C368" s="17" t="s">
        <v>739</v>
      </c>
      <c r="D368" s="17" t="s">
        <v>1114</v>
      </c>
      <c r="E368" s="17" t="s">
        <v>1115</v>
      </c>
      <c r="F368" s="17" t="s">
        <v>54</v>
      </c>
      <c r="G368" s="17" t="s">
        <v>161</v>
      </c>
      <c r="H368" s="17" t="s">
        <v>54</v>
      </c>
      <c r="I368" s="17" t="s">
        <v>1112</v>
      </c>
      <c r="J368" s="17" t="s">
        <v>54</v>
      </c>
      <c r="K368" s="17" t="s">
        <v>54</v>
      </c>
      <c r="L368" s="17" t="s">
        <v>457</v>
      </c>
      <c r="M368" s="17" t="s">
        <v>743</v>
      </c>
      <c r="N368" s="21" t="s">
        <v>54</v>
      </c>
      <c r="O368" s="22" t="s">
        <v>54</v>
      </c>
      <c r="P368" s="21" t="s">
        <v>54</v>
      </c>
    </row>
    <row r="369" ht="52" customHeight="1" spans="1:16">
      <c r="A369" s="17" t="s">
        <v>1116</v>
      </c>
      <c r="B369" s="17" t="s">
        <v>241</v>
      </c>
      <c r="C369" s="17" t="s">
        <v>739</v>
      </c>
      <c r="D369" s="17" t="s">
        <v>1117</v>
      </c>
      <c r="E369" s="17" t="s">
        <v>1118</v>
      </c>
      <c r="F369" s="17" t="s">
        <v>54</v>
      </c>
      <c r="G369" s="17" t="s">
        <v>161</v>
      </c>
      <c r="H369" s="17" t="s">
        <v>54</v>
      </c>
      <c r="I369" s="17" t="s">
        <v>1112</v>
      </c>
      <c r="J369" s="17" t="s">
        <v>54</v>
      </c>
      <c r="K369" s="17" t="s">
        <v>54</v>
      </c>
      <c r="L369" s="17" t="s">
        <v>457</v>
      </c>
      <c r="M369" s="17" t="s">
        <v>743</v>
      </c>
      <c r="N369" s="21" t="s">
        <v>54</v>
      </c>
      <c r="O369" s="22" t="s">
        <v>54</v>
      </c>
      <c r="P369" s="21" t="s">
        <v>54</v>
      </c>
    </row>
    <row r="370" ht="52" customHeight="1" spans="1:16">
      <c r="A370" s="17" t="s">
        <v>1119</v>
      </c>
      <c r="B370" s="17" t="s">
        <v>241</v>
      </c>
      <c r="C370" s="17" t="s">
        <v>739</v>
      </c>
      <c r="D370" s="17" t="s">
        <v>1120</v>
      </c>
      <c r="E370" s="17" t="s">
        <v>1121</v>
      </c>
      <c r="F370" s="17" t="s">
        <v>54</v>
      </c>
      <c r="G370" s="17" t="s">
        <v>161</v>
      </c>
      <c r="H370" s="17" t="s">
        <v>54</v>
      </c>
      <c r="I370" s="17" t="s">
        <v>1112</v>
      </c>
      <c r="J370" s="17" t="s">
        <v>54</v>
      </c>
      <c r="K370" s="17" t="s">
        <v>54</v>
      </c>
      <c r="L370" s="17" t="s">
        <v>457</v>
      </c>
      <c r="M370" s="17" t="s">
        <v>743</v>
      </c>
      <c r="N370" s="21" t="s">
        <v>54</v>
      </c>
      <c r="O370" s="22" t="s">
        <v>54</v>
      </c>
      <c r="P370" s="21" t="s">
        <v>54</v>
      </c>
    </row>
    <row r="371" ht="39" customHeight="1" spans="1:16">
      <c r="A371" s="17" t="s">
        <v>1122</v>
      </c>
      <c r="B371" s="17" t="s">
        <v>243</v>
      </c>
      <c r="C371" s="17" t="s">
        <v>739</v>
      </c>
      <c r="D371" s="17" t="s">
        <v>1123</v>
      </c>
      <c r="E371" s="17" t="s">
        <v>1124</v>
      </c>
      <c r="F371" s="17" t="s">
        <v>54</v>
      </c>
      <c r="G371" s="17" t="s">
        <v>161</v>
      </c>
      <c r="H371" s="17" t="s">
        <v>54</v>
      </c>
      <c r="I371" s="17" t="s">
        <v>1125</v>
      </c>
      <c r="J371" s="17" t="s">
        <v>54</v>
      </c>
      <c r="K371" s="17" t="s">
        <v>54</v>
      </c>
      <c r="L371" s="17" t="s">
        <v>457</v>
      </c>
      <c r="M371" s="17" t="s">
        <v>743</v>
      </c>
      <c r="N371" s="21" t="s">
        <v>54</v>
      </c>
      <c r="O371" s="22" t="s">
        <v>54</v>
      </c>
      <c r="P371" s="21" t="s">
        <v>54</v>
      </c>
    </row>
    <row r="372" ht="39" customHeight="1" spans="1:16">
      <c r="A372" s="17" t="s">
        <v>1126</v>
      </c>
      <c r="B372" s="17" t="s">
        <v>243</v>
      </c>
      <c r="C372" s="17" t="s">
        <v>739</v>
      </c>
      <c r="D372" s="17" t="s">
        <v>1127</v>
      </c>
      <c r="E372" s="17" t="s">
        <v>1128</v>
      </c>
      <c r="F372" s="17" t="s">
        <v>54</v>
      </c>
      <c r="G372" s="17" t="s">
        <v>161</v>
      </c>
      <c r="H372" s="17" t="s">
        <v>54</v>
      </c>
      <c r="I372" s="17" t="s">
        <v>1125</v>
      </c>
      <c r="J372" s="17" t="s">
        <v>54</v>
      </c>
      <c r="K372" s="17" t="s">
        <v>54</v>
      </c>
      <c r="L372" s="17" t="s">
        <v>457</v>
      </c>
      <c r="M372" s="17" t="s">
        <v>743</v>
      </c>
      <c r="N372" s="21" t="s">
        <v>54</v>
      </c>
      <c r="O372" s="22" t="s">
        <v>54</v>
      </c>
      <c r="P372" s="21" t="s">
        <v>54</v>
      </c>
    </row>
    <row r="373" ht="39" customHeight="1" spans="1:16">
      <c r="A373" s="17" t="s">
        <v>1129</v>
      </c>
      <c r="B373" s="17" t="s">
        <v>243</v>
      </c>
      <c r="C373" s="17" t="s">
        <v>739</v>
      </c>
      <c r="D373" s="17" t="s">
        <v>1130</v>
      </c>
      <c r="E373" s="17" t="s">
        <v>1131</v>
      </c>
      <c r="F373" s="17" t="s">
        <v>54</v>
      </c>
      <c r="G373" s="17" t="s">
        <v>161</v>
      </c>
      <c r="H373" s="17" t="s">
        <v>54</v>
      </c>
      <c r="I373" s="17" t="s">
        <v>1125</v>
      </c>
      <c r="J373" s="17" t="s">
        <v>54</v>
      </c>
      <c r="K373" s="17" t="s">
        <v>54</v>
      </c>
      <c r="L373" s="17" t="s">
        <v>457</v>
      </c>
      <c r="M373" s="17" t="s">
        <v>743</v>
      </c>
      <c r="N373" s="21" t="s">
        <v>54</v>
      </c>
      <c r="O373" s="22" t="s">
        <v>54</v>
      </c>
      <c r="P373" s="21" t="s">
        <v>54</v>
      </c>
    </row>
    <row r="374" ht="39" customHeight="1" spans="1:16">
      <c r="A374" s="17" t="s">
        <v>1132</v>
      </c>
      <c r="B374" s="17" t="s">
        <v>246</v>
      </c>
      <c r="C374" s="17" t="s">
        <v>739</v>
      </c>
      <c r="D374" s="17" t="s">
        <v>1133</v>
      </c>
      <c r="E374" s="17" t="s">
        <v>1134</v>
      </c>
      <c r="F374" s="17" t="s">
        <v>54</v>
      </c>
      <c r="G374" s="17" t="s">
        <v>161</v>
      </c>
      <c r="H374" s="17" t="s">
        <v>54</v>
      </c>
      <c r="I374" s="17" t="s">
        <v>1135</v>
      </c>
      <c r="J374" s="17" t="s">
        <v>54</v>
      </c>
      <c r="K374" s="17" t="s">
        <v>54</v>
      </c>
      <c r="L374" s="17" t="s">
        <v>457</v>
      </c>
      <c r="M374" s="17" t="s">
        <v>743</v>
      </c>
      <c r="N374" s="21" t="s">
        <v>54</v>
      </c>
      <c r="O374" s="22" t="s">
        <v>54</v>
      </c>
      <c r="P374" s="21" t="s">
        <v>54</v>
      </c>
    </row>
    <row r="375" ht="39" customHeight="1" spans="1:16">
      <c r="A375" s="17" t="s">
        <v>1136</v>
      </c>
      <c r="B375" s="17" t="s">
        <v>246</v>
      </c>
      <c r="C375" s="17" t="s">
        <v>739</v>
      </c>
      <c r="D375" s="17" t="s">
        <v>1137</v>
      </c>
      <c r="E375" s="17" t="s">
        <v>1138</v>
      </c>
      <c r="F375" s="17" t="s">
        <v>54</v>
      </c>
      <c r="G375" s="17" t="s">
        <v>161</v>
      </c>
      <c r="H375" s="17" t="s">
        <v>54</v>
      </c>
      <c r="I375" s="17" t="s">
        <v>1135</v>
      </c>
      <c r="J375" s="17" t="s">
        <v>54</v>
      </c>
      <c r="K375" s="17" t="s">
        <v>54</v>
      </c>
      <c r="L375" s="17" t="s">
        <v>457</v>
      </c>
      <c r="M375" s="17" t="s">
        <v>743</v>
      </c>
      <c r="N375" s="21" t="s">
        <v>54</v>
      </c>
      <c r="O375" s="22" t="s">
        <v>54</v>
      </c>
      <c r="P375" s="21" t="s">
        <v>54</v>
      </c>
    </row>
    <row r="376" ht="52" customHeight="1" spans="1:16">
      <c r="A376" s="17" t="s">
        <v>1139</v>
      </c>
      <c r="B376" s="17" t="s">
        <v>246</v>
      </c>
      <c r="C376" s="17" t="s">
        <v>739</v>
      </c>
      <c r="D376" s="17" t="s">
        <v>1140</v>
      </c>
      <c r="E376" s="17" t="s">
        <v>1141</v>
      </c>
      <c r="F376" s="17" t="s">
        <v>54</v>
      </c>
      <c r="G376" s="17" t="s">
        <v>161</v>
      </c>
      <c r="H376" s="17" t="s">
        <v>54</v>
      </c>
      <c r="I376" s="17" t="s">
        <v>1135</v>
      </c>
      <c r="J376" s="17" t="s">
        <v>54</v>
      </c>
      <c r="K376" s="17" t="s">
        <v>54</v>
      </c>
      <c r="L376" s="17" t="s">
        <v>457</v>
      </c>
      <c r="M376" s="17" t="s">
        <v>743</v>
      </c>
      <c r="N376" s="21" t="s">
        <v>54</v>
      </c>
      <c r="O376" s="22" t="s">
        <v>54</v>
      </c>
      <c r="P376" s="21" t="s">
        <v>54</v>
      </c>
    </row>
    <row r="377" ht="52" customHeight="1" spans="1:16">
      <c r="A377" s="17" t="s">
        <v>1142</v>
      </c>
      <c r="B377" s="17" t="s">
        <v>248</v>
      </c>
      <c r="C377" s="17" t="s">
        <v>739</v>
      </c>
      <c r="D377" s="17" t="s">
        <v>1143</v>
      </c>
      <c r="E377" s="17" t="s">
        <v>1144</v>
      </c>
      <c r="F377" s="17" t="s">
        <v>54</v>
      </c>
      <c r="G377" s="17" t="s">
        <v>161</v>
      </c>
      <c r="H377" s="17" t="s">
        <v>54</v>
      </c>
      <c r="I377" s="17" t="s">
        <v>1145</v>
      </c>
      <c r="J377" s="17" t="s">
        <v>54</v>
      </c>
      <c r="K377" s="17" t="s">
        <v>54</v>
      </c>
      <c r="L377" s="17" t="s">
        <v>457</v>
      </c>
      <c r="M377" s="17" t="s">
        <v>743</v>
      </c>
      <c r="N377" s="21" t="s">
        <v>54</v>
      </c>
      <c r="O377" s="22" t="s">
        <v>54</v>
      </c>
      <c r="P377" s="21" t="s">
        <v>54</v>
      </c>
    </row>
    <row r="378" ht="52" customHeight="1" spans="1:16">
      <c r="A378" s="17" t="s">
        <v>1146</v>
      </c>
      <c r="B378" s="17" t="s">
        <v>248</v>
      </c>
      <c r="C378" s="17" t="s">
        <v>739</v>
      </c>
      <c r="D378" s="17" t="s">
        <v>1147</v>
      </c>
      <c r="E378" s="17" t="s">
        <v>1148</v>
      </c>
      <c r="F378" s="17" t="s">
        <v>54</v>
      </c>
      <c r="G378" s="17" t="s">
        <v>161</v>
      </c>
      <c r="H378" s="17" t="s">
        <v>54</v>
      </c>
      <c r="I378" s="17" t="s">
        <v>1145</v>
      </c>
      <c r="J378" s="17" t="s">
        <v>54</v>
      </c>
      <c r="K378" s="17" t="s">
        <v>54</v>
      </c>
      <c r="L378" s="17" t="s">
        <v>457</v>
      </c>
      <c r="M378" s="17" t="s">
        <v>743</v>
      </c>
      <c r="N378" s="21" t="s">
        <v>54</v>
      </c>
      <c r="O378" s="22" t="s">
        <v>54</v>
      </c>
      <c r="P378" s="21" t="s">
        <v>54</v>
      </c>
    </row>
    <row r="379" ht="52" customHeight="1" spans="1:16">
      <c r="A379" s="17" t="s">
        <v>1149</v>
      </c>
      <c r="B379" s="17" t="s">
        <v>248</v>
      </c>
      <c r="C379" s="17" t="s">
        <v>739</v>
      </c>
      <c r="D379" s="17" t="s">
        <v>1150</v>
      </c>
      <c r="E379" s="17" t="s">
        <v>1151</v>
      </c>
      <c r="F379" s="17" t="s">
        <v>54</v>
      </c>
      <c r="G379" s="17" t="s">
        <v>161</v>
      </c>
      <c r="H379" s="17" t="s">
        <v>54</v>
      </c>
      <c r="I379" s="17" t="s">
        <v>1145</v>
      </c>
      <c r="J379" s="17" t="s">
        <v>54</v>
      </c>
      <c r="K379" s="17" t="s">
        <v>54</v>
      </c>
      <c r="L379" s="17" t="s">
        <v>457</v>
      </c>
      <c r="M379" s="17" t="s">
        <v>743</v>
      </c>
      <c r="N379" s="21" t="s">
        <v>54</v>
      </c>
      <c r="O379" s="22" t="s">
        <v>54</v>
      </c>
      <c r="P379" s="21" t="s">
        <v>54</v>
      </c>
    </row>
    <row r="380" ht="52" customHeight="1" spans="1:16">
      <c r="A380" s="17" t="s">
        <v>1152</v>
      </c>
      <c r="B380" s="17" t="s">
        <v>248</v>
      </c>
      <c r="C380" s="17" t="s">
        <v>739</v>
      </c>
      <c r="D380" s="17" t="s">
        <v>1153</v>
      </c>
      <c r="E380" s="17" t="s">
        <v>1154</v>
      </c>
      <c r="F380" s="17" t="s">
        <v>54</v>
      </c>
      <c r="G380" s="17" t="s">
        <v>161</v>
      </c>
      <c r="H380" s="17" t="s">
        <v>54</v>
      </c>
      <c r="I380" s="17" t="s">
        <v>1145</v>
      </c>
      <c r="J380" s="17" t="s">
        <v>54</v>
      </c>
      <c r="K380" s="17" t="s">
        <v>54</v>
      </c>
      <c r="L380" s="17" t="s">
        <v>457</v>
      </c>
      <c r="M380" s="17" t="s">
        <v>743</v>
      </c>
      <c r="N380" s="21" t="s">
        <v>54</v>
      </c>
      <c r="O380" s="22" t="s">
        <v>54</v>
      </c>
      <c r="P380" s="21" t="s">
        <v>54</v>
      </c>
    </row>
    <row r="381" ht="52" customHeight="1" spans="1:16">
      <c r="A381" s="17" t="s">
        <v>1155</v>
      </c>
      <c r="B381" s="17" t="s">
        <v>251</v>
      </c>
      <c r="C381" s="17" t="s">
        <v>739</v>
      </c>
      <c r="D381" s="17" t="s">
        <v>1156</v>
      </c>
      <c r="E381" s="17" t="s">
        <v>1157</v>
      </c>
      <c r="F381" s="17" t="s">
        <v>54</v>
      </c>
      <c r="G381" s="17" t="s">
        <v>161</v>
      </c>
      <c r="H381" s="17" t="s">
        <v>54</v>
      </c>
      <c r="I381" s="17" t="s">
        <v>1158</v>
      </c>
      <c r="J381" s="17" t="s">
        <v>54</v>
      </c>
      <c r="K381" s="17" t="s">
        <v>54</v>
      </c>
      <c r="L381" s="17" t="s">
        <v>457</v>
      </c>
      <c r="M381" s="17" t="s">
        <v>743</v>
      </c>
      <c r="N381" s="21" t="s">
        <v>54</v>
      </c>
      <c r="O381" s="22" t="s">
        <v>54</v>
      </c>
      <c r="P381" s="21" t="s">
        <v>54</v>
      </c>
    </row>
    <row r="382" ht="39" customHeight="1" spans="1:16">
      <c r="A382" s="17" t="s">
        <v>1159</v>
      </c>
      <c r="B382" s="17" t="s">
        <v>251</v>
      </c>
      <c r="C382" s="17" t="s">
        <v>739</v>
      </c>
      <c r="D382" s="17" t="s">
        <v>1160</v>
      </c>
      <c r="E382" s="17" t="s">
        <v>1161</v>
      </c>
      <c r="F382" s="17" t="s">
        <v>54</v>
      </c>
      <c r="G382" s="17" t="s">
        <v>161</v>
      </c>
      <c r="H382" s="17" t="s">
        <v>54</v>
      </c>
      <c r="I382" s="17" t="s">
        <v>1158</v>
      </c>
      <c r="J382" s="17" t="s">
        <v>54</v>
      </c>
      <c r="K382" s="17" t="s">
        <v>54</v>
      </c>
      <c r="L382" s="17" t="s">
        <v>457</v>
      </c>
      <c r="M382" s="17" t="s">
        <v>743</v>
      </c>
      <c r="N382" s="21" t="s">
        <v>54</v>
      </c>
      <c r="O382" s="22" t="s">
        <v>54</v>
      </c>
      <c r="P382" s="21" t="s">
        <v>54</v>
      </c>
    </row>
    <row r="383" ht="39" customHeight="1" spans="1:16">
      <c r="A383" s="17" t="s">
        <v>1162</v>
      </c>
      <c r="B383" s="17" t="s">
        <v>251</v>
      </c>
      <c r="C383" s="17" t="s">
        <v>739</v>
      </c>
      <c r="D383" s="17" t="s">
        <v>1163</v>
      </c>
      <c r="E383" s="17" t="s">
        <v>1164</v>
      </c>
      <c r="F383" s="17" t="s">
        <v>54</v>
      </c>
      <c r="G383" s="17" t="s">
        <v>161</v>
      </c>
      <c r="H383" s="17" t="s">
        <v>54</v>
      </c>
      <c r="I383" s="17" t="s">
        <v>1158</v>
      </c>
      <c r="J383" s="17" t="s">
        <v>54</v>
      </c>
      <c r="K383" s="17" t="s">
        <v>54</v>
      </c>
      <c r="L383" s="17" t="s">
        <v>457</v>
      </c>
      <c r="M383" s="17" t="s">
        <v>743</v>
      </c>
      <c r="N383" s="21" t="s">
        <v>54</v>
      </c>
      <c r="O383" s="22" t="s">
        <v>54</v>
      </c>
      <c r="P383" s="21" t="s">
        <v>54</v>
      </c>
    </row>
    <row r="384" ht="52" customHeight="1" spans="1:16">
      <c r="A384" s="17" t="s">
        <v>1165</v>
      </c>
      <c r="B384" s="17" t="s">
        <v>251</v>
      </c>
      <c r="C384" s="17" t="s">
        <v>739</v>
      </c>
      <c r="D384" s="17" t="s">
        <v>1166</v>
      </c>
      <c r="E384" s="17" t="s">
        <v>1167</v>
      </c>
      <c r="F384" s="17" t="s">
        <v>54</v>
      </c>
      <c r="G384" s="17" t="s">
        <v>161</v>
      </c>
      <c r="H384" s="17" t="s">
        <v>54</v>
      </c>
      <c r="I384" s="17" t="s">
        <v>1158</v>
      </c>
      <c r="J384" s="17" t="s">
        <v>54</v>
      </c>
      <c r="K384" s="17" t="s">
        <v>54</v>
      </c>
      <c r="L384" s="17" t="s">
        <v>457</v>
      </c>
      <c r="M384" s="17" t="s">
        <v>743</v>
      </c>
      <c r="N384" s="21" t="s">
        <v>54</v>
      </c>
      <c r="O384" s="22" t="s">
        <v>54</v>
      </c>
      <c r="P384" s="21" t="s">
        <v>54</v>
      </c>
    </row>
    <row r="385" ht="52" customHeight="1" spans="1:16">
      <c r="A385" s="17" t="s">
        <v>1168</v>
      </c>
      <c r="B385" s="17" t="s">
        <v>253</v>
      </c>
      <c r="C385" s="17" t="s">
        <v>739</v>
      </c>
      <c r="D385" s="17" t="s">
        <v>1169</v>
      </c>
      <c r="E385" s="17" t="s">
        <v>1170</v>
      </c>
      <c r="F385" s="17" t="s">
        <v>54</v>
      </c>
      <c r="G385" s="17" t="s">
        <v>161</v>
      </c>
      <c r="H385" s="17" t="s">
        <v>54</v>
      </c>
      <c r="I385" s="17" t="s">
        <v>1171</v>
      </c>
      <c r="J385" s="17" t="s">
        <v>54</v>
      </c>
      <c r="K385" s="17" t="s">
        <v>54</v>
      </c>
      <c r="L385" s="17" t="s">
        <v>457</v>
      </c>
      <c r="M385" s="17" t="s">
        <v>743</v>
      </c>
      <c r="N385" s="21" t="s">
        <v>54</v>
      </c>
      <c r="O385" s="22" t="s">
        <v>54</v>
      </c>
      <c r="P385" s="21" t="s">
        <v>54</v>
      </c>
    </row>
    <row r="386" ht="52" customHeight="1" spans="1:16">
      <c r="A386" s="17" t="s">
        <v>1172</v>
      </c>
      <c r="B386" s="17" t="s">
        <v>253</v>
      </c>
      <c r="C386" s="17" t="s">
        <v>739</v>
      </c>
      <c r="D386" s="17" t="s">
        <v>1173</v>
      </c>
      <c r="E386" s="17" t="s">
        <v>1174</v>
      </c>
      <c r="F386" s="17" t="s">
        <v>54</v>
      </c>
      <c r="G386" s="17" t="s">
        <v>161</v>
      </c>
      <c r="H386" s="17" t="s">
        <v>54</v>
      </c>
      <c r="I386" s="17" t="s">
        <v>1171</v>
      </c>
      <c r="J386" s="17" t="s">
        <v>54</v>
      </c>
      <c r="K386" s="17" t="s">
        <v>54</v>
      </c>
      <c r="L386" s="17" t="s">
        <v>457</v>
      </c>
      <c r="M386" s="17" t="s">
        <v>743</v>
      </c>
      <c r="N386" s="21" t="s">
        <v>54</v>
      </c>
      <c r="O386" s="22" t="s">
        <v>54</v>
      </c>
      <c r="P386" s="21" t="s">
        <v>54</v>
      </c>
    </row>
    <row r="387" ht="39" customHeight="1" spans="1:16">
      <c r="A387" s="17" t="s">
        <v>1175</v>
      </c>
      <c r="B387" s="17" t="s">
        <v>253</v>
      </c>
      <c r="C387" s="17" t="s">
        <v>739</v>
      </c>
      <c r="D387" s="17" t="s">
        <v>1176</v>
      </c>
      <c r="E387" s="17" t="s">
        <v>1177</v>
      </c>
      <c r="F387" s="17" t="s">
        <v>54</v>
      </c>
      <c r="G387" s="17" t="s">
        <v>161</v>
      </c>
      <c r="H387" s="17" t="s">
        <v>54</v>
      </c>
      <c r="I387" s="17" t="s">
        <v>1171</v>
      </c>
      <c r="J387" s="17" t="s">
        <v>54</v>
      </c>
      <c r="K387" s="17" t="s">
        <v>54</v>
      </c>
      <c r="L387" s="17" t="s">
        <v>457</v>
      </c>
      <c r="M387" s="17" t="s">
        <v>743</v>
      </c>
      <c r="N387" s="21" t="s">
        <v>54</v>
      </c>
      <c r="O387" s="22" t="s">
        <v>54</v>
      </c>
      <c r="P387" s="21" t="s">
        <v>54</v>
      </c>
    </row>
    <row r="388" ht="39" customHeight="1" spans="1:16">
      <c r="A388" s="17" t="s">
        <v>1178</v>
      </c>
      <c r="B388" s="17" t="s">
        <v>253</v>
      </c>
      <c r="C388" s="17" t="s">
        <v>739</v>
      </c>
      <c r="D388" s="17" t="s">
        <v>1179</v>
      </c>
      <c r="E388" s="17" t="s">
        <v>1180</v>
      </c>
      <c r="F388" s="17" t="s">
        <v>54</v>
      </c>
      <c r="G388" s="17" t="s">
        <v>161</v>
      </c>
      <c r="H388" s="17" t="s">
        <v>54</v>
      </c>
      <c r="I388" s="17" t="s">
        <v>1171</v>
      </c>
      <c r="J388" s="17" t="s">
        <v>54</v>
      </c>
      <c r="K388" s="17" t="s">
        <v>54</v>
      </c>
      <c r="L388" s="17" t="s">
        <v>457</v>
      </c>
      <c r="M388" s="17" t="s">
        <v>743</v>
      </c>
      <c r="N388" s="21" t="s">
        <v>54</v>
      </c>
      <c r="O388" s="22" t="s">
        <v>54</v>
      </c>
      <c r="P388" s="21" t="s">
        <v>54</v>
      </c>
    </row>
    <row r="389" ht="52" customHeight="1" spans="1:16">
      <c r="A389" s="17" t="s">
        <v>1181</v>
      </c>
      <c r="B389" s="17" t="s">
        <v>256</v>
      </c>
      <c r="C389" s="17" t="s">
        <v>739</v>
      </c>
      <c r="D389" s="17" t="s">
        <v>1182</v>
      </c>
      <c r="E389" s="17" t="s">
        <v>1183</v>
      </c>
      <c r="F389" s="17" t="s">
        <v>54</v>
      </c>
      <c r="G389" s="17" t="s">
        <v>161</v>
      </c>
      <c r="H389" s="17" t="s">
        <v>54</v>
      </c>
      <c r="I389" s="17" t="s">
        <v>1184</v>
      </c>
      <c r="J389" s="17" t="s">
        <v>54</v>
      </c>
      <c r="K389" s="17" t="s">
        <v>54</v>
      </c>
      <c r="L389" s="17" t="s">
        <v>457</v>
      </c>
      <c r="M389" s="17" t="s">
        <v>743</v>
      </c>
      <c r="N389" s="21" t="s">
        <v>54</v>
      </c>
      <c r="O389" s="22" t="s">
        <v>54</v>
      </c>
      <c r="P389" s="21" t="s">
        <v>54</v>
      </c>
    </row>
    <row r="390" ht="39" customHeight="1" spans="1:16">
      <c r="A390" s="17" t="s">
        <v>1185</v>
      </c>
      <c r="B390" s="17" t="s">
        <v>256</v>
      </c>
      <c r="C390" s="17" t="s">
        <v>739</v>
      </c>
      <c r="D390" s="17" t="s">
        <v>1186</v>
      </c>
      <c r="E390" s="17" t="s">
        <v>1187</v>
      </c>
      <c r="F390" s="17" t="s">
        <v>54</v>
      </c>
      <c r="G390" s="17" t="s">
        <v>161</v>
      </c>
      <c r="H390" s="17" t="s">
        <v>54</v>
      </c>
      <c r="I390" s="17" t="s">
        <v>1184</v>
      </c>
      <c r="J390" s="17" t="s">
        <v>54</v>
      </c>
      <c r="K390" s="17" t="s">
        <v>54</v>
      </c>
      <c r="L390" s="17" t="s">
        <v>457</v>
      </c>
      <c r="M390" s="17" t="s">
        <v>743</v>
      </c>
      <c r="N390" s="21" t="s">
        <v>54</v>
      </c>
      <c r="O390" s="22" t="s">
        <v>54</v>
      </c>
      <c r="P390" s="21" t="s">
        <v>54</v>
      </c>
    </row>
    <row r="391" ht="52" customHeight="1" spans="1:16">
      <c r="A391" s="17" t="s">
        <v>1188</v>
      </c>
      <c r="B391" s="17" t="s">
        <v>256</v>
      </c>
      <c r="C391" s="17" t="s">
        <v>739</v>
      </c>
      <c r="D391" s="17" t="s">
        <v>1189</v>
      </c>
      <c r="E391" s="17" t="s">
        <v>1190</v>
      </c>
      <c r="F391" s="17" t="s">
        <v>54</v>
      </c>
      <c r="G391" s="17" t="s">
        <v>161</v>
      </c>
      <c r="H391" s="17" t="s">
        <v>54</v>
      </c>
      <c r="I391" s="17" t="s">
        <v>1184</v>
      </c>
      <c r="J391" s="17" t="s">
        <v>54</v>
      </c>
      <c r="K391" s="17" t="s">
        <v>54</v>
      </c>
      <c r="L391" s="17" t="s">
        <v>457</v>
      </c>
      <c r="M391" s="17" t="s">
        <v>743</v>
      </c>
      <c r="N391" s="21" t="s">
        <v>54</v>
      </c>
      <c r="O391" s="22" t="s">
        <v>54</v>
      </c>
      <c r="P391" s="21" t="s">
        <v>54</v>
      </c>
    </row>
    <row r="392" ht="52" customHeight="1" spans="1:16">
      <c r="A392" s="17" t="s">
        <v>1191</v>
      </c>
      <c r="B392" s="17" t="s">
        <v>256</v>
      </c>
      <c r="C392" s="17" t="s">
        <v>739</v>
      </c>
      <c r="D392" s="17" t="s">
        <v>1192</v>
      </c>
      <c r="E392" s="17" t="s">
        <v>1193</v>
      </c>
      <c r="F392" s="17" t="s">
        <v>54</v>
      </c>
      <c r="G392" s="17" t="s">
        <v>161</v>
      </c>
      <c r="H392" s="17" t="s">
        <v>54</v>
      </c>
      <c r="I392" s="17" t="s">
        <v>1184</v>
      </c>
      <c r="J392" s="17" t="s">
        <v>54</v>
      </c>
      <c r="K392" s="17" t="s">
        <v>54</v>
      </c>
      <c r="L392" s="17" t="s">
        <v>457</v>
      </c>
      <c r="M392" s="17" t="s">
        <v>743</v>
      </c>
      <c r="N392" s="21" t="s">
        <v>54</v>
      </c>
      <c r="O392" s="22" t="s">
        <v>54</v>
      </c>
      <c r="P392" s="21" t="s">
        <v>54</v>
      </c>
    </row>
    <row r="393" ht="52" customHeight="1" spans="1:16">
      <c r="A393" s="17" t="s">
        <v>1194</v>
      </c>
      <c r="B393" s="17" t="s">
        <v>258</v>
      </c>
      <c r="C393" s="17" t="s">
        <v>739</v>
      </c>
      <c r="D393" s="17" t="s">
        <v>1195</v>
      </c>
      <c r="E393" s="17" t="s">
        <v>1196</v>
      </c>
      <c r="F393" s="17" t="s">
        <v>54</v>
      </c>
      <c r="G393" s="17" t="s">
        <v>161</v>
      </c>
      <c r="H393" s="17" t="s">
        <v>54</v>
      </c>
      <c r="I393" s="17" t="s">
        <v>1197</v>
      </c>
      <c r="J393" s="17" t="s">
        <v>54</v>
      </c>
      <c r="K393" s="17" t="s">
        <v>54</v>
      </c>
      <c r="L393" s="17" t="s">
        <v>457</v>
      </c>
      <c r="M393" s="17" t="s">
        <v>743</v>
      </c>
      <c r="N393" s="21" t="s">
        <v>54</v>
      </c>
      <c r="O393" s="22" t="s">
        <v>54</v>
      </c>
      <c r="P393" s="21" t="s">
        <v>54</v>
      </c>
    </row>
    <row r="394" ht="39" customHeight="1" spans="1:16">
      <c r="A394" s="17" t="s">
        <v>1198</v>
      </c>
      <c r="B394" s="17" t="s">
        <v>258</v>
      </c>
      <c r="C394" s="17" t="s">
        <v>739</v>
      </c>
      <c r="D394" s="17" t="s">
        <v>1199</v>
      </c>
      <c r="E394" s="17" t="s">
        <v>1200</v>
      </c>
      <c r="F394" s="17" t="s">
        <v>54</v>
      </c>
      <c r="G394" s="17" t="s">
        <v>161</v>
      </c>
      <c r="H394" s="17" t="s">
        <v>54</v>
      </c>
      <c r="I394" s="17" t="s">
        <v>1197</v>
      </c>
      <c r="J394" s="17" t="s">
        <v>54</v>
      </c>
      <c r="K394" s="17" t="s">
        <v>54</v>
      </c>
      <c r="L394" s="17" t="s">
        <v>457</v>
      </c>
      <c r="M394" s="17" t="s">
        <v>743</v>
      </c>
      <c r="N394" s="21" t="s">
        <v>54</v>
      </c>
      <c r="O394" s="22" t="s">
        <v>54</v>
      </c>
      <c r="P394" s="21" t="s">
        <v>54</v>
      </c>
    </row>
    <row r="395" ht="39" customHeight="1" spans="1:16">
      <c r="A395" s="17" t="s">
        <v>1201</v>
      </c>
      <c r="B395" s="17" t="s">
        <v>258</v>
      </c>
      <c r="C395" s="17" t="s">
        <v>739</v>
      </c>
      <c r="D395" s="17" t="s">
        <v>1202</v>
      </c>
      <c r="E395" s="17" t="s">
        <v>1203</v>
      </c>
      <c r="F395" s="17" t="s">
        <v>54</v>
      </c>
      <c r="G395" s="17" t="s">
        <v>161</v>
      </c>
      <c r="H395" s="17" t="s">
        <v>54</v>
      </c>
      <c r="I395" s="17" t="s">
        <v>1197</v>
      </c>
      <c r="J395" s="17" t="s">
        <v>54</v>
      </c>
      <c r="K395" s="17" t="s">
        <v>54</v>
      </c>
      <c r="L395" s="17" t="s">
        <v>457</v>
      </c>
      <c r="M395" s="17" t="s">
        <v>743</v>
      </c>
      <c r="N395" s="21" t="s">
        <v>54</v>
      </c>
      <c r="O395" s="22" t="s">
        <v>54</v>
      </c>
      <c r="P395" s="21" t="s">
        <v>54</v>
      </c>
    </row>
    <row r="396" ht="52" customHeight="1" spans="1:16">
      <c r="A396" s="17" t="s">
        <v>1204</v>
      </c>
      <c r="B396" s="17" t="s">
        <v>261</v>
      </c>
      <c r="C396" s="17" t="s">
        <v>739</v>
      </c>
      <c r="D396" s="17" t="s">
        <v>1205</v>
      </c>
      <c r="E396" s="17" t="s">
        <v>1206</v>
      </c>
      <c r="F396" s="17" t="s">
        <v>54</v>
      </c>
      <c r="G396" s="17" t="s">
        <v>161</v>
      </c>
      <c r="H396" s="17" t="s">
        <v>54</v>
      </c>
      <c r="I396" s="17" t="s">
        <v>1207</v>
      </c>
      <c r="J396" s="17" t="s">
        <v>54</v>
      </c>
      <c r="K396" s="17" t="s">
        <v>54</v>
      </c>
      <c r="L396" s="17" t="s">
        <v>457</v>
      </c>
      <c r="M396" s="17" t="s">
        <v>743</v>
      </c>
      <c r="N396" s="21" t="s">
        <v>54</v>
      </c>
      <c r="O396" s="22" t="s">
        <v>54</v>
      </c>
      <c r="P396" s="21" t="s">
        <v>54</v>
      </c>
    </row>
    <row r="397" ht="39" customHeight="1" spans="1:16">
      <c r="A397" s="17" t="s">
        <v>1208</v>
      </c>
      <c r="B397" s="17" t="s">
        <v>261</v>
      </c>
      <c r="C397" s="17" t="s">
        <v>739</v>
      </c>
      <c r="D397" s="17" t="s">
        <v>1209</v>
      </c>
      <c r="E397" s="17" t="s">
        <v>1210</v>
      </c>
      <c r="F397" s="17" t="s">
        <v>54</v>
      </c>
      <c r="G397" s="17" t="s">
        <v>161</v>
      </c>
      <c r="H397" s="17" t="s">
        <v>54</v>
      </c>
      <c r="I397" s="17" t="s">
        <v>1207</v>
      </c>
      <c r="J397" s="17" t="s">
        <v>54</v>
      </c>
      <c r="K397" s="17" t="s">
        <v>54</v>
      </c>
      <c r="L397" s="17" t="s">
        <v>457</v>
      </c>
      <c r="M397" s="17" t="s">
        <v>743</v>
      </c>
      <c r="N397" s="21" t="s">
        <v>54</v>
      </c>
      <c r="O397" s="22" t="s">
        <v>54</v>
      </c>
      <c r="P397" s="21" t="s">
        <v>54</v>
      </c>
    </row>
    <row r="398" ht="39" customHeight="1" spans="1:16">
      <c r="A398" s="17" t="s">
        <v>1211</v>
      </c>
      <c r="B398" s="17" t="s">
        <v>261</v>
      </c>
      <c r="C398" s="17" t="s">
        <v>739</v>
      </c>
      <c r="D398" s="17" t="s">
        <v>1212</v>
      </c>
      <c r="E398" s="17" t="s">
        <v>1213</v>
      </c>
      <c r="F398" s="17" t="s">
        <v>54</v>
      </c>
      <c r="G398" s="17" t="s">
        <v>161</v>
      </c>
      <c r="H398" s="17" t="s">
        <v>54</v>
      </c>
      <c r="I398" s="17" t="s">
        <v>1207</v>
      </c>
      <c r="J398" s="17" t="s">
        <v>54</v>
      </c>
      <c r="K398" s="17" t="s">
        <v>54</v>
      </c>
      <c r="L398" s="17" t="s">
        <v>457</v>
      </c>
      <c r="M398" s="17" t="s">
        <v>743</v>
      </c>
      <c r="N398" s="21" t="s">
        <v>54</v>
      </c>
      <c r="O398" s="22" t="s">
        <v>54</v>
      </c>
      <c r="P398" s="21" t="s">
        <v>54</v>
      </c>
    </row>
    <row r="399" ht="39" customHeight="1" spans="1:16">
      <c r="A399" s="17" t="s">
        <v>1214</v>
      </c>
      <c r="B399" s="17" t="s">
        <v>261</v>
      </c>
      <c r="C399" s="17" t="s">
        <v>739</v>
      </c>
      <c r="D399" s="17" t="s">
        <v>1215</v>
      </c>
      <c r="E399" s="17" t="s">
        <v>1216</v>
      </c>
      <c r="F399" s="17" t="s">
        <v>54</v>
      </c>
      <c r="G399" s="17" t="s">
        <v>161</v>
      </c>
      <c r="H399" s="17" t="s">
        <v>54</v>
      </c>
      <c r="I399" s="17" t="s">
        <v>1207</v>
      </c>
      <c r="J399" s="17" t="s">
        <v>54</v>
      </c>
      <c r="K399" s="17" t="s">
        <v>54</v>
      </c>
      <c r="L399" s="17" t="s">
        <v>457</v>
      </c>
      <c r="M399" s="17" t="s">
        <v>743</v>
      </c>
      <c r="N399" s="21" t="s">
        <v>54</v>
      </c>
      <c r="O399" s="22" t="s">
        <v>54</v>
      </c>
      <c r="P399" s="21" t="s">
        <v>54</v>
      </c>
    </row>
    <row r="400" ht="39" customHeight="1" spans="1:16">
      <c r="A400" s="17" t="s">
        <v>1217</v>
      </c>
      <c r="B400" s="17" t="s">
        <v>263</v>
      </c>
      <c r="C400" s="17" t="s">
        <v>739</v>
      </c>
      <c r="D400" s="17" t="s">
        <v>1218</v>
      </c>
      <c r="E400" s="17" t="s">
        <v>1219</v>
      </c>
      <c r="F400" s="17" t="s">
        <v>54</v>
      </c>
      <c r="G400" s="17" t="s">
        <v>161</v>
      </c>
      <c r="H400" s="17" t="s">
        <v>54</v>
      </c>
      <c r="I400" s="17" t="s">
        <v>455</v>
      </c>
      <c r="J400" s="17" t="s">
        <v>54</v>
      </c>
      <c r="K400" s="17" t="s">
        <v>54</v>
      </c>
      <c r="L400" s="17" t="s">
        <v>457</v>
      </c>
      <c r="M400" s="17" t="s">
        <v>743</v>
      </c>
      <c r="N400" s="21" t="s">
        <v>54</v>
      </c>
      <c r="O400" s="22" t="s">
        <v>54</v>
      </c>
      <c r="P400" s="21" t="s">
        <v>54</v>
      </c>
    </row>
    <row r="401" ht="39" customHeight="1" spans="1:16">
      <c r="A401" s="17" t="s">
        <v>1220</v>
      </c>
      <c r="B401" s="17" t="s">
        <v>263</v>
      </c>
      <c r="C401" s="17" t="s">
        <v>739</v>
      </c>
      <c r="D401" s="17" t="s">
        <v>1221</v>
      </c>
      <c r="E401" s="17" t="s">
        <v>1222</v>
      </c>
      <c r="F401" s="17" t="s">
        <v>54</v>
      </c>
      <c r="G401" s="17" t="s">
        <v>161</v>
      </c>
      <c r="H401" s="17" t="s">
        <v>54</v>
      </c>
      <c r="I401" s="17" t="s">
        <v>455</v>
      </c>
      <c r="J401" s="17" t="s">
        <v>54</v>
      </c>
      <c r="K401" s="17" t="s">
        <v>54</v>
      </c>
      <c r="L401" s="17" t="s">
        <v>457</v>
      </c>
      <c r="M401" s="17" t="s">
        <v>743</v>
      </c>
      <c r="N401" s="21" t="s">
        <v>54</v>
      </c>
      <c r="O401" s="22" t="s">
        <v>54</v>
      </c>
      <c r="P401" s="21" t="s">
        <v>54</v>
      </c>
    </row>
    <row r="402" ht="52" customHeight="1" spans="1:16">
      <c r="A402" s="17" t="s">
        <v>1223</v>
      </c>
      <c r="B402" s="17" t="s">
        <v>263</v>
      </c>
      <c r="C402" s="17" t="s">
        <v>739</v>
      </c>
      <c r="D402" s="17" t="s">
        <v>1224</v>
      </c>
      <c r="E402" s="17" t="s">
        <v>1225</v>
      </c>
      <c r="F402" s="17" t="s">
        <v>54</v>
      </c>
      <c r="G402" s="17" t="s">
        <v>161</v>
      </c>
      <c r="H402" s="17" t="s">
        <v>54</v>
      </c>
      <c r="I402" s="17" t="s">
        <v>455</v>
      </c>
      <c r="J402" s="17" t="s">
        <v>54</v>
      </c>
      <c r="K402" s="17" t="s">
        <v>54</v>
      </c>
      <c r="L402" s="17" t="s">
        <v>457</v>
      </c>
      <c r="M402" s="17" t="s">
        <v>743</v>
      </c>
      <c r="N402" s="21" t="s">
        <v>54</v>
      </c>
      <c r="O402" s="22" t="s">
        <v>54</v>
      </c>
      <c r="P402" s="21" t="s">
        <v>54</v>
      </c>
    </row>
    <row r="403" ht="52" customHeight="1" spans="1:16">
      <c r="A403" s="17" t="s">
        <v>1226</v>
      </c>
      <c r="B403" s="17" t="s">
        <v>263</v>
      </c>
      <c r="C403" s="17" t="s">
        <v>739</v>
      </c>
      <c r="D403" s="17" t="s">
        <v>1227</v>
      </c>
      <c r="E403" s="17" t="s">
        <v>1228</v>
      </c>
      <c r="F403" s="17" t="s">
        <v>54</v>
      </c>
      <c r="G403" s="17" t="s">
        <v>161</v>
      </c>
      <c r="H403" s="17" t="s">
        <v>54</v>
      </c>
      <c r="I403" s="17" t="s">
        <v>455</v>
      </c>
      <c r="J403" s="17" t="s">
        <v>54</v>
      </c>
      <c r="K403" s="17" t="s">
        <v>54</v>
      </c>
      <c r="L403" s="17" t="s">
        <v>457</v>
      </c>
      <c r="M403" s="17" t="s">
        <v>743</v>
      </c>
      <c r="N403" s="21" t="s">
        <v>54</v>
      </c>
      <c r="O403" s="22" t="s">
        <v>54</v>
      </c>
      <c r="P403" s="21" t="s">
        <v>54</v>
      </c>
    </row>
    <row r="404" ht="39" customHeight="1" spans="1:16">
      <c r="A404" s="17" t="s">
        <v>1229</v>
      </c>
      <c r="B404" s="17" t="s">
        <v>266</v>
      </c>
      <c r="C404" s="17" t="s">
        <v>739</v>
      </c>
      <c r="D404" s="17" t="s">
        <v>1230</v>
      </c>
      <c r="E404" s="17" t="s">
        <v>1231</v>
      </c>
      <c r="F404" s="17" t="s">
        <v>54</v>
      </c>
      <c r="G404" s="17" t="s">
        <v>161</v>
      </c>
      <c r="H404" s="17" t="s">
        <v>54</v>
      </c>
      <c r="I404" s="17" t="s">
        <v>1232</v>
      </c>
      <c r="J404" s="17" t="s">
        <v>54</v>
      </c>
      <c r="K404" s="17" t="s">
        <v>54</v>
      </c>
      <c r="L404" s="17" t="s">
        <v>457</v>
      </c>
      <c r="M404" s="17" t="s">
        <v>743</v>
      </c>
      <c r="N404" s="21" t="s">
        <v>54</v>
      </c>
      <c r="O404" s="22" t="s">
        <v>54</v>
      </c>
      <c r="P404" s="21" t="s">
        <v>54</v>
      </c>
    </row>
    <row r="405" ht="39" customHeight="1" spans="1:16">
      <c r="A405" s="17" t="s">
        <v>1233</v>
      </c>
      <c r="B405" s="17" t="s">
        <v>266</v>
      </c>
      <c r="C405" s="17" t="s">
        <v>739</v>
      </c>
      <c r="D405" s="17" t="s">
        <v>1234</v>
      </c>
      <c r="E405" s="17" t="s">
        <v>1235</v>
      </c>
      <c r="F405" s="17" t="s">
        <v>54</v>
      </c>
      <c r="G405" s="17" t="s">
        <v>161</v>
      </c>
      <c r="H405" s="17" t="s">
        <v>54</v>
      </c>
      <c r="I405" s="17" t="s">
        <v>1232</v>
      </c>
      <c r="J405" s="17" t="s">
        <v>54</v>
      </c>
      <c r="K405" s="17" t="s">
        <v>54</v>
      </c>
      <c r="L405" s="17" t="s">
        <v>457</v>
      </c>
      <c r="M405" s="17" t="s">
        <v>743</v>
      </c>
      <c r="N405" s="21" t="s">
        <v>54</v>
      </c>
      <c r="O405" s="22" t="s">
        <v>54</v>
      </c>
      <c r="P405" s="21" t="s">
        <v>54</v>
      </c>
    </row>
    <row r="406" ht="52" customHeight="1" spans="1:16">
      <c r="A406" s="17" t="s">
        <v>1236</v>
      </c>
      <c r="B406" s="17" t="s">
        <v>266</v>
      </c>
      <c r="C406" s="17" t="s">
        <v>739</v>
      </c>
      <c r="D406" s="17" t="s">
        <v>1237</v>
      </c>
      <c r="E406" s="17" t="s">
        <v>1238</v>
      </c>
      <c r="F406" s="17" t="s">
        <v>54</v>
      </c>
      <c r="G406" s="17" t="s">
        <v>161</v>
      </c>
      <c r="H406" s="17" t="s">
        <v>54</v>
      </c>
      <c r="I406" s="17" t="s">
        <v>1232</v>
      </c>
      <c r="J406" s="17" t="s">
        <v>54</v>
      </c>
      <c r="K406" s="17" t="s">
        <v>54</v>
      </c>
      <c r="L406" s="17" t="s">
        <v>457</v>
      </c>
      <c r="M406" s="17" t="s">
        <v>743</v>
      </c>
      <c r="N406" s="21" t="s">
        <v>54</v>
      </c>
      <c r="O406" s="22" t="s">
        <v>54</v>
      </c>
      <c r="P406" s="21" t="s">
        <v>54</v>
      </c>
    </row>
    <row r="407" ht="39" customHeight="1" spans="1:16">
      <c r="A407" s="17" t="s">
        <v>1239</v>
      </c>
      <c r="B407" s="17" t="s">
        <v>268</v>
      </c>
      <c r="C407" s="17" t="s">
        <v>739</v>
      </c>
      <c r="D407" s="17" t="s">
        <v>1240</v>
      </c>
      <c r="E407" s="17" t="s">
        <v>1241</v>
      </c>
      <c r="F407" s="17" t="s">
        <v>54</v>
      </c>
      <c r="G407" s="17" t="s">
        <v>161</v>
      </c>
      <c r="H407" s="17" t="s">
        <v>54</v>
      </c>
      <c r="I407" s="17" t="s">
        <v>968</v>
      </c>
      <c r="J407" s="17" t="s">
        <v>54</v>
      </c>
      <c r="K407" s="17" t="s">
        <v>54</v>
      </c>
      <c r="L407" s="17" t="s">
        <v>457</v>
      </c>
      <c r="M407" s="17" t="s">
        <v>743</v>
      </c>
      <c r="N407" s="21" t="s">
        <v>54</v>
      </c>
      <c r="O407" s="22" t="s">
        <v>54</v>
      </c>
      <c r="P407" s="21" t="s">
        <v>54</v>
      </c>
    </row>
    <row r="408" ht="39" customHeight="1" spans="1:16">
      <c r="A408" s="17" t="s">
        <v>1242</v>
      </c>
      <c r="B408" s="17" t="s">
        <v>268</v>
      </c>
      <c r="C408" s="17" t="s">
        <v>739</v>
      </c>
      <c r="D408" s="17" t="s">
        <v>1243</v>
      </c>
      <c r="E408" s="17" t="s">
        <v>1244</v>
      </c>
      <c r="F408" s="17" t="s">
        <v>54</v>
      </c>
      <c r="G408" s="17" t="s">
        <v>161</v>
      </c>
      <c r="H408" s="17" t="s">
        <v>54</v>
      </c>
      <c r="I408" s="17" t="s">
        <v>968</v>
      </c>
      <c r="J408" s="17" t="s">
        <v>54</v>
      </c>
      <c r="K408" s="17" t="s">
        <v>54</v>
      </c>
      <c r="L408" s="17" t="s">
        <v>457</v>
      </c>
      <c r="M408" s="17" t="s">
        <v>743</v>
      </c>
      <c r="N408" s="21" t="s">
        <v>54</v>
      </c>
      <c r="O408" s="22" t="s">
        <v>54</v>
      </c>
      <c r="P408" s="21" t="s">
        <v>54</v>
      </c>
    </row>
    <row r="409" ht="39" customHeight="1" spans="1:16">
      <c r="A409" s="17" t="s">
        <v>1245</v>
      </c>
      <c r="B409" s="17" t="s">
        <v>268</v>
      </c>
      <c r="C409" s="17" t="s">
        <v>739</v>
      </c>
      <c r="D409" s="17" t="s">
        <v>973</v>
      </c>
      <c r="E409" s="17" t="s">
        <v>1246</v>
      </c>
      <c r="F409" s="17" t="s">
        <v>54</v>
      </c>
      <c r="G409" s="17" t="s">
        <v>161</v>
      </c>
      <c r="H409" s="17" t="s">
        <v>54</v>
      </c>
      <c r="I409" s="17" t="s">
        <v>968</v>
      </c>
      <c r="J409" s="17" t="s">
        <v>54</v>
      </c>
      <c r="K409" s="17" t="s">
        <v>54</v>
      </c>
      <c r="L409" s="17" t="s">
        <v>457</v>
      </c>
      <c r="M409" s="17" t="s">
        <v>743</v>
      </c>
      <c r="N409" s="21" t="s">
        <v>54</v>
      </c>
      <c r="O409" s="22" t="s">
        <v>54</v>
      </c>
      <c r="P409" s="21" t="s">
        <v>54</v>
      </c>
    </row>
    <row r="410" ht="52" customHeight="1" spans="1:16">
      <c r="A410" s="17" t="s">
        <v>1247</v>
      </c>
      <c r="B410" s="17" t="s">
        <v>271</v>
      </c>
      <c r="C410" s="17" t="s">
        <v>739</v>
      </c>
      <c r="D410" s="17" t="s">
        <v>1248</v>
      </c>
      <c r="E410" s="17" t="s">
        <v>1249</v>
      </c>
      <c r="F410" s="17" t="s">
        <v>54</v>
      </c>
      <c r="G410" s="17" t="s">
        <v>161</v>
      </c>
      <c r="H410" s="17" t="s">
        <v>54</v>
      </c>
      <c r="I410" s="17" t="s">
        <v>1250</v>
      </c>
      <c r="J410" s="17" t="s">
        <v>54</v>
      </c>
      <c r="K410" s="17" t="s">
        <v>54</v>
      </c>
      <c r="L410" s="17" t="s">
        <v>457</v>
      </c>
      <c r="M410" s="17" t="s">
        <v>743</v>
      </c>
      <c r="N410" s="21" t="s">
        <v>54</v>
      </c>
      <c r="O410" s="22" t="s">
        <v>54</v>
      </c>
      <c r="P410" s="21" t="s">
        <v>54</v>
      </c>
    </row>
    <row r="411" ht="39" customHeight="1" spans="1:16">
      <c r="A411" s="17" t="s">
        <v>1251</v>
      </c>
      <c r="B411" s="17" t="s">
        <v>271</v>
      </c>
      <c r="C411" s="17" t="s">
        <v>739</v>
      </c>
      <c r="D411" s="17" t="s">
        <v>1252</v>
      </c>
      <c r="E411" s="17" t="s">
        <v>1253</v>
      </c>
      <c r="F411" s="17" t="s">
        <v>54</v>
      </c>
      <c r="G411" s="17" t="s">
        <v>161</v>
      </c>
      <c r="H411" s="17" t="s">
        <v>54</v>
      </c>
      <c r="I411" s="17" t="s">
        <v>1250</v>
      </c>
      <c r="J411" s="17" t="s">
        <v>54</v>
      </c>
      <c r="K411" s="17" t="s">
        <v>54</v>
      </c>
      <c r="L411" s="17" t="s">
        <v>457</v>
      </c>
      <c r="M411" s="17" t="s">
        <v>743</v>
      </c>
      <c r="N411" s="21" t="s">
        <v>54</v>
      </c>
      <c r="O411" s="22" t="s">
        <v>54</v>
      </c>
      <c r="P411" s="21" t="s">
        <v>54</v>
      </c>
    </row>
    <row r="412" ht="52" customHeight="1" spans="1:16">
      <c r="A412" s="17" t="s">
        <v>1254</v>
      </c>
      <c r="B412" s="17" t="s">
        <v>271</v>
      </c>
      <c r="C412" s="17" t="s">
        <v>739</v>
      </c>
      <c r="D412" s="17" t="s">
        <v>1255</v>
      </c>
      <c r="E412" s="17" t="s">
        <v>1256</v>
      </c>
      <c r="F412" s="17" t="s">
        <v>54</v>
      </c>
      <c r="G412" s="17" t="s">
        <v>161</v>
      </c>
      <c r="H412" s="17" t="s">
        <v>54</v>
      </c>
      <c r="I412" s="17" t="s">
        <v>1250</v>
      </c>
      <c r="J412" s="17" t="s">
        <v>54</v>
      </c>
      <c r="K412" s="17" t="s">
        <v>54</v>
      </c>
      <c r="L412" s="17" t="s">
        <v>457</v>
      </c>
      <c r="M412" s="17" t="s">
        <v>743</v>
      </c>
      <c r="N412" s="21" t="s">
        <v>54</v>
      </c>
      <c r="O412" s="22" t="s">
        <v>54</v>
      </c>
      <c r="P412" s="21" t="s">
        <v>54</v>
      </c>
    </row>
    <row r="413" ht="39" customHeight="1" spans="1:16">
      <c r="A413" s="17" t="s">
        <v>1257</v>
      </c>
      <c r="B413" s="17" t="s">
        <v>273</v>
      </c>
      <c r="C413" s="17" t="s">
        <v>739</v>
      </c>
      <c r="D413" s="17" t="s">
        <v>1258</v>
      </c>
      <c r="E413" s="17" t="s">
        <v>1259</v>
      </c>
      <c r="F413" s="17" t="s">
        <v>54</v>
      </c>
      <c r="G413" s="17" t="s">
        <v>161</v>
      </c>
      <c r="H413" s="17" t="s">
        <v>54</v>
      </c>
      <c r="I413" s="17" t="s">
        <v>1260</v>
      </c>
      <c r="J413" s="17" t="s">
        <v>54</v>
      </c>
      <c r="K413" s="17" t="s">
        <v>54</v>
      </c>
      <c r="L413" s="17" t="s">
        <v>457</v>
      </c>
      <c r="M413" s="17" t="s">
        <v>743</v>
      </c>
      <c r="N413" s="21" t="s">
        <v>54</v>
      </c>
      <c r="O413" s="22" t="s">
        <v>54</v>
      </c>
      <c r="P413" s="21" t="s">
        <v>54</v>
      </c>
    </row>
    <row r="414" ht="39" customHeight="1" spans="1:16">
      <c r="A414" s="17" t="s">
        <v>1261</v>
      </c>
      <c r="B414" s="17" t="s">
        <v>273</v>
      </c>
      <c r="C414" s="17" t="s">
        <v>739</v>
      </c>
      <c r="D414" s="17" t="s">
        <v>1262</v>
      </c>
      <c r="E414" s="17" t="s">
        <v>1263</v>
      </c>
      <c r="F414" s="17" t="s">
        <v>54</v>
      </c>
      <c r="G414" s="17" t="s">
        <v>161</v>
      </c>
      <c r="H414" s="17" t="s">
        <v>54</v>
      </c>
      <c r="I414" s="17" t="s">
        <v>1260</v>
      </c>
      <c r="J414" s="17" t="s">
        <v>54</v>
      </c>
      <c r="K414" s="17" t="s">
        <v>54</v>
      </c>
      <c r="L414" s="17" t="s">
        <v>457</v>
      </c>
      <c r="M414" s="17" t="s">
        <v>743</v>
      </c>
      <c r="N414" s="21" t="s">
        <v>54</v>
      </c>
      <c r="O414" s="22" t="s">
        <v>54</v>
      </c>
      <c r="P414" s="21" t="s">
        <v>54</v>
      </c>
    </row>
    <row r="415" ht="39" customHeight="1" spans="1:16">
      <c r="A415" s="17" t="s">
        <v>1264</v>
      </c>
      <c r="B415" s="17" t="s">
        <v>273</v>
      </c>
      <c r="C415" s="17" t="s">
        <v>739</v>
      </c>
      <c r="D415" s="17" t="s">
        <v>1265</v>
      </c>
      <c r="E415" s="17" t="s">
        <v>1266</v>
      </c>
      <c r="F415" s="17" t="s">
        <v>54</v>
      </c>
      <c r="G415" s="17" t="s">
        <v>161</v>
      </c>
      <c r="H415" s="17" t="s">
        <v>54</v>
      </c>
      <c r="I415" s="17" t="s">
        <v>1260</v>
      </c>
      <c r="J415" s="17" t="s">
        <v>54</v>
      </c>
      <c r="K415" s="17" t="s">
        <v>54</v>
      </c>
      <c r="L415" s="17" t="s">
        <v>457</v>
      </c>
      <c r="M415" s="17" t="s">
        <v>743</v>
      </c>
      <c r="N415" s="21" t="s">
        <v>54</v>
      </c>
      <c r="O415" s="22" t="s">
        <v>54</v>
      </c>
      <c r="P415" s="21" t="s">
        <v>54</v>
      </c>
    </row>
    <row r="416" ht="39" customHeight="1" spans="1:16">
      <c r="A416" s="17" t="s">
        <v>1267</v>
      </c>
      <c r="B416" s="17" t="s">
        <v>273</v>
      </c>
      <c r="C416" s="17" t="s">
        <v>739</v>
      </c>
      <c r="D416" s="17" t="s">
        <v>1268</v>
      </c>
      <c r="E416" s="17" t="s">
        <v>1269</v>
      </c>
      <c r="F416" s="17" t="s">
        <v>54</v>
      </c>
      <c r="G416" s="17" t="s">
        <v>161</v>
      </c>
      <c r="H416" s="17" t="s">
        <v>54</v>
      </c>
      <c r="I416" s="17" t="s">
        <v>1260</v>
      </c>
      <c r="J416" s="17" t="s">
        <v>54</v>
      </c>
      <c r="K416" s="17" t="s">
        <v>54</v>
      </c>
      <c r="L416" s="17" t="s">
        <v>457</v>
      </c>
      <c r="M416" s="17" t="s">
        <v>743</v>
      </c>
      <c r="N416" s="21" t="s">
        <v>54</v>
      </c>
      <c r="O416" s="22" t="s">
        <v>54</v>
      </c>
      <c r="P416" s="21" t="s">
        <v>54</v>
      </c>
    </row>
    <row r="417" ht="39" customHeight="1" spans="1:16">
      <c r="A417" s="17" t="s">
        <v>1270</v>
      </c>
      <c r="B417" s="17" t="s">
        <v>276</v>
      </c>
      <c r="C417" s="17" t="s">
        <v>739</v>
      </c>
      <c r="D417" s="17" t="s">
        <v>1271</v>
      </c>
      <c r="E417" s="17" t="s">
        <v>1272</v>
      </c>
      <c r="F417" s="17" t="s">
        <v>54</v>
      </c>
      <c r="G417" s="17" t="s">
        <v>161</v>
      </c>
      <c r="H417" s="17" t="s">
        <v>54</v>
      </c>
      <c r="I417" s="17" t="s">
        <v>1273</v>
      </c>
      <c r="J417" s="17" t="s">
        <v>54</v>
      </c>
      <c r="K417" s="17" t="s">
        <v>54</v>
      </c>
      <c r="L417" s="17" t="s">
        <v>457</v>
      </c>
      <c r="M417" s="17" t="s">
        <v>743</v>
      </c>
      <c r="N417" s="21" t="s">
        <v>54</v>
      </c>
      <c r="O417" s="22" t="s">
        <v>54</v>
      </c>
      <c r="P417" s="21" t="s">
        <v>54</v>
      </c>
    </row>
    <row r="418" ht="52" customHeight="1" spans="1:16">
      <c r="A418" s="17" t="s">
        <v>1274</v>
      </c>
      <c r="B418" s="17" t="s">
        <v>276</v>
      </c>
      <c r="C418" s="17" t="s">
        <v>739</v>
      </c>
      <c r="D418" s="17" t="s">
        <v>1275</v>
      </c>
      <c r="E418" s="17" t="s">
        <v>1276</v>
      </c>
      <c r="F418" s="17" t="s">
        <v>54</v>
      </c>
      <c r="G418" s="17" t="s">
        <v>161</v>
      </c>
      <c r="H418" s="17" t="s">
        <v>54</v>
      </c>
      <c r="I418" s="17" t="s">
        <v>1273</v>
      </c>
      <c r="J418" s="17" t="s">
        <v>54</v>
      </c>
      <c r="K418" s="17" t="s">
        <v>54</v>
      </c>
      <c r="L418" s="17" t="s">
        <v>457</v>
      </c>
      <c r="M418" s="17" t="s">
        <v>743</v>
      </c>
      <c r="N418" s="21" t="s">
        <v>54</v>
      </c>
      <c r="O418" s="22" t="s">
        <v>54</v>
      </c>
      <c r="P418" s="21" t="s">
        <v>54</v>
      </c>
    </row>
    <row r="419" ht="39" customHeight="1" spans="1:16">
      <c r="A419" s="17" t="s">
        <v>1277</v>
      </c>
      <c r="B419" s="17" t="s">
        <v>276</v>
      </c>
      <c r="C419" s="17" t="s">
        <v>739</v>
      </c>
      <c r="D419" s="17" t="s">
        <v>1278</v>
      </c>
      <c r="E419" s="17" t="s">
        <v>1279</v>
      </c>
      <c r="F419" s="17" t="s">
        <v>54</v>
      </c>
      <c r="G419" s="17" t="s">
        <v>161</v>
      </c>
      <c r="H419" s="17" t="s">
        <v>54</v>
      </c>
      <c r="I419" s="17" t="s">
        <v>1273</v>
      </c>
      <c r="J419" s="17" t="s">
        <v>54</v>
      </c>
      <c r="K419" s="17" t="s">
        <v>54</v>
      </c>
      <c r="L419" s="17" t="s">
        <v>457</v>
      </c>
      <c r="M419" s="17" t="s">
        <v>743</v>
      </c>
      <c r="N419" s="21" t="s">
        <v>54</v>
      </c>
      <c r="O419" s="22" t="s">
        <v>54</v>
      </c>
      <c r="P419" s="21" t="s">
        <v>54</v>
      </c>
    </row>
    <row r="420" ht="52" customHeight="1" spans="1:16">
      <c r="A420" s="17" t="s">
        <v>1280</v>
      </c>
      <c r="B420" s="17" t="s">
        <v>276</v>
      </c>
      <c r="C420" s="17" t="s">
        <v>739</v>
      </c>
      <c r="D420" s="17" t="s">
        <v>1281</v>
      </c>
      <c r="E420" s="17" t="s">
        <v>1282</v>
      </c>
      <c r="F420" s="17" t="s">
        <v>54</v>
      </c>
      <c r="G420" s="17" t="s">
        <v>161</v>
      </c>
      <c r="H420" s="17" t="s">
        <v>54</v>
      </c>
      <c r="I420" s="17" t="s">
        <v>1273</v>
      </c>
      <c r="J420" s="17" t="s">
        <v>54</v>
      </c>
      <c r="K420" s="17" t="s">
        <v>54</v>
      </c>
      <c r="L420" s="17" t="s">
        <v>457</v>
      </c>
      <c r="M420" s="17" t="s">
        <v>743</v>
      </c>
      <c r="N420" s="21" t="s">
        <v>54</v>
      </c>
      <c r="O420" s="22" t="s">
        <v>54</v>
      </c>
      <c r="P420" s="21" t="s">
        <v>54</v>
      </c>
    </row>
    <row r="421" ht="39" customHeight="1" spans="1:16">
      <c r="A421" s="17" t="s">
        <v>1283</v>
      </c>
      <c r="B421" s="17" t="s">
        <v>278</v>
      </c>
      <c r="C421" s="17" t="s">
        <v>739</v>
      </c>
      <c r="D421" s="17" t="s">
        <v>1284</v>
      </c>
      <c r="E421" s="17" t="s">
        <v>1285</v>
      </c>
      <c r="F421" s="17" t="s">
        <v>54</v>
      </c>
      <c r="G421" s="17" t="s">
        <v>161</v>
      </c>
      <c r="H421" s="17" t="s">
        <v>54</v>
      </c>
      <c r="I421" s="17" t="s">
        <v>1286</v>
      </c>
      <c r="J421" s="17" t="s">
        <v>54</v>
      </c>
      <c r="K421" s="17" t="s">
        <v>54</v>
      </c>
      <c r="L421" s="17" t="s">
        <v>457</v>
      </c>
      <c r="M421" s="17" t="s">
        <v>743</v>
      </c>
      <c r="N421" s="21" t="s">
        <v>54</v>
      </c>
      <c r="O421" s="22" t="s">
        <v>54</v>
      </c>
      <c r="P421" s="21" t="s">
        <v>54</v>
      </c>
    </row>
    <row r="422" ht="39" customHeight="1" spans="1:16">
      <c r="A422" s="17" t="s">
        <v>1287</v>
      </c>
      <c r="B422" s="17" t="s">
        <v>278</v>
      </c>
      <c r="C422" s="17" t="s">
        <v>739</v>
      </c>
      <c r="D422" s="17" t="s">
        <v>1288</v>
      </c>
      <c r="E422" s="17" t="s">
        <v>1289</v>
      </c>
      <c r="F422" s="17" t="s">
        <v>54</v>
      </c>
      <c r="G422" s="17" t="s">
        <v>161</v>
      </c>
      <c r="H422" s="17" t="s">
        <v>54</v>
      </c>
      <c r="I422" s="17" t="s">
        <v>1286</v>
      </c>
      <c r="J422" s="17" t="s">
        <v>54</v>
      </c>
      <c r="K422" s="17" t="s">
        <v>54</v>
      </c>
      <c r="L422" s="17" t="s">
        <v>457</v>
      </c>
      <c r="M422" s="17" t="s">
        <v>743</v>
      </c>
      <c r="N422" s="21" t="s">
        <v>54</v>
      </c>
      <c r="O422" s="22" t="s">
        <v>54</v>
      </c>
      <c r="P422" s="21" t="s">
        <v>54</v>
      </c>
    </row>
    <row r="423" ht="39" customHeight="1" spans="1:16">
      <c r="A423" s="17" t="s">
        <v>1290</v>
      </c>
      <c r="B423" s="17" t="s">
        <v>278</v>
      </c>
      <c r="C423" s="17" t="s">
        <v>739</v>
      </c>
      <c r="D423" s="17" t="s">
        <v>1291</v>
      </c>
      <c r="E423" s="17" t="s">
        <v>1292</v>
      </c>
      <c r="F423" s="17" t="s">
        <v>54</v>
      </c>
      <c r="G423" s="17" t="s">
        <v>161</v>
      </c>
      <c r="H423" s="17" t="s">
        <v>54</v>
      </c>
      <c r="I423" s="17" t="s">
        <v>1286</v>
      </c>
      <c r="J423" s="17" t="s">
        <v>54</v>
      </c>
      <c r="K423" s="17" t="s">
        <v>54</v>
      </c>
      <c r="L423" s="17" t="s">
        <v>457</v>
      </c>
      <c r="M423" s="17" t="s">
        <v>743</v>
      </c>
      <c r="N423" s="21" t="s">
        <v>54</v>
      </c>
      <c r="O423" s="22" t="s">
        <v>54</v>
      </c>
      <c r="P423" s="21" t="s">
        <v>54</v>
      </c>
    </row>
    <row r="424" ht="52" customHeight="1" spans="1:16">
      <c r="A424" s="17" t="s">
        <v>1293</v>
      </c>
      <c r="B424" s="17" t="s">
        <v>281</v>
      </c>
      <c r="C424" s="17" t="s">
        <v>739</v>
      </c>
      <c r="D424" s="17" t="s">
        <v>1294</v>
      </c>
      <c r="E424" s="17" t="s">
        <v>1295</v>
      </c>
      <c r="F424" s="17" t="s">
        <v>54</v>
      </c>
      <c r="G424" s="17" t="s">
        <v>161</v>
      </c>
      <c r="H424" s="17" t="s">
        <v>54</v>
      </c>
      <c r="I424" s="17" t="s">
        <v>1135</v>
      </c>
      <c r="J424" s="17" t="s">
        <v>54</v>
      </c>
      <c r="K424" s="17" t="s">
        <v>54</v>
      </c>
      <c r="L424" s="17" t="s">
        <v>457</v>
      </c>
      <c r="M424" s="17" t="s">
        <v>743</v>
      </c>
      <c r="N424" s="21" t="s">
        <v>54</v>
      </c>
      <c r="O424" s="22" t="s">
        <v>54</v>
      </c>
      <c r="P424" s="21" t="s">
        <v>54</v>
      </c>
    </row>
    <row r="425" ht="52" customHeight="1" spans="1:16">
      <c r="A425" s="17" t="s">
        <v>1296</v>
      </c>
      <c r="B425" s="17" t="s">
        <v>281</v>
      </c>
      <c r="C425" s="17" t="s">
        <v>739</v>
      </c>
      <c r="D425" s="17" t="s">
        <v>1297</v>
      </c>
      <c r="E425" s="17" t="s">
        <v>1298</v>
      </c>
      <c r="F425" s="17" t="s">
        <v>54</v>
      </c>
      <c r="G425" s="17" t="s">
        <v>161</v>
      </c>
      <c r="H425" s="17" t="s">
        <v>54</v>
      </c>
      <c r="I425" s="17" t="s">
        <v>1135</v>
      </c>
      <c r="J425" s="17" t="s">
        <v>54</v>
      </c>
      <c r="K425" s="17" t="s">
        <v>54</v>
      </c>
      <c r="L425" s="17" t="s">
        <v>457</v>
      </c>
      <c r="M425" s="17" t="s">
        <v>743</v>
      </c>
      <c r="N425" s="21" t="s">
        <v>54</v>
      </c>
      <c r="O425" s="22" t="s">
        <v>54</v>
      </c>
      <c r="P425" s="21" t="s">
        <v>54</v>
      </c>
    </row>
    <row r="426" ht="52" customHeight="1" spans="1:16">
      <c r="A426" s="17" t="s">
        <v>1299</v>
      </c>
      <c r="B426" s="17" t="s">
        <v>281</v>
      </c>
      <c r="C426" s="17" t="s">
        <v>739</v>
      </c>
      <c r="D426" s="17" t="s">
        <v>1300</v>
      </c>
      <c r="E426" s="17" t="s">
        <v>1301</v>
      </c>
      <c r="F426" s="17" t="s">
        <v>54</v>
      </c>
      <c r="G426" s="17" t="s">
        <v>161</v>
      </c>
      <c r="H426" s="17" t="s">
        <v>54</v>
      </c>
      <c r="I426" s="17" t="s">
        <v>1135</v>
      </c>
      <c r="J426" s="17" t="s">
        <v>54</v>
      </c>
      <c r="K426" s="17" t="s">
        <v>54</v>
      </c>
      <c r="L426" s="17" t="s">
        <v>457</v>
      </c>
      <c r="M426" s="17" t="s">
        <v>743</v>
      </c>
      <c r="N426" s="21" t="s">
        <v>54</v>
      </c>
      <c r="O426" s="22" t="s">
        <v>54</v>
      </c>
      <c r="P426" s="21" t="s">
        <v>54</v>
      </c>
    </row>
    <row r="427" ht="39" customHeight="1" spans="1:16">
      <c r="A427" s="17" t="s">
        <v>1302</v>
      </c>
      <c r="B427" s="17" t="s">
        <v>283</v>
      </c>
      <c r="C427" s="17" t="s">
        <v>739</v>
      </c>
      <c r="D427" s="17" t="s">
        <v>1303</v>
      </c>
      <c r="E427" s="17" t="s">
        <v>1304</v>
      </c>
      <c r="F427" s="17" t="s">
        <v>54</v>
      </c>
      <c r="G427" s="17" t="s">
        <v>161</v>
      </c>
      <c r="H427" s="17" t="s">
        <v>54</v>
      </c>
      <c r="I427" s="17" t="s">
        <v>1305</v>
      </c>
      <c r="J427" s="17" t="s">
        <v>54</v>
      </c>
      <c r="K427" s="17" t="s">
        <v>54</v>
      </c>
      <c r="L427" s="17" t="s">
        <v>457</v>
      </c>
      <c r="M427" s="17" t="s">
        <v>743</v>
      </c>
      <c r="N427" s="21" t="s">
        <v>54</v>
      </c>
      <c r="O427" s="22" t="s">
        <v>54</v>
      </c>
      <c r="P427" s="21" t="s">
        <v>54</v>
      </c>
    </row>
    <row r="428" ht="52" customHeight="1" spans="1:16">
      <c r="A428" s="17" t="s">
        <v>1306</v>
      </c>
      <c r="B428" s="17" t="s">
        <v>283</v>
      </c>
      <c r="C428" s="17" t="s">
        <v>739</v>
      </c>
      <c r="D428" s="17" t="s">
        <v>1307</v>
      </c>
      <c r="E428" s="17" t="s">
        <v>1308</v>
      </c>
      <c r="F428" s="17" t="s">
        <v>54</v>
      </c>
      <c r="G428" s="17" t="s">
        <v>161</v>
      </c>
      <c r="H428" s="17" t="s">
        <v>54</v>
      </c>
      <c r="I428" s="17" t="s">
        <v>1305</v>
      </c>
      <c r="J428" s="17" t="s">
        <v>54</v>
      </c>
      <c r="K428" s="17" t="s">
        <v>54</v>
      </c>
      <c r="L428" s="17" t="s">
        <v>457</v>
      </c>
      <c r="M428" s="17" t="s">
        <v>743</v>
      </c>
      <c r="N428" s="21" t="s">
        <v>54</v>
      </c>
      <c r="O428" s="22" t="s">
        <v>54</v>
      </c>
      <c r="P428" s="21" t="s">
        <v>54</v>
      </c>
    </row>
    <row r="429" ht="39" customHeight="1" spans="1:16">
      <c r="A429" s="17" t="s">
        <v>1309</v>
      </c>
      <c r="B429" s="17" t="s">
        <v>283</v>
      </c>
      <c r="C429" s="17" t="s">
        <v>739</v>
      </c>
      <c r="D429" s="17" t="s">
        <v>1310</v>
      </c>
      <c r="E429" s="17" t="s">
        <v>1311</v>
      </c>
      <c r="F429" s="17" t="s">
        <v>54</v>
      </c>
      <c r="G429" s="17" t="s">
        <v>161</v>
      </c>
      <c r="H429" s="17" t="s">
        <v>54</v>
      </c>
      <c r="I429" s="17" t="s">
        <v>1305</v>
      </c>
      <c r="J429" s="17" t="s">
        <v>54</v>
      </c>
      <c r="K429" s="17" t="s">
        <v>54</v>
      </c>
      <c r="L429" s="17" t="s">
        <v>457</v>
      </c>
      <c r="M429" s="17" t="s">
        <v>743</v>
      </c>
      <c r="N429" s="21" t="s">
        <v>54</v>
      </c>
      <c r="O429" s="22" t="s">
        <v>54</v>
      </c>
      <c r="P429" s="21" t="s">
        <v>54</v>
      </c>
    </row>
    <row r="430" ht="39" customHeight="1" spans="1:16">
      <c r="A430" s="17" t="s">
        <v>1312</v>
      </c>
      <c r="B430" s="17" t="s">
        <v>286</v>
      </c>
      <c r="C430" s="17" t="s">
        <v>739</v>
      </c>
      <c r="D430" s="17" t="s">
        <v>1313</v>
      </c>
      <c r="E430" s="17" t="s">
        <v>1314</v>
      </c>
      <c r="F430" s="17" t="s">
        <v>54</v>
      </c>
      <c r="G430" s="17" t="s">
        <v>161</v>
      </c>
      <c r="H430" s="17" t="s">
        <v>54</v>
      </c>
      <c r="I430" s="17" t="s">
        <v>1315</v>
      </c>
      <c r="J430" s="17" t="s">
        <v>54</v>
      </c>
      <c r="K430" s="17" t="s">
        <v>54</v>
      </c>
      <c r="L430" s="17" t="s">
        <v>457</v>
      </c>
      <c r="M430" s="17" t="s">
        <v>743</v>
      </c>
      <c r="N430" s="21" t="s">
        <v>54</v>
      </c>
      <c r="O430" s="22" t="s">
        <v>54</v>
      </c>
      <c r="P430" s="21" t="s">
        <v>54</v>
      </c>
    </row>
    <row r="431" ht="52" customHeight="1" spans="1:16">
      <c r="A431" s="17" t="s">
        <v>1316</v>
      </c>
      <c r="B431" s="17" t="s">
        <v>286</v>
      </c>
      <c r="C431" s="17" t="s">
        <v>739</v>
      </c>
      <c r="D431" s="17" t="s">
        <v>1317</v>
      </c>
      <c r="E431" s="17" t="s">
        <v>1318</v>
      </c>
      <c r="F431" s="17" t="s">
        <v>54</v>
      </c>
      <c r="G431" s="17" t="s">
        <v>161</v>
      </c>
      <c r="H431" s="17" t="s">
        <v>54</v>
      </c>
      <c r="I431" s="17" t="s">
        <v>1315</v>
      </c>
      <c r="J431" s="17" t="s">
        <v>54</v>
      </c>
      <c r="K431" s="17" t="s">
        <v>54</v>
      </c>
      <c r="L431" s="17" t="s">
        <v>457</v>
      </c>
      <c r="M431" s="17" t="s">
        <v>743</v>
      </c>
      <c r="N431" s="21" t="s">
        <v>54</v>
      </c>
      <c r="O431" s="22" t="s">
        <v>54</v>
      </c>
      <c r="P431" s="21" t="s">
        <v>54</v>
      </c>
    </row>
    <row r="432" ht="39" customHeight="1" spans="1:16">
      <c r="A432" s="17" t="s">
        <v>1319</v>
      </c>
      <c r="B432" s="17" t="s">
        <v>286</v>
      </c>
      <c r="C432" s="17" t="s">
        <v>739</v>
      </c>
      <c r="D432" s="17" t="s">
        <v>1320</v>
      </c>
      <c r="E432" s="17" t="s">
        <v>1321</v>
      </c>
      <c r="F432" s="17" t="s">
        <v>54</v>
      </c>
      <c r="G432" s="17" t="s">
        <v>161</v>
      </c>
      <c r="H432" s="17" t="s">
        <v>54</v>
      </c>
      <c r="I432" s="17" t="s">
        <v>1315</v>
      </c>
      <c r="J432" s="17" t="s">
        <v>54</v>
      </c>
      <c r="K432" s="17" t="s">
        <v>54</v>
      </c>
      <c r="L432" s="17" t="s">
        <v>457</v>
      </c>
      <c r="M432" s="17" t="s">
        <v>743</v>
      </c>
      <c r="N432" s="21" t="s">
        <v>54</v>
      </c>
      <c r="O432" s="22" t="s">
        <v>54</v>
      </c>
      <c r="P432" s="21" t="s">
        <v>54</v>
      </c>
    </row>
    <row r="433" ht="39" customHeight="1" spans="1:16">
      <c r="A433" s="17" t="s">
        <v>1322</v>
      </c>
      <c r="B433" s="17" t="s">
        <v>288</v>
      </c>
      <c r="C433" s="17" t="s">
        <v>739</v>
      </c>
      <c r="D433" s="17" t="s">
        <v>1323</v>
      </c>
      <c r="E433" s="17" t="s">
        <v>1324</v>
      </c>
      <c r="F433" s="17" t="s">
        <v>54</v>
      </c>
      <c r="G433" s="17" t="s">
        <v>161</v>
      </c>
      <c r="H433" s="17" t="s">
        <v>54</v>
      </c>
      <c r="I433" s="17" t="s">
        <v>1325</v>
      </c>
      <c r="J433" s="17" t="s">
        <v>54</v>
      </c>
      <c r="K433" s="17" t="s">
        <v>54</v>
      </c>
      <c r="L433" s="17" t="s">
        <v>457</v>
      </c>
      <c r="M433" s="17" t="s">
        <v>743</v>
      </c>
      <c r="N433" s="21" t="s">
        <v>54</v>
      </c>
      <c r="O433" s="22" t="s">
        <v>54</v>
      </c>
      <c r="P433" s="21" t="s">
        <v>54</v>
      </c>
    </row>
    <row r="434" ht="52" customHeight="1" spans="1:16">
      <c r="A434" s="17" t="s">
        <v>1326</v>
      </c>
      <c r="B434" s="17" t="s">
        <v>288</v>
      </c>
      <c r="C434" s="17" t="s">
        <v>739</v>
      </c>
      <c r="D434" s="17" t="s">
        <v>1327</v>
      </c>
      <c r="E434" s="17" t="s">
        <v>1328</v>
      </c>
      <c r="F434" s="17" t="s">
        <v>54</v>
      </c>
      <c r="G434" s="17" t="s">
        <v>161</v>
      </c>
      <c r="H434" s="17" t="s">
        <v>54</v>
      </c>
      <c r="I434" s="17" t="s">
        <v>1325</v>
      </c>
      <c r="J434" s="17" t="s">
        <v>54</v>
      </c>
      <c r="K434" s="17" t="s">
        <v>54</v>
      </c>
      <c r="L434" s="17" t="s">
        <v>457</v>
      </c>
      <c r="M434" s="17" t="s">
        <v>743</v>
      </c>
      <c r="N434" s="21" t="s">
        <v>54</v>
      </c>
      <c r="O434" s="22" t="s">
        <v>54</v>
      </c>
      <c r="P434" s="21" t="s">
        <v>54</v>
      </c>
    </row>
    <row r="435" ht="52" customHeight="1" spans="1:16">
      <c r="A435" s="17" t="s">
        <v>1329</v>
      </c>
      <c r="B435" s="17" t="s">
        <v>288</v>
      </c>
      <c r="C435" s="17" t="s">
        <v>739</v>
      </c>
      <c r="D435" s="17" t="s">
        <v>1330</v>
      </c>
      <c r="E435" s="17" t="s">
        <v>1331</v>
      </c>
      <c r="F435" s="17" t="s">
        <v>54</v>
      </c>
      <c r="G435" s="17" t="s">
        <v>161</v>
      </c>
      <c r="H435" s="17" t="s">
        <v>54</v>
      </c>
      <c r="I435" s="17" t="s">
        <v>1325</v>
      </c>
      <c r="J435" s="17" t="s">
        <v>54</v>
      </c>
      <c r="K435" s="17" t="s">
        <v>54</v>
      </c>
      <c r="L435" s="17" t="s">
        <v>457</v>
      </c>
      <c r="M435" s="17" t="s">
        <v>743</v>
      </c>
      <c r="N435" s="21" t="s">
        <v>54</v>
      </c>
      <c r="O435" s="22" t="s">
        <v>54</v>
      </c>
      <c r="P435" s="21" t="s">
        <v>54</v>
      </c>
    </row>
    <row r="436" ht="52" customHeight="1" spans="1:16">
      <c r="A436" s="17" t="s">
        <v>1332</v>
      </c>
      <c r="B436" s="17" t="s">
        <v>291</v>
      </c>
      <c r="C436" s="17" t="s">
        <v>739</v>
      </c>
      <c r="D436" s="17" t="s">
        <v>1333</v>
      </c>
      <c r="E436" s="17" t="s">
        <v>1334</v>
      </c>
      <c r="F436" s="17" t="s">
        <v>54</v>
      </c>
      <c r="G436" s="17" t="s">
        <v>161</v>
      </c>
      <c r="H436" s="17" t="s">
        <v>54</v>
      </c>
      <c r="I436" s="17" t="s">
        <v>1335</v>
      </c>
      <c r="J436" s="17" t="s">
        <v>54</v>
      </c>
      <c r="K436" s="17" t="s">
        <v>54</v>
      </c>
      <c r="L436" s="17" t="s">
        <v>457</v>
      </c>
      <c r="M436" s="17" t="s">
        <v>743</v>
      </c>
      <c r="N436" s="21" t="s">
        <v>54</v>
      </c>
      <c r="O436" s="22" t="s">
        <v>54</v>
      </c>
      <c r="P436" s="21" t="s">
        <v>54</v>
      </c>
    </row>
    <row r="437" ht="52" customHeight="1" spans="1:16">
      <c r="A437" s="17" t="s">
        <v>1336</v>
      </c>
      <c r="B437" s="17" t="s">
        <v>291</v>
      </c>
      <c r="C437" s="17" t="s">
        <v>739</v>
      </c>
      <c r="D437" s="17" t="s">
        <v>1337</v>
      </c>
      <c r="E437" s="17" t="s">
        <v>1338</v>
      </c>
      <c r="F437" s="17" t="s">
        <v>54</v>
      </c>
      <c r="G437" s="17" t="s">
        <v>161</v>
      </c>
      <c r="H437" s="17" t="s">
        <v>54</v>
      </c>
      <c r="I437" s="17" t="s">
        <v>1335</v>
      </c>
      <c r="J437" s="17" t="s">
        <v>54</v>
      </c>
      <c r="K437" s="17" t="s">
        <v>54</v>
      </c>
      <c r="L437" s="17" t="s">
        <v>457</v>
      </c>
      <c r="M437" s="17" t="s">
        <v>743</v>
      </c>
      <c r="N437" s="21" t="s">
        <v>54</v>
      </c>
      <c r="O437" s="22" t="s">
        <v>54</v>
      </c>
      <c r="P437" s="21" t="s">
        <v>54</v>
      </c>
    </row>
    <row r="438" ht="52" customHeight="1" spans="1:16">
      <c r="A438" s="17" t="s">
        <v>1339</v>
      </c>
      <c r="B438" s="17" t="s">
        <v>291</v>
      </c>
      <c r="C438" s="17" t="s">
        <v>739</v>
      </c>
      <c r="D438" s="17" t="s">
        <v>1340</v>
      </c>
      <c r="E438" s="17" t="s">
        <v>1341</v>
      </c>
      <c r="F438" s="17" t="s">
        <v>54</v>
      </c>
      <c r="G438" s="17" t="s">
        <v>161</v>
      </c>
      <c r="H438" s="17" t="s">
        <v>54</v>
      </c>
      <c r="I438" s="17" t="s">
        <v>1335</v>
      </c>
      <c r="J438" s="17" t="s">
        <v>54</v>
      </c>
      <c r="K438" s="17" t="s">
        <v>54</v>
      </c>
      <c r="L438" s="17" t="s">
        <v>457</v>
      </c>
      <c r="M438" s="17" t="s">
        <v>743</v>
      </c>
      <c r="N438" s="21" t="s">
        <v>54</v>
      </c>
      <c r="O438" s="22" t="s">
        <v>54</v>
      </c>
      <c r="P438" s="21" t="s">
        <v>54</v>
      </c>
    </row>
    <row r="439" ht="52" customHeight="1" spans="1:16">
      <c r="A439" s="17" t="s">
        <v>1342</v>
      </c>
      <c r="B439" s="17" t="s">
        <v>291</v>
      </c>
      <c r="C439" s="17" t="s">
        <v>739</v>
      </c>
      <c r="D439" s="17" t="s">
        <v>1343</v>
      </c>
      <c r="E439" s="17" t="s">
        <v>1344</v>
      </c>
      <c r="F439" s="17" t="s">
        <v>54</v>
      </c>
      <c r="G439" s="17" t="s">
        <v>161</v>
      </c>
      <c r="H439" s="17" t="s">
        <v>54</v>
      </c>
      <c r="I439" s="17" t="s">
        <v>1335</v>
      </c>
      <c r="J439" s="17" t="s">
        <v>54</v>
      </c>
      <c r="K439" s="17" t="s">
        <v>54</v>
      </c>
      <c r="L439" s="17" t="s">
        <v>457</v>
      </c>
      <c r="M439" s="17" t="s">
        <v>743</v>
      </c>
      <c r="N439" s="21" t="s">
        <v>54</v>
      </c>
      <c r="O439" s="22" t="s">
        <v>54</v>
      </c>
      <c r="P439" s="21" t="s">
        <v>54</v>
      </c>
    </row>
    <row r="440" ht="39" customHeight="1" spans="1:16">
      <c r="A440" s="17" t="s">
        <v>1345</v>
      </c>
      <c r="B440" s="17" t="s">
        <v>293</v>
      </c>
      <c r="C440" s="17" t="s">
        <v>739</v>
      </c>
      <c r="D440" s="17" t="s">
        <v>1346</v>
      </c>
      <c r="E440" s="17" t="s">
        <v>1347</v>
      </c>
      <c r="F440" s="17" t="s">
        <v>54</v>
      </c>
      <c r="G440" s="17" t="s">
        <v>161</v>
      </c>
      <c r="H440" s="17" t="s">
        <v>54</v>
      </c>
      <c r="I440" s="17" t="s">
        <v>1348</v>
      </c>
      <c r="J440" s="17" t="s">
        <v>54</v>
      </c>
      <c r="K440" s="17" t="s">
        <v>54</v>
      </c>
      <c r="L440" s="17" t="s">
        <v>457</v>
      </c>
      <c r="M440" s="17" t="s">
        <v>743</v>
      </c>
      <c r="N440" s="21" t="s">
        <v>54</v>
      </c>
      <c r="O440" s="22" t="s">
        <v>54</v>
      </c>
      <c r="P440" s="21" t="s">
        <v>54</v>
      </c>
    </row>
    <row r="441" ht="39" customHeight="1" spans="1:16">
      <c r="A441" s="17" t="s">
        <v>1349</v>
      </c>
      <c r="B441" s="17" t="s">
        <v>293</v>
      </c>
      <c r="C441" s="17" t="s">
        <v>739</v>
      </c>
      <c r="D441" s="17" t="s">
        <v>1350</v>
      </c>
      <c r="E441" s="17" t="s">
        <v>1351</v>
      </c>
      <c r="F441" s="17" t="s">
        <v>54</v>
      </c>
      <c r="G441" s="17" t="s">
        <v>161</v>
      </c>
      <c r="H441" s="17" t="s">
        <v>54</v>
      </c>
      <c r="I441" s="17" t="s">
        <v>1348</v>
      </c>
      <c r="J441" s="17" t="s">
        <v>54</v>
      </c>
      <c r="K441" s="17" t="s">
        <v>54</v>
      </c>
      <c r="L441" s="17" t="s">
        <v>457</v>
      </c>
      <c r="M441" s="17" t="s">
        <v>743</v>
      </c>
      <c r="N441" s="21" t="s">
        <v>54</v>
      </c>
      <c r="O441" s="22" t="s">
        <v>54</v>
      </c>
      <c r="P441" s="21" t="s">
        <v>54</v>
      </c>
    </row>
    <row r="442" ht="39" customHeight="1" spans="1:16">
      <c r="A442" s="17" t="s">
        <v>1352</v>
      </c>
      <c r="B442" s="17" t="s">
        <v>293</v>
      </c>
      <c r="C442" s="17" t="s">
        <v>739</v>
      </c>
      <c r="D442" s="17" t="s">
        <v>1353</v>
      </c>
      <c r="E442" s="17" t="s">
        <v>1354</v>
      </c>
      <c r="F442" s="17" t="s">
        <v>54</v>
      </c>
      <c r="G442" s="17" t="s">
        <v>161</v>
      </c>
      <c r="H442" s="17" t="s">
        <v>54</v>
      </c>
      <c r="I442" s="17" t="s">
        <v>1348</v>
      </c>
      <c r="J442" s="17" t="s">
        <v>54</v>
      </c>
      <c r="K442" s="17" t="s">
        <v>54</v>
      </c>
      <c r="L442" s="17" t="s">
        <v>457</v>
      </c>
      <c r="M442" s="17" t="s">
        <v>743</v>
      </c>
      <c r="N442" s="21" t="s">
        <v>54</v>
      </c>
      <c r="O442" s="22" t="s">
        <v>54</v>
      </c>
      <c r="P442" s="21" t="s">
        <v>54</v>
      </c>
    </row>
    <row r="443" ht="52" customHeight="1" spans="1:16">
      <c r="A443" s="17" t="s">
        <v>1355</v>
      </c>
      <c r="B443" s="17" t="s">
        <v>296</v>
      </c>
      <c r="C443" s="17" t="s">
        <v>739</v>
      </c>
      <c r="D443" s="17" t="s">
        <v>1356</v>
      </c>
      <c r="E443" s="17" t="s">
        <v>1357</v>
      </c>
      <c r="F443" s="17" t="s">
        <v>54</v>
      </c>
      <c r="G443" s="17" t="s">
        <v>161</v>
      </c>
      <c r="H443" s="17" t="s">
        <v>54</v>
      </c>
      <c r="I443" s="17" t="s">
        <v>1358</v>
      </c>
      <c r="J443" s="17" t="s">
        <v>54</v>
      </c>
      <c r="K443" s="17" t="s">
        <v>54</v>
      </c>
      <c r="L443" s="17" t="s">
        <v>457</v>
      </c>
      <c r="M443" s="17" t="s">
        <v>743</v>
      </c>
      <c r="N443" s="21" t="s">
        <v>54</v>
      </c>
      <c r="O443" s="22" t="s">
        <v>54</v>
      </c>
      <c r="P443" s="21" t="s">
        <v>54</v>
      </c>
    </row>
    <row r="444" ht="52" customHeight="1" spans="1:16">
      <c r="A444" s="17" t="s">
        <v>1359</v>
      </c>
      <c r="B444" s="17" t="s">
        <v>296</v>
      </c>
      <c r="C444" s="17" t="s">
        <v>739</v>
      </c>
      <c r="D444" s="17" t="s">
        <v>1360</v>
      </c>
      <c r="E444" s="17" t="s">
        <v>1361</v>
      </c>
      <c r="F444" s="17" t="s">
        <v>54</v>
      </c>
      <c r="G444" s="17" t="s">
        <v>161</v>
      </c>
      <c r="H444" s="17" t="s">
        <v>54</v>
      </c>
      <c r="I444" s="17" t="s">
        <v>1358</v>
      </c>
      <c r="J444" s="17" t="s">
        <v>54</v>
      </c>
      <c r="K444" s="17" t="s">
        <v>54</v>
      </c>
      <c r="L444" s="17" t="s">
        <v>457</v>
      </c>
      <c r="M444" s="17" t="s">
        <v>743</v>
      </c>
      <c r="N444" s="21" t="s">
        <v>54</v>
      </c>
      <c r="O444" s="22" t="s">
        <v>54</v>
      </c>
      <c r="P444" s="21" t="s">
        <v>54</v>
      </c>
    </row>
    <row r="445" ht="52" customHeight="1" spans="1:16">
      <c r="A445" s="17" t="s">
        <v>1362</v>
      </c>
      <c r="B445" s="17" t="s">
        <v>296</v>
      </c>
      <c r="C445" s="17" t="s">
        <v>739</v>
      </c>
      <c r="D445" s="17" t="s">
        <v>1363</v>
      </c>
      <c r="E445" s="17" t="s">
        <v>1364</v>
      </c>
      <c r="F445" s="17" t="s">
        <v>54</v>
      </c>
      <c r="G445" s="17" t="s">
        <v>161</v>
      </c>
      <c r="H445" s="17" t="s">
        <v>54</v>
      </c>
      <c r="I445" s="17" t="s">
        <v>1358</v>
      </c>
      <c r="J445" s="17" t="s">
        <v>54</v>
      </c>
      <c r="K445" s="17" t="s">
        <v>54</v>
      </c>
      <c r="L445" s="17" t="s">
        <v>457</v>
      </c>
      <c r="M445" s="17" t="s">
        <v>743</v>
      </c>
      <c r="N445" s="21" t="s">
        <v>54</v>
      </c>
      <c r="O445" s="22" t="s">
        <v>54</v>
      </c>
      <c r="P445" s="21" t="s">
        <v>54</v>
      </c>
    </row>
    <row r="446" ht="39" customHeight="1" spans="1:16">
      <c r="A446" s="17" t="s">
        <v>1365</v>
      </c>
      <c r="B446" s="17" t="s">
        <v>298</v>
      </c>
      <c r="C446" s="17" t="s">
        <v>739</v>
      </c>
      <c r="D446" s="17" t="s">
        <v>1366</v>
      </c>
      <c r="E446" s="17" t="s">
        <v>1367</v>
      </c>
      <c r="F446" s="17" t="s">
        <v>54</v>
      </c>
      <c r="G446" s="17" t="s">
        <v>161</v>
      </c>
      <c r="H446" s="17" t="s">
        <v>54</v>
      </c>
      <c r="I446" s="17" t="s">
        <v>1368</v>
      </c>
      <c r="J446" s="17" t="s">
        <v>54</v>
      </c>
      <c r="K446" s="17" t="s">
        <v>54</v>
      </c>
      <c r="L446" s="17" t="s">
        <v>457</v>
      </c>
      <c r="M446" s="17" t="s">
        <v>743</v>
      </c>
      <c r="N446" s="21" t="s">
        <v>54</v>
      </c>
      <c r="O446" s="22" t="s">
        <v>54</v>
      </c>
      <c r="P446" s="21" t="s">
        <v>54</v>
      </c>
    </row>
    <row r="447" ht="39" customHeight="1" spans="1:16">
      <c r="A447" s="17" t="s">
        <v>1369</v>
      </c>
      <c r="B447" s="17" t="s">
        <v>298</v>
      </c>
      <c r="C447" s="17" t="s">
        <v>739</v>
      </c>
      <c r="D447" s="17" t="s">
        <v>1370</v>
      </c>
      <c r="E447" s="17" t="s">
        <v>1371</v>
      </c>
      <c r="F447" s="17" t="s">
        <v>54</v>
      </c>
      <c r="G447" s="17" t="s">
        <v>161</v>
      </c>
      <c r="H447" s="17" t="s">
        <v>54</v>
      </c>
      <c r="I447" s="17" t="s">
        <v>1368</v>
      </c>
      <c r="J447" s="17" t="s">
        <v>54</v>
      </c>
      <c r="K447" s="17" t="s">
        <v>54</v>
      </c>
      <c r="L447" s="17" t="s">
        <v>457</v>
      </c>
      <c r="M447" s="17" t="s">
        <v>743</v>
      </c>
      <c r="N447" s="21" t="s">
        <v>54</v>
      </c>
      <c r="O447" s="22" t="s">
        <v>54</v>
      </c>
      <c r="P447" s="21" t="s">
        <v>54</v>
      </c>
    </row>
    <row r="448" ht="52" customHeight="1" spans="1:16">
      <c r="A448" s="17" t="s">
        <v>1372</v>
      </c>
      <c r="B448" s="17" t="s">
        <v>298</v>
      </c>
      <c r="C448" s="17" t="s">
        <v>739</v>
      </c>
      <c r="D448" s="17" t="s">
        <v>1373</v>
      </c>
      <c r="E448" s="17" t="s">
        <v>1374</v>
      </c>
      <c r="F448" s="17" t="s">
        <v>54</v>
      </c>
      <c r="G448" s="17" t="s">
        <v>161</v>
      </c>
      <c r="H448" s="17" t="s">
        <v>54</v>
      </c>
      <c r="I448" s="17" t="s">
        <v>1368</v>
      </c>
      <c r="J448" s="17" t="s">
        <v>54</v>
      </c>
      <c r="K448" s="17" t="s">
        <v>54</v>
      </c>
      <c r="L448" s="17" t="s">
        <v>457</v>
      </c>
      <c r="M448" s="17" t="s">
        <v>743</v>
      </c>
      <c r="N448" s="21" t="s">
        <v>54</v>
      </c>
      <c r="O448" s="22" t="s">
        <v>54</v>
      </c>
      <c r="P448" s="21" t="s">
        <v>54</v>
      </c>
    </row>
    <row r="449" ht="52" customHeight="1" spans="1:16">
      <c r="A449" s="17" t="s">
        <v>1375</v>
      </c>
      <c r="B449" s="17" t="s">
        <v>301</v>
      </c>
      <c r="C449" s="17" t="s">
        <v>739</v>
      </c>
      <c r="D449" s="17" t="s">
        <v>1376</v>
      </c>
      <c r="E449" s="17" t="s">
        <v>1377</v>
      </c>
      <c r="F449" s="17" t="s">
        <v>54</v>
      </c>
      <c r="G449" s="17" t="s">
        <v>161</v>
      </c>
      <c r="H449" s="17" t="s">
        <v>54</v>
      </c>
      <c r="I449" s="17" t="s">
        <v>1378</v>
      </c>
      <c r="J449" s="17" t="s">
        <v>54</v>
      </c>
      <c r="K449" s="17" t="s">
        <v>54</v>
      </c>
      <c r="L449" s="17" t="s">
        <v>457</v>
      </c>
      <c r="M449" s="17" t="s">
        <v>743</v>
      </c>
      <c r="N449" s="21" t="s">
        <v>54</v>
      </c>
      <c r="O449" s="22" t="s">
        <v>54</v>
      </c>
      <c r="P449" s="21" t="s">
        <v>54</v>
      </c>
    </row>
    <row r="450" ht="39" customHeight="1" spans="1:16">
      <c r="A450" s="17" t="s">
        <v>1379</v>
      </c>
      <c r="B450" s="17" t="s">
        <v>301</v>
      </c>
      <c r="C450" s="17" t="s">
        <v>739</v>
      </c>
      <c r="D450" s="17" t="s">
        <v>1380</v>
      </c>
      <c r="E450" s="17" t="s">
        <v>1381</v>
      </c>
      <c r="F450" s="17" t="s">
        <v>54</v>
      </c>
      <c r="G450" s="17" t="s">
        <v>161</v>
      </c>
      <c r="H450" s="17" t="s">
        <v>54</v>
      </c>
      <c r="I450" s="17" t="s">
        <v>1378</v>
      </c>
      <c r="J450" s="17" t="s">
        <v>54</v>
      </c>
      <c r="K450" s="17" t="s">
        <v>54</v>
      </c>
      <c r="L450" s="17" t="s">
        <v>457</v>
      </c>
      <c r="M450" s="17" t="s">
        <v>743</v>
      </c>
      <c r="N450" s="21" t="s">
        <v>54</v>
      </c>
      <c r="O450" s="22" t="s">
        <v>54</v>
      </c>
      <c r="P450" s="21" t="s">
        <v>54</v>
      </c>
    </row>
    <row r="451" ht="52" customHeight="1" spans="1:16">
      <c r="A451" s="17" t="s">
        <v>1382</v>
      </c>
      <c r="B451" s="17" t="s">
        <v>301</v>
      </c>
      <c r="C451" s="17" t="s">
        <v>739</v>
      </c>
      <c r="D451" s="17" t="s">
        <v>1383</v>
      </c>
      <c r="E451" s="17" t="s">
        <v>1384</v>
      </c>
      <c r="F451" s="17" t="s">
        <v>54</v>
      </c>
      <c r="G451" s="17" t="s">
        <v>161</v>
      </c>
      <c r="H451" s="17" t="s">
        <v>54</v>
      </c>
      <c r="I451" s="17" t="s">
        <v>1378</v>
      </c>
      <c r="J451" s="17" t="s">
        <v>54</v>
      </c>
      <c r="K451" s="17" t="s">
        <v>54</v>
      </c>
      <c r="L451" s="17" t="s">
        <v>457</v>
      </c>
      <c r="M451" s="17" t="s">
        <v>743</v>
      </c>
      <c r="N451" s="21" t="s">
        <v>54</v>
      </c>
      <c r="O451" s="22" t="s">
        <v>54</v>
      </c>
      <c r="P451" s="21" t="s">
        <v>54</v>
      </c>
    </row>
    <row r="452" ht="39" customHeight="1" spans="1:16">
      <c r="A452" s="17" t="s">
        <v>1385</v>
      </c>
      <c r="B452" s="17" t="s">
        <v>303</v>
      </c>
      <c r="C452" s="17" t="s">
        <v>739</v>
      </c>
      <c r="D452" s="17" t="s">
        <v>1386</v>
      </c>
      <c r="E452" s="17" t="s">
        <v>1387</v>
      </c>
      <c r="F452" s="17" t="s">
        <v>54</v>
      </c>
      <c r="G452" s="17" t="s">
        <v>161</v>
      </c>
      <c r="H452" s="17" t="s">
        <v>54</v>
      </c>
      <c r="I452" s="17" t="s">
        <v>1388</v>
      </c>
      <c r="J452" s="17" t="s">
        <v>54</v>
      </c>
      <c r="K452" s="17" t="s">
        <v>54</v>
      </c>
      <c r="L452" s="17" t="s">
        <v>457</v>
      </c>
      <c r="M452" s="17" t="s">
        <v>743</v>
      </c>
      <c r="N452" s="21" t="s">
        <v>54</v>
      </c>
      <c r="O452" s="22" t="s">
        <v>54</v>
      </c>
      <c r="P452" s="21" t="s">
        <v>54</v>
      </c>
    </row>
    <row r="453" ht="39" customHeight="1" spans="1:16">
      <c r="A453" s="17" t="s">
        <v>1389</v>
      </c>
      <c r="B453" s="17" t="s">
        <v>303</v>
      </c>
      <c r="C453" s="17" t="s">
        <v>739</v>
      </c>
      <c r="D453" s="17" t="s">
        <v>1390</v>
      </c>
      <c r="E453" s="17" t="s">
        <v>1391</v>
      </c>
      <c r="F453" s="17" t="s">
        <v>54</v>
      </c>
      <c r="G453" s="17" t="s">
        <v>161</v>
      </c>
      <c r="H453" s="17" t="s">
        <v>54</v>
      </c>
      <c r="I453" s="17" t="s">
        <v>1388</v>
      </c>
      <c r="J453" s="17" t="s">
        <v>54</v>
      </c>
      <c r="K453" s="17" t="s">
        <v>54</v>
      </c>
      <c r="L453" s="17" t="s">
        <v>457</v>
      </c>
      <c r="M453" s="17" t="s">
        <v>743</v>
      </c>
      <c r="N453" s="21" t="s">
        <v>54</v>
      </c>
      <c r="O453" s="22" t="s">
        <v>54</v>
      </c>
      <c r="P453" s="21" t="s">
        <v>54</v>
      </c>
    </row>
    <row r="454" ht="39" customHeight="1" spans="1:16">
      <c r="A454" s="17" t="s">
        <v>1392</v>
      </c>
      <c r="B454" s="17" t="s">
        <v>303</v>
      </c>
      <c r="C454" s="17" t="s">
        <v>739</v>
      </c>
      <c r="D454" s="17" t="s">
        <v>1393</v>
      </c>
      <c r="E454" s="17" t="s">
        <v>1394</v>
      </c>
      <c r="F454" s="17" t="s">
        <v>54</v>
      </c>
      <c r="G454" s="17" t="s">
        <v>161</v>
      </c>
      <c r="H454" s="17" t="s">
        <v>54</v>
      </c>
      <c r="I454" s="17" t="s">
        <v>1388</v>
      </c>
      <c r="J454" s="17" t="s">
        <v>54</v>
      </c>
      <c r="K454" s="17" t="s">
        <v>54</v>
      </c>
      <c r="L454" s="17" t="s">
        <v>457</v>
      </c>
      <c r="M454" s="17" t="s">
        <v>743</v>
      </c>
      <c r="N454" s="21" t="s">
        <v>54</v>
      </c>
      <c r="O454" s="22" t="s">
        <v>54</v>
      </c>
      <c r="P454" s="21" t="s">
        <v>54</v>
      </c>
    </row>
    <row r="455" ht="39" customHeight="1" spans="1:16">
      <c r="A455" s="17" t="s">
        <v>1395</v>
      </c>
      <c r="B455" s="17" t="s">
        <v>306</v>
      </c>
      <c r="C455" s="17" t="s">
        <v>739</v>
      </c>
      <c r="D455" s="17" t="s">
        <v>1396</v>
      </c>
      <c r="E455" s="17" t="s">
        <v>1397</v>
      </c>
      <c r="F455" s="17" t="s">
        <v>54</v>
      </c>
      <c r="G455" s="17" t="s">
        <v>161</v>
      </c>
      <c r="H455" s="17" t="s">
        <v>54</v>
      </c>
      <c r="I455" s="17" t="s">
        <v>1207</v>
      </c>
      <c r="J455" s="17" t="s">
        <v>54</v>
      </c>
      <c r="K455" s="17" t="s">
        <v>54</v>
      </c>
      <c r="L455" s="17" t="s">
        <v>457</v>
      </c>
      <c r="M455" s="17" t="s">
        <v>743</v>
      </c>
      <c r="N455" s="21" t="s">
        <v>54</v>
      </c>
      <c r="O455" s="22" t="s">
        <v>54</v>
      </c>
      <c r="P455" s="21" t="s">
        <v>54</v>
      </c>
    </row>
    <row r="456" ht="52" customHeight="1" spans="1:16">
      <c r="A456" s="17" t="s">
        <v>1398</v>
      </c>
      <c r="B456" s="17" t="s">
        <v>306</v>
      </c>
      <c r="C456" s="17" t="s">
        <v>739</v>
      </c>
      <c r="D456" s="17" t="s">
        <v>1399</v>
      </c>
      <c r="E456" s="17" t="s">
        <v>1400</v>
      </c>
      <c r="F456" s="17" t="s">
        <v>54</v>
      </c>
      <c r="G456" s="17" t="s">
        <v>161</v>
      </c>
      <c r="H456" s="17" t="s">
        <v>54</v>
      </c>
      <c r="I456" s="17" t="s">
        <v>1207</v>
      </c>
      <c r="J456" s="17" t="s">
        <v>54</v>
      </c>
      <c r="K456" s="17" t="s">
        <v>54</v>
      </c>
      <c r="L456" s="17" t="s">
        <v>457</v>
      </c>
      <c r="M456" s="17" t="s">
        <v>743</v>
      </c>
      <c r="N456" s="21" t="s">
        <v>54</v>
      </c>
      <c r="O456" s="22" t="s">
        <v>54</v>
      </c>
      <c r="P456" s="21" t="s">
        <v>54</v>
      </c>
    </row>
    <row r="457" ht="52" customHeight="1" spans="1:16">
      <c r="A457" s="17" t="s">
        <v>1401</v>
      </c>
      <c r="B457" s="17" t="s">
        <v>306</v>
      </c>
      <c r="C457" s="17" t="s">
        <v>739</v>
      </c>
      <c r="D457" s="17" t="s">
        <v>1402</v>
      </c>
      <c r="E457" s="17" t="s">
        <v>1403</v>
      </c>
      <c r="F457" s="17" t="s">
        <v>54</v>
      </c>
      <c r="G457" s="17" t="s">
        <v>161</v>
      </c>
      <c r="H457" s="17" t="s">
        <v>54</v>
      </c>
      <c r="I457" s="17" t="s">
        <v>1207</v>
      </c>
      <c r="J457" s="17" t="s">
        <v>54</v>
      </c>
      <c r="K457" s="17" t="s">
        <v>54</v>
      </c>
      <c r="L457" s="17" t="s">
        <v>457</v>
      </c>
      <c r="M457" s="17" t="s">
        <v>743</v>
      </c>
      <c r="N457" s="21" t="s">
        <v>54</v>
      </c>
      <c r="O457" s="22" t="s">
        <v>54</v>
      </c>
      <c r="P457" s="21" t="s">
        <v>54</v>
      </c>
    </row>
    <row r="458" ht="39" customHeight="1" spans="1:16">
      <c r="A458" s="17" t="s">
        <v>1404</v>
      </c>
      <c r="B458" s="17" t="s">
        <v>308</v>
      </c>
      <c r="C458" s="17" t="s">
        <v>739</v>
      </c>
      <c r="D458" s="17" t="s">
        <v>1405</v>
      </c>
      <c r="E458" s="17" t="s">
        <v>1406</v>
      </c>
      <c r="F458" s="17" t="s">
        <v>54</v>
      </c>
      <c r="G458" s="17" t="s">
        <v>161</v>
      </c>
      <c r="H458" s="17" t="s">
        <v>54</v>
      </c>
      <c r="I458" s="17" t="s">
        <v>1407</v>
      </c>
      <c r="J458" s="17" t="s">
        <v>54</v>
      </c>
      <c r="K458" s="17" t="s">
        <v>54</v>
      </c>
      <c r="L458" s="17" t="s">
        <v>457</v>
      </c>
      <c r="M458" s="17" t="s">
        <v>743</v>
      </c>
      <c r="N458" s="21" t="s">
        <v>54</v>
      </c>
      <c r="O458" s="22" t="s">
        <v>54</v>
      </c>
      <c r="P458" s="21" t="s">
        <v>54</v>
      </c>
    </row>
    <row r="459" ht="52" customHeight="1" spans="1:16">
      <c r="A459" s="17" t="s">
        <v>1408</v>
      </c>
      <c r="B459" s="17" t="s">
        <v>308</v>
      </c>
      <c r="C459" s="17" t="s">
        <v>739</v>
      </c>
      <c r="D459" s="17" t="s">
        <v>1409</v>
      </c>
      <c r="E459" s="17" t="s">
        <v>1410</v>
      </c>
      <c r="F459" s="17" t="s">
        <v>54</v>
      </c>
      <c r="G459" s="17" t="s">
        <v>161</v>
      </c>
      <c r="H459" s="17" t="s">
        <v>54</v>
      </c>
      <c r="I459" s="17" t="s">
        <v>1407</v>
      </c>
      <c r="J459" s="17" t="s">
        <v>54</v>
      </c>
      <c r="K459" s="17" t="s">
        <v>54</v>
      </c>
      <c r="L459" s="17" t="s">
        <v>457</v>
      </c>
      <c r="M459" s="17" t="s">
        <v>743</v>
      </c>
      <c r="N459" s="21" t="s">
        <v>54</v>
      </c>
      <c r="O459" s="22" t="s">
        <v>54</v>
      </c>
      <c r="P459" s="21" t="s">
        <v>54</v>
      </c>
    </row>
    <row r="460" ht="52" customHeight="1" spans="1:16">
      <c r="A460" s="17" t="s">
        <v>1411</v>
      </c>
      <c r="B460" s="17" t="s">
        <v>308</v>
      </c>
      <c r="C460" s="17" t="s">
        <v>739</v>
      </c>
      <c r="D460" s="17" t="s">
        <v>1412</v>
      </c>
      <c r="E460" s="17" t="s">
        <v>1413</v>
      </c>
      <c r="F460" s="17" t="s">
        <v>54</v>
      </c>
      <c r="G460" s="17" t="s">
        <v>161</v>
      </c>
      <c r="H460" s="17" t="s">
        <v>54</v>
      </c>
      <c r="I460" s="17" t="s">
        <v>1407</v>
      </c>
      <c r="J460" s="17" t="s">
        <v>54</v>
      </c>
      <c r="K460" s="17" t="s">
        <v>54</v>
      </c>
      <c r="L460" s="17" t="s">
        <v>457</v>
      </c>
      <c r="M460" s="17" t="s">
        <v>743</v>
      </c>
      <c r="N460" s="21" t="s">
        <v>54</v>
      </c>
      <c r="O460" s="22" t="s">
        <v>54</v>
      </c>
      <c r="P460" s="21" t="s">
        <v>54</v>
      </c>
    </row>
    <row r="461" ht="39" customHeight="1" spans="1:16">
      <c r="A461" s="17" t="s">
        <v>1414</v>
      </c>
      <c r="B461" s="17" t="s">
        <v>311</v>
      </c>
      <c r="C461" s="17" t="s">
        <v>739</v>
      </c>
      <c r="D461" s="17" t="s">
        <v>1415</v>
      </c>
      <c r="E461" s="17" t="s">
        <v>1416</v>
      </c>
      <c r="F461" s="17" t="s">
        <v>54</v>
      </c>
      <c r="G461" s="17" t="s">
        <v>161</v>
      </c>
      <c r="H461" s="17" t="s">
        <v>54</v>
      </c>
      <c r="I461" s="17" t="s">
        <v>1417</v>
      </c>
      <c r="J461" s="17" t="s">
        <v>54</v>
      </c>
      <c r="K461" s="17" t="s">
        <v>54</v>
      </c>
      <c r="L461" s="17" t="s">
        <v>457</v>
      </c>
      <c r="M461" s="17" t="s">
        <v>743</v>
      </c>
      <c r="N461" s="21" t="s">
        <v>54</v>
      </c>
      <c r="O461" s="22" t="s">
        <v>54</v>
      </c>
      <c r="P461" s="21" t="s">
        <v>54</v>
      </c>
    </row>
    <row r="462" ht="39" customHeight="1" spans="1:16">
      <c r="A462" s="17" t="s">
        <v>1418</v>
      </c>
      <c r="B462" s="17" t="s">
        <v>311</v>
      </c>
      <c r="C462" s="17" t="s">
        <v>739</v>
      </c>
      <c r="D462" s="17" t="s">
        <v>1419</v>
      </c>
      <c r="E462" s="17" t="s">
        <v>1420</v>
      </c>
      <c r="F462" s="17" t="s">
        <v>54</v>
      </c>
      <c r="G462" s="17" t="s">
        <v>161</v>
      </c>
      <c r="H462" s="17" t="s">
        <v>54</v>
      </c>
      <c r="I462" s="17" t="s">
        <v>1417</v>
      </c>
      <c r="J462" s="17" t="s">
        <v>54</v>
      </c>
      <c r="K462" s="17" t="s">
        <v>54</v>
      </c>
      <c r="L462" s="17" t="s">
        <v>457</v>
      </c>
      <c r="M462" s="17" t="s">
        <v>743</v>
      </c>
      <c r="N462" s="21" t="s">
        <v>54</v>
      </c>
      <c r="O462" s="22" t="s">
        <v>54</v>
      </c>
      <c r="P462" s="21" t="s">
        <v>54</v>
      </c>
    </row>
    <row r="463" ht="52" customHeight="1" spans="1:16">
      <c r="A463" s="17" t="s">
        <v>1421</v>
      </c>
      <c r="B463" s="17" t="s">
        <v>311</v>
      </c>
      <c r="C463" s="17" t="s">
        <v>739</v>
      </c>
      <c r="D463" s="17" t="s">
        <v>1422</v>
      </c>
      <c r="E463" s="17" t="s">
        <v>1423</v>
      </c>
      <c r="F463" s="17" t="s">
        <v>54</v>
      </c>
      <c r="G463" s="17" t="s">
        <v>161</v>
      </c>
      <c r="H463" s="17" t="s">
        <v>54</v>
      </c>
      <c r="I463" s="17" t="s">
        <v>1417</v>
      </c>
      <c r="J463" s="17" t="s">
        <v>54</v>
      </c>
      <c r="K463" s="17" t="s">
        <v>54</v>
      </c>
      <c r="L463" s="17" t="s">
        <v>457</v>
      </c>
      <c r="M463" s="17" t="s">
        <v>743</v>
      </c>
      <c r="N463" s="21" t="s">
        <v>54</v>
      </c>
      <c r="O463" s="22" t="s">
        <v>54</v>
      </c>
      <c r="P463" s="21" t="s">
        <v>54</v>
      </c>
    </row>
    <row r="464" ht="52" customHeight="1" spans="1:16">
      <c r="A464" s="17" t="s">
        <v>1424</v>
      </c>
      <c r="B464" s="17" t="s">
        <v>313</v>
      </c>
      <c r="C464" s="17" t="s">
        <v>739</v>
      </c>
      <c r="D464" s="17" t="s">
        <v>1425</v>
      </c>
      <c r="E464" s="17" t="s">
        <v>1426</v>
      </c>
      <c r="F464" s="17" t="s">
        <v>54</v>
      </c>
      <c r="G464" s="17" t="s">
        <v>161</v>
      </c>
      <c r="H464" s="17" t="s">
        <v>54</v>
      </c>
      <c r="I464" s="17" t="s">
        <v>1427</v>
      </c>
      <c r="J464" s="17" t="s">
        <v>54</v>
      </c>
      <c r="K464" s="17" t="s">
        <v>54</v>
      </c>
      <c r="L464" s="17" t="s">
        <v>457</v>
      </c>
      <c r="M464" s="17" t="s">
        <v>743</v>
      </c>
      <c r="N464" s="21" t="s">
        <v>54</v>
      </c>
      <c r="O464" s="22" t="s">
        <v>54</v>
      </c>
      <c r="P464" s="21" t="s">
        <v>54</v>
      </c>
    </row>
    <row r="465" ht="39" customHeight="1" spans="1:16">
      <c r="A465" s="17" t="s">
        <v>1428</v>
      </c>
      <c r="B465" s="17" t="s">
        <v>313</v>
      </c>
      <c r="C465" s="17" t="s">
        <v>739</v>
      </c>
      <c r="D465" s="17" t="s">
        <v>1429</v>
      </c>
      <c r="E465" s="17" t="s">
        <v>1430</v>
      </c>
      <c r="F465" s="17" t="s">
        <v>54</v>
      </c>
      <c r="G465" s="17" t="s">
        <v>161</v>
      </c>
      <c r="H465" s="17" t="s">
        <v>54</v>
      </c>
      <c r="I465" s="17" t="s">
        <v>1427</v>
      </c>
      <c r="J465" s="17" t="s">
        <v>54</v>
      </c>
      <c r="K465" s="17" t="s">
        <v>54</v>
      </c>
      <c r="L465" s="17" t="s">
        <v>457</v>
      </c>
      <c r="M465" s="17" t="s">
        <v>743</v>
      </c>
      <c r="N465" s="21" t="s">
        <v>54</v>
      </c>
      <c r="O465" s="22" t="s">
        <v>54</v>
      </c>
      <c r="P465" s="21" t="s">
        <v>54</v>
      </c>
    </row>
    <row r="466" ht="39" customHeight="1" spans="1:16">
      <c r="A466" s="17" t="s">
        <v>1431</v>
      </c>
      <c r="B466" s="17" t="s">
        <v>313</v>
      </c>
      <c r="C466" s="17" t="s">
        <v>739</v>
      </c>
      <c r="D466" s="17" t="s">
        <v>1432</v>
      </c>
      <c r="E466" s="17" t="s">
        <v>1433</v>
      </c>
      <c r="F466" s="17" t="s">
        <v>54</v>
      </c>
      <c r="G466" s="17" t="s">
        <v>161</v>
      </c>
      <c r="H466" s="17" t="s">
        <v>54</v>
      </c>
      <c r="I466" s="17" t="s">
        <v>1427</v>
      </c>
      <c r="J466" s="17" t="s">
        <v>54</v>
      </c>
      <c r="K466" s="17" t="s">
        <v>54</v>
      </c>
      <c r="L466" s="17" t="s">
        <v>457</v>
      </c>
      <c r="M466" s="17" t="s">
        <v>743</v>
      </c>
      <c r="N466" s="21" t="s">
        <v>54</v>
      </c>
      <c r="O466" s="22" t="s">
        <v>54</v>
      </c>
      <c r="P466" s="21" t="s">
        <v>54</v>
      </c>
    </row>
    <row r="467" ht="39" customHeight="1" spans="1:16">
      <c r="A467" s="17" t="s">
        <v>1434</v>
      </c>
      <c r="B467" s="17" t="s">
        <v>316</v>
      </c>
      <c r="C467" s="17" t="s">
        <v>739</v>
      </c>
      <c r="D467" s="17" t="s">
        <v>1435</v>
      </c>
      <c r="E467" s="17" t="s">
        <v>1436</v>
      </c>
      <c r="F467" s="17" t="s">
        <v>54</v>
      </c>
      <c r="G467" s="17" t="s">
        <v>161</v>
      </c>
      <c r="H467" s="17" t="s">
        <v>54</v>
      </c>
      <c r="I467" s="17" t="s">
        <v>1437</v>
      </c>
      <c r="J467" s="17" t="s">
        <v>54</v>
      </c>
      <c r="K467" s="17" t="s">
        <v>54</v>
      </c>
      <c r="L467" s="17" t="s">
        <v>457</v>
      </c>
      <c r="M467" s="17" t="s">
        <v>743</v>
      </c>
      <c r="N467" s="21" t="s">
        <v>54</v>
      </c>
      <c r="O467" s="22" t="s">
        <v>54</v>
      </c>
      <c r="P467" s="21" t="s">
        <v>54</v>
      </c>
    </row>
    <row r="468" ht="39" customHeight="1" spans="1:16">
      <c r="A468" s="17" t="s">
        <v>1438</v>
      </c>
      <c r="B468" s="17" t="s">
        <v>316</v>
      </c>
      <c r="C468" s="17" t="s">
        <v>739</v>
      </c>
      <c r="D468" s="17" t="s">
        <v>1439</v>
      </c>
      <c r="E468" s="17" t="s">
        <v>1440</v>
      </c>
      <c r="F468" s="17" t="s">
        <v>54</v>
      </c>
      <c r="G468" s="17" t="s">
        <v>161</v>
      </c>
      <c r="H468" s="17" t="s">
        <v>54</v>
      </c>
      <c r="I468" s="17" t="s">
        <v>1437</v>
      </c>
      <c r="J468" s="17" t="s">
        <v>54</v>
      </c>
      <c r="K468" s="17" t="s">
        <v>54</v>
      </c>
      <c r="L468" s="17" t="s">
        <v>457</v>
      </c>
      <c r="M468" s="17" t="s">
        <v>743</v>
      </c>
      <c r="N468" s="21" t="s">
        <v>54</v>
      </c>
      <c r="O468" s="22" t="s">
        <v>54</v>
      </c>
      <c r="P468" s="21" t="s">
        <v>54</v>
      </c>
    </row>
    <row r="469" ht="52" customHeight="1" spans="1:16">
      <c r="A469" s="17" t="s">
        <v>1441</v>
      </c>
      <c r="B469" s="17" t="s">
        <v>316</v>
      </c>
      <c r="C469" s="17" t="s">
        <v>739</v>
      </c>
      <c r="D469" s="17" t="s">
        <v>1442</v>
      </c>
      <c r="E469" s="17" t="s">
        <v>1443</v>
      </c>
      <c r="F469" s="17" t="s">
        <v>54</v>
      </c>
      <c r="G469" s="17" t="s">
        <v>161</v>
      </c>
      <c r="H469" s="17" t="s">
        <v>54</v>
      </c>
      <c r="I469" s="17" t="s">
        <v>1437</v>
      </c>
      <c r="J469" s="17" t="s">
        <v>54</v>
      </c>
      <c r="K469" s="17" t="s">
        <v>54</v>
      </c>
      <c r="L469" s="17" t="s">
        <v>457</v>
      </c>
      <c r="M469" s="17" t="s">
        <v>743</v>
      </c>
      <c r="N469" s="21" t="s">
        <v>54</v>
      </c>
      <c r="O469" s="22" t="s">
        <v>54</v>
      </c>
      <c r="P469" s="21" t="s">
        <v>54</v>
      </c>
    </row>
    <row r="470" ht="52" customHeight="1" spans="1:16">
      <c r="A470" s="17" t="s">
        <v>1444</v>
      </c>
      <c r="B470" s="17" t="s">
        <v>318</v>
      </c>
      <c r="C470" s="17" t="s">
        <v>739</v>
      </c>
      <c r="D470" s="17" t="s">
        <v>1445</v>
      </c>
      <c r="E470" s="17" t="s">
        <v>1446</v>
      </c>
      <c r="F470" s="17" t="s">
        <v>54</v>
      </c>
      <c r="G470" s="17" t="s">
        <v>161</v>
      </c>
      <c r="H470" s="17" t="s">
        <v>54</v>
      </c>
      <c r="I470" s="17" t="s">
        <v>1447</v>
      </c>
      <c r="J470" s="17" t="s">
        <v>54</v>
      </c>
      <c r="K470" s="17" t="s">
        <v>54</v>
      </c>
      <c r="L470" s="17" t="s">
        <v>457</v>
      </c>
      <c r="M470" s="17" t="s">
        <v>743</v>
      </c>
      <c r="N470" s="21" t="s">
        <v>54</v>
      </c>
      <c r="O470" s="22" t="s">
        <v>54</v>
      </c>
      <c r="P470" s="21" t="s">
        <v>54</v>
      </c>
    </row>
    <row r="471" ht="39" customHeight="1" spans="1:16">
      <c r="A471" s="17" t="s">
        <v>1448</v>
      </c>
      <c r="B471" s="17" t="s">
        <v>318</v>
      </c>
      <c r="C471" s="17" t="s">
        <v>739</v>
      </c>
      <c r="D471" s="17" t="s">
        <v>1449</v>
      </c>
      <c r="E471" s="17" t="s">
        <v>1450</v>
      </c>
      <c r="F471" s="17" t="s">
        <v>54</v>
      </c>
      <c r="G471" s="17" t="s">
        <v>161</v>
      </c>
      <c r="H471" s="17" t="s">
        <v>54</v>
      </c>
      <c r="I471" s="17" t="s">
        <v>1447</v>
      </c>
      <c r="J471" s="17" t="s">
        <v>54</v>
      </c>
      <c r="K471" s="17" t="s">
        <v>54</v>
      </c>
      <c r="L471" s="17" t="s">
        <v>457</v>
      </c>
      <c r="M471" s="17" t="s">
        <v>743</v>
      </c>
      <c r="N471" s="21" t="s">
        <v>54</v>
      </c>
      <c r="O471" s="22" t="s">
        <v>54</v>
      </c>
      <c r="P471" s="21" t="s">
        <v>54</v>
      </c>
    </row>
    <row r="472" ht="39" customHeight="1" spans="1:16">
      <c r="A472" s="17" t="s">
        <v>1451</v>
      </c>
      <c r="B472" s="17" t="s">
        <v>318</v>
      </c>
      <c r="C472" s="17" t="s">
        <v>739</v>
      </c>
      <c r="D472" s="17" t="s">
        <v>1452</v>
      </c>
      <c r="E472" s="17" t="s">
        <v>1453</v>
      </c>
      <c r="F472" s="17" t="s">
        <v>54</v>
      </c>
      <c r="G472" s="17" t="s">
        <v>161</v>
      </c>
      <c r="H472" s="17" t="s">
        <v>54</v>
      </c>
      <c r="I472" s="17" t="s">
        <v>1447</v>
      </c>
      <c r="J472" s="17" t="s">
        <v>54</v>
      </c>
      <c r="K472" s="17" t="s">
        <v>54</v>
      </c>
      <c r="L472" s="17" t="s">
        <v>457</v>
      </c>
      <c r="M472" s="17" t="s">
        <v>743</v>
      </c>
      <c r="N472" s="21" t="s">
        <v>54</v>
      </c>
      <c r="O472" s="22" t="s">
        <v>54</v>
      </c>
      <c r="P472" s="21" t="s">
        <v>54</v>
      </c>
    </row>
    <row r="473" ht="39" customHeight="1" spans="1:16">
      <c r="A473" s="17" t="s">
        <v>1454</v>
      </c>
      <c r="B473" s="17" t="s">
        <v>321</v>
      </c>
      <c r="C473" s="17" t="s">
        <v>739</v>
      </c>
      <c r="D473" s="17" t="s">
        <v>1455</v>
      </c>
      <c r="E473" s="17" t="s">
        <v>1456</v>
      </c>
      <c r="F473" s="17" t="s">
        <v>54</v>
      </c>
      <c r="G473" s="17" t="s">
        <v>161</v>
      </c>
      <c r="H473" s="17" t="s">
        <v>54</v>
      </c>
      <c r="I473" s="17" t="s">
        <v>1457</v>
      </c>
      <c r="J473" s="17" t="s">
        <v>54</v>
      </c>
      <c r="K473" s="17" t="s">
        <v>54</v>
      </c>
      <c r="L473" s="17" t="s">
        <v>457</v>
      </c>
      <c r="M473" s="17" t="s">
        <v>743</v>
      </c>
      <c r="N473" s="21" t="s">
        <v>54</v>
      </c>
      <c r="O473" s="22" t="s">
        <v>54</v>
      </c>
      <c r="P473" s="21" t="s">
        <v>54</v>
      </c>
    </row>
    <row r="474" ht="39" customHeight="1" spans="1:16">
      <c r="A474" s="17" t="s">
        <v>1458</v>
      </c>
      <c r="B474" s="17" t="s">
        <v>321</v>
      </c>
      <c r="C474" s="17" t="s">
        <v>739</v>
      </c>
      <c r="D474" s="17" t="s">
        <v>1459</v>
      </c>
      <c r="E474" s="17" t="s">
        <v>1460</v>
      </c>
      <c r="F474" s="17" t="s">
        <v>54</v>
      </c>
      <c r="G474" s="17" t="s">
        <v>161</v>
      </c>
      <c r="H474" s="17" t="s">
        <v>54</v>
      </c>
      <c r="I474" s="17" t="s">
        <v>1457</v>
      </c>
      <c r="J474" s="17" t="s">
        <v>54</v>
      </c>
      <c r="K474" s="17" t="s">
        <v>54</v>
      </c>
      <c r="L474" s="17" t="s">
        <v>457</v>
      </c>
      <c r="M474" s="17" t="s">
        <v>743</v>
      </c>
      <c r="N474" s="21" t="s">
        <v>54</v>
      </c>
      <c r="O474" s="22" t="s">
        <v>54</v>
      </c>
      <c r="P474" s="21" t="s">
        <v>54</v>
      </c>
    </row>
    <row r="475" ht="39" customHeight="1" spans="1:16">
      <c r="A475" s="17" t="s">
        <v>1461</v>
      </c>
      <c r="B475" s="17" t="s">
        <v>321</v>
      </c>
      <c r="C475" s="17" t="s">
        <v>739</v>
      </c>
      <c r="D475" s="17" t="s">
        <v>1462</v>
      </c>
      <c r="E475" s="17" t="s">
        <v>1463</v>
      </c>
      <c r="F475" s="17" t="s">
        <v>54</v>
      </c>
      <c r="G475" s="17" t="s">
        <v>161</v>
      </c>
      <c r="H475" s="17" t="s">
        <v>54</v>
      </c>
      <c r="I475" s="17" t="s">
        <v>1457</v>
      </c>
      <c r="J475" s="17" t="s">
        <v>54</v>
      </c>
      <c r="K475" s="17" t="s">
        <v>54</v>
      </c>
      <c r="L475" s="17" t="s">
        <v>457</v>
      </c>
      <c r="M475" s="17" t="s">
        <v>743</v>
      </c>
      <c r="N475" s="21" t="s">
        <v>54</v>
      </c>
      <c r="O475" s="22" t="s">
        <v>54</v>
      </c>
      <c r="P475" s="21" t="s">
        <v>54</v>
      </c>
    </row>
    <row r="476" ht="39" customHeight="1" spans="1:16">
      <c r="A476" s="17" t="s">
        <v>1464</v>
      </c>
      <c r="B476" s="17" t="s">
        <v>321</v>
      </c>
      <c r="C476" s="17" t="s">
        <v>739</v>
      </c>
      <c r="D476" s="17" t="s">
        <v>1465</v>
      </c>
      <c r="E476" s="17" t="s">
        <v>1466</v>
      </c>
      <c r="F476" s="17" t="s">
        <v>54</v>
      </c>
      <c r="G476" s="17" t="s">
        <v>161</v>
      </c>
      <c r="H476" s="17" t="s">
        <v>54</v>
      </c>
      <c r="I476" s="17" t="s">
        <v>1457</v>
      </c>
      <c r="J476" s="17" t="s">
        <v>54</v>
      </c>
      <c r="K476" s="17" t="s">
        <v>54</v>
      </c>
      <c r="L476" s="17" t="s">
        <v>457</v>
      </c>
      <c r="M476" s="17" t="s">
        <v>743</v>
      </c>
      <c r="N476" s="21" t="s">
        <v>54</v>
      </c>
      <c r="O476" s="22" t="s">
        <v>54</v>
      </c>
      <c r="P476" s="21" t="s">
        <v>54</v>
      </c>
    </row>
    <row r="477" ht="39" customHeight="1" spans="1:16">
      <c r="A477" s="17" t="s">
        <v>1467</v>
      </c>
      <c r="B477" s="17" t="s">
        <v>323</v>
      </c>
      <c r="C477" s="17" t="s">
        <v>739</v>
      </c>
      <c r="D477" s="17" t="s">
        <v>1468</v>
      </c>
      <c r="E477" s="17" t="s">
        <v>1469</v>
      </c>
      <c r="F477" s="17" t="s">
        <v>54</v>
      </c>
      <c r="G477" s="17" t="s">
        <v>161</v>
      </c>
      <c r="H477" s="17" t="s">
        <v>54</v>
      </c>
      <c r="I477" s="17" t="s">
        <v>1470</v>
      </c>
      <c r="J477" s="17" t="s">
        <v>54</v>
      </c>
      <c r="K477" s="17" t="s">
        <v>54</v>
      </c>
      <c r="L477" s="17" t="s">
        <v>457</v>
      </c>
      <c r="M477" s="17" t="s">
        <v>743</v>
      </c>
      <c r="N477" s="21" t="s">
        <v>54</v>
      </c>
      <c r="O477" s="22" t="s">
        <v>54</v>
      </c>
      <c r="P477" s="21" t="s">
        <v>54</v>
      </c>
    </row>
    <row r="478" ht="52" customHeight="1" spans="1:16">
      <c r="A478" s="17" t="s">
        <v>1471</v>
      </c>
      <c r="B478" s="17" t="s">
        <v>323</v>
      </c>
      <c r="C478" s="17" t="s">
        <v>739</v>
      </c>
      <c r="D478" s="17" t="s">
        <v>1472</v>
      </c>
      <c r="E478" s="17" t="s">
        <v>1473</v>
      </c>
      <c r="F478" s="17" t="s">
        <v>54</v>
      </c>
      <c r="G478" s="17" t="s">
        <v>161</v>
      </c>
      <c r="H478" s="17" t="s">
        <v>54</v>
      </c>
      <c r="I478" s="17" t="s">
        <v>1470</v>
      </c>
      <c r="J478" s="17" t="s">
        <v>54</v>
      </c>
      <c r="K478" s="17" t="s">
        <v>54</v>
      </c>
      <c r="L478" s="17" t="s">
        <v>457</v>
      </c>
      <c r="M478" s="17" t="s">
        <v>743</v>
      </c>
      <c r="N478" s="21" t="s">
        <v>54</v>
      </c>
      <c r="O478" s="22" t="s">
        <v>54</v>
      </c>
      <c r="P478" s="21" t="s">
        <v>54</v>
      </c>
    </row>
    <row r="479" ht="39" customHeight="1" spans="1:16">
      <c r="A479" s="17" t="s">
        <v>1474</v>
      </c>
      <c r="B479" s="17" t="s">
        <v>323</v>
      </c>
      <c r="C479" s="17" t="s">
        <v>739</v>
      </c>
      <c r="D479" s="17" t="s">
        <v>1475</v>
      </c>
      <c r="E479" s="17" t="s">
        <v>1476</v>
      </c>
      <c r="F479" s="17" t="s">
        <v>54</v>
      </c>
      <c r="G479" s="17" t="s">
        <v>161</v>
      </c>
      <c r="H479" s="17" t="s">
        <v>54</v>
      </c>
      <c r="I479" s="17" t="s">
        <v>1470</v>
      </c>
      <c r="J479" s="17" t="s">
        <v>54</v>
      </c>
      <c r="K479" s="17" t="s">
        <v>54</v>
      </c>
      <c r="L479" s="17" t="s">
        <v>457</v>
      </c>
      <c r="M479" s="17" t="s">
        <v>743</v>
      </c>
      <c r="N479" s="21" t="s">
        <v>54</v>
      </c>
      <c r="O479" s="22" t="s">
        <v>54</v>
      </c>
      <c r="P479" s="21" t="s">
        <v>54</v>
      </c>
    </row>
    <row r="480" ht="39" customHeight="1" spans="1:16">
      <c r="A480" s="17" t="s">
        <v>1477</v>
      </c>
      <c r="B480" s="17" t="s">
        <v>326</v>
      </c>
      <c r="C480" s="17" t="s">
        <v>739</v>
      </c>
      <c r="D480" s="17" t="s">
        <v>1478</v>
      </c>
      <c r="E480" s="17" t="s">
        <v>1479</v>
      </c>
      <c r="F480" s="17" t="s">
        <v>54</v>
      </c>
      <c r="G480" s="17" t="s">
        <v>161</v>
      </c>
      <c r="H480" s="17" t="s">
        <v>54</v>
      </c>
      <c r="I480" s="17" t="s">
        <v>1480</v>
      </c>
      <c r="J480" s="17" t="s">
        <v>54</v>
      </c>
      <c r="K480" s="17" t="s">
        <v>54</v>
      </c>
      <c r="L480" s="17" t="s">
        <v>457</v>
      </c>
      <c r="M480" s="17" t="s">
        <v>743</v>
      </c>
      <c r="N480" s="21" t="s">
        <v>54</v>
      </c>
      <c r="O480" s="22" t="s">
        <v>54</v>
      </c>
      <c r="P480" s="21" t="s">
        <v>54</v>
      </c>
    </row>
    <row r="481" ht="52" customHeight="1" spans="1:16">
      <c r="A481" s="17" t="s">
        <v>1481</v>
      </c>
      <c r="B481" s="17" t="s">
        <v>326</v>
      </c>
      <c r="C481" s="17" t="s">
        <v>739</v>
      </c>
      <c r="D481" s="17" t="s">
        <v>1482</v>
      </c>
      <c r="E481" s="17" t="s">
        <v>1483</v>
      </c>
      <c r="F481" s="17" t="s">
        <v>54</v>
      </c>
      <c r="G481" s="17" t="s">
        <v>161</v>
      </c>
      <c r="H481" s="17" t="s">
        <v>54</v>
      </c>
      <c r="I481" s="17" t="s">
        <v>1480</v>
      </c>
      <c r="J481" s="17" t="s">
        <v>54</v>
      </c>
      <c r="K481" s="17" t="s">
        <v>54</v>
      </c>
      <c r="L481" s="17" t="s">
        <v>457</v>
      </c>
      <c r="M481" s="17" t="s">
        <v>743</v>
      </c>
      <c r="N481" s="21" t="s">
        <v>54</v>
      </c>
      <c r="O481" s="22" t="s">
        <v>54</v>
      </c>
      <c r="P481" s="21" t="s">
        <v>54</v>
      </c>
    </row>
    <row r="482" ht="52" customHeight="1" spans="1:16">
      <c r="A482" s="17" t="s">
        <v>1484</v>
      </c>
      <c r="B482" s="17" t="s">
        <v>326</v>
      </c>
      <c r="C482" s="17" t="s">
        <v>739</v>
      </c>
      <c r="D482" s="17" t="s">
        <v>1485</v>
      </c>
      <c r="E482" s="17" t="s">
        <v>1486</v>
      </c>
      <c r="F482" s="17" t="s">
        <v>54</v>
      </c>
      <c r="G482" s="17" t="s">
        <v>161</v>
      </c>
      <c r="H482" s="17" t="s">
        <v>54</v>
      </c>
      <c r="I482" s="17" t="s">
        <v>1480</v>
      </c>
      <c r="J482" s="17" t="s">
        <v>54</v>
      </c>
      <c r="K482" s="17" t="s">
        <v>54</v>
      </c>
      <c r="L482" s="17" t="s">
        <v>457</v>
      </c>
      <c r="M482" s="17" t="s">
        <v>743</v>
      </c>
      <c r="N482" s="21" t="s">
        <v>54</v>
      </c>
      <c r="O482" s="22" t="s">
        <v>54</v>
      </c>
      <c r="P482" s="21" t="s">
        <v>54</v>
      </c>
    </row>
    <row r="483" ht="52" customHeight="1" spans="1:16">
      <c r="A483" s="17" t="s">
        <v>1487</v>
      </c>
      <c r="B483" s="17" t="s">
        <v>328</v>
      </c>
      <c r="C483" s="17" t="s">
        <v>739</v>
      </c>
      <c r="D483" s="17" t="s">
        <v>1488</v>
      </c>
      <c r="E483" s="17" t="s">
        <v>1489</v>
      </c>
      <c r="F483" s="17" t="s">
        <v>54</v>
      </c>
      <c r="G483" s="17" t="s">
        <v>161</v>
      </c>
      <c r="H483" s="17" t="s">
        <v>54</v>
      </c>
      <c r="I483" s="17" t="s">
        <v>1490</v>
      </c>
      <c r="J483" s="17" t="s">
        <v>54</v>
      </c>
      <c r="K483" s="17" t="s">
        <v>54</v>
      </c>
      <c r="L483" s="17" t="s">
        <v>457</v>
      </c>
      <c r="M483" s="17" t="s">
        <v>743</v>
      </c>
      <c r="N483" s="21" t="s">
        <v>54</v>
      </c>
      <c r="O483" s="22" t="s">
        <v>54</v>
      </c>
      <c r="P483" s="21" t="s">
        <v>54</v>
      </c>
    </row>
    <row r="484" ht="39" customHeight="1" spans="1:16">
      <c r="A484" s="17" t="s">
        <v>1491</v>
      </c>
      <c r="B484" s="17" t="s">
        <v>328</v>
      </c>
      <c r="C484" s="17" t="s">
        <v>739</v>
      </c>
      <c r="D484" s="17" t="s">
        <v>1492</v>
      </c>
      <c r="E484" s="17" t="s">
        <v>1493</v>
      </c>
      <c r="F484" s="17" t="s">
        <v>54</v>
      </c>
      <c r="G484" s="17" t="s">
        <v>161</v>
      </c>
      <c r="H484" s="17" t="s">
        <v>54</v>
      </c>
      <c r="I484" s="17" t="s">
        <v>1490</v>
      </c>
      <c r="J484" s="17" t="s">
        <v>54</v>
      </c>
      <c r="K484" s="17" t="s">
        <v>54</v>
      </c>
      <c r="L484" s="17" t="s">
        <v>457</v>
      </c>
      <c r="M484" s="17" t="s">
        <v>743</v>
      </c>
      <c r="N484" s="21" t="s">
        <v>54</v>
      </c>
      <c r="O484" s="22" t="s">
        <v>54</v>
      </c>
      <c r="P484" s="21" t="s">
        <v>54</v>
      </c>
    </row>
    <row r="485" ht="52" customHeight="1" spans="1:16">
      <c r="A485" s="17" t="s">
        <v>1494</v>
      </c>
      <c r="B485" s="17" t="s">
        <v>328</v>
      </c>
      <c r="C485" s="17" t="s">
        <v>739</v>
      </c>
      <c r="D485" s="17" t="s">
        <v>1495</v>
      </c>
      <c r="E485" s="17" t="s">
        <v>1496</v>
      </c>
      <c r="F485" s="17" t="s">
        <v>54</v>
      </c>
      <c r="G485" s="17" t="s">
        <v>161</v>
      </c>
      <c r="H485" s="17" t="s">
        <v>54</v>
      </c>
      <c r="I485" s="17" t="s">
        <v>1490</v>
      </c>
      <c r="J485" s="17" t="s">
        <v>54</v>
      </c>
      <c r="K485" s="17" t="s">
        <v>54</v>
      </c>
      <c r="L485" s="17" t="s">
        <v>457</v>
      </c>
      <c r="M485" s="17" t="s">
        <v>743</v>
      </c>
      <c r="N485" s="21" t="s">
        <v>54</v>
      </c>
      <c r="O485" s="22" t="s">
        <v>54</v>
      </c>
      <c r="P485" s="21" t="s">
        <v>54</v>
      </c>
    </row>
    <row r="486" ht="65" customHeight="1" spans="1:16">
      <c r="A486" s="17" t="s">
        <v>1497</v>
      </c>
      <c r="B486" s="17" t="s">
        <v>331</v>
      </c>
      <c r="C486" s="17" t="s">
        <v>739</v>
      </c>
      <c r="D486" s="17" t="s">
        <v>1498</v>
      </c>
      <c r="E486" s="17" t="s">
        <v>1499</v>
      </c>
      <c r="F486" s="17" t="s">
        <v>54</v>
      </c>
      <c r="G486" s="17" t="s">
        <v>161</v>
      </c>
      <c r="H486" s="17" t="s">
        <v>54</v>
      </c>
      <c r="I486" s="17" t="s">
        <v>1500</v>
      </c>
      <c r="J486" s="17" t="s">
        <v>54</v>
      </c>
      <c r="K486" s="17" t="s">
        <v>54</v>
      </c>
      <c r="L486" s="17" t="s">
        <v>457</v>
      </c>
      <c r="M486" s="17" t="s">
        <v>743</v>
      </c>
      <c r="N486" s="21" t="s">
        <v>54</v>
      </c>
      <c r="O486" s="22" t="s">
        <v>54</v>
      </c>
      <c r="P486" s="21" t="s">
        <v>54</v>
      </c>
    </row>
    <row r="487" ht="65" customHeight="1" spans="1:16">
      <c r="A487" s="17" t="s">
        <v>1501</v>
      </c>
      <c r="B487" s="17" t="s">
        <v>331</v>
      </c>
      <c r="C487" s="17" t="s">
        <v>739</v>
      </c>
      <c r="D487" s="17" t="s">
        <v>1502</v>
      </c>
      <c r="E487" s="17" t="s">
        <v>1503</v>
      </c>
      <c r="F487" s="17" t="s">
        <v>54</v>
      </c>
      <c r="G487" s="17" t="s">
        <v>161</v>
      </c>
      <c r="H487" s="17" t="s">
        <v>54</v>
      </c>
      <c r="I487" s="17" t="s">
        <v>1500</v>
      </c>
      <c r="J487" s="17" t="s">
        <v>54</v>
      </c>
      <c r="K487" s="17" t="s">
        <v>54</v>
      </c>
      <c r="L487" s="17" t="s">
        <v>457</v>
      </c>
      <c r="M487" s="17" t="s">
        <v>743</v>
      </c>
      <c r="N487" s="21" t="s">
        <v>54</v>
      </c>
      <c r="O487" s="22" t="s">
        <v>54</v>
      </c>
      <c r="P487" s="21" t="s">
        <v>54</v>
      </c>
    </row>
    <row r="488" ht="65" customHeight="1" spans="1:16">
      <c r="A488" s="17" t="s">
        <v>1504</v>
      </c>
      <c r="B488" s="17" t="s">
        <v>331</v>
      </c>
      <c r="C488" s="17" t="s">
        <v>739</v>
      </c>
      <c r="D488" s="17" t="s">
        <v>1505</v>
      </c>
      <c r="E488" s="17" t="s">
        <v>1506</v>
      </c>
      <c r="F488" s="17" t="s">
        <v>54</v>
      </c>
      <c r="G488" s="17" t="s">
        <v>161</v>
      </c>
      <c r="H488" s="17" t="s">
        <v>54</v>
      </c>
      <c r="I488" s="17" t="s">
        <v>1500</v>
      </c>
      <c r="J488" s="17" t="s">
        <v>54</v>
      </c>
      <c r="K488" s="17" t="s">
        <v>54</v>
      </c>
      <c r="L488" s="17" t="s">
        <v>457</v>
      </c>
      <c r="M488" s="17" t="s">
        <v>743</v>
      </c>
      <c r="N488" s="21" t="s">
        <v>54</v>
      </c>
      <c r="O488" s="22" t="s">
        <v>54</v>
      </c>
      <c r="P488" s="21" t="s">
        <v>54</v>
      </c>
    </row>
    <row r="489" ht="39" customHeight="1" spans="1:16">
      <c r="A489" s="17" t="s">
        <v>1507</v>
      </c>
      <c r="B489" s="17" t="s">
        <v>333</v>
      </c>
      <c r="C489" s="17" t="s">
        <v>739</v>
      </c>
      <c r="D489" s="17" t="s">
        <v>1508</v>
      </c>
      <c r="E489" s="17" t="s">
        <v>1509</v>
      </c>
      <c r="F489" s="17" t="s">
        <v>54</v>
      </c>
      <c r="G489" s="17" t="s">
        <v>161</v>
      </c>
      <c r="H489" s="17" t="s">
        <v>54</v>
      </c>
      <c r="I489" s="17" t="s">
        <v>1510</v>
      </c>
      <c r="J489" s="17" t="s">
        <v>54</v>
      </c>
      <c r="K489" s="17" t="s">
        <v>54</v>
      </c>
      <c r="L489" s="17" t="s">
        <v>457</v>
      </c>
      <c r="M489" s="17" t="s">
        <v>743</v>
      </c>
      <c r="N489" s="21" t="s">
        <v>54</v>
      </c>
      <c r="O489" s="22" t="s">
        <v>54</v>
      </c>
      <c r="P489" s="21" t="s">
        <v>54</v>
      </c>
    </row>
    <row r="490" ht="39" customHeight="1" spans="1:16">
      <c r="A490" s="17" t="s">
        <v>1511</v>
      </c>
      <c r="B490" s="17" t="s">
        <v>333</v>
      </c>
      <c r="C490" s="17" t="s">
        <v>739</v>
      </c>
      <c r="D490" s="17" t="s">
        <v>1512</v>
      </c>
      <c r="E490" s="17" t="s">
        <v>1513</v>
      </c>
      <c r="F490" s="17" t="s">
        <v>54</v>
      </c>
      <c r="G490" s="17" t="s">
        <v>161</v>
      </c>
      <c r="H490" s="17" t="s">
        <v>54</v>
      </c>
      <c r="I490" s="17" t="s">
        <v>1510</v>
      </c>
      <c r="J490" s="17" t="s">
        <v>54</v>
      </c>
      <c r="K490" s="17" t="s">
        <v>54</v>
      </c>
      <c r="L490" s="17" t="s">
        <v>457</v>
      </c>
      <c r="M490" s="17" t="s">
        <v>743</v>
      </c>
      <c r="N490" s="21" t="s">
        <v>54</v>
      </c>
      <c r="O490" s="22" t="s">
        <v>54</v>
      </c>
      <c r="P490" s="21" t="s">
        <v>54</v>
      </c>
    </row>
    <row r="491" ht="39" customHeight="1" spans="1:16">
      <c r="A491" s="17" t="s">
        <v>1514</v>
      </c>
      <c r="B491" s="17" t="s">
        <v>333</v>
      </c>
      <c r="C491" s="17" t="s">
        <v>739</v>
      </c>
      <c r="D491" s="17" t="s">
        <v>973</v>
      </c>
      <c r="E491" s="17" t="s">
        <v>1515</v>
      </c>
      <c r="F491" s="17" t="s">
        <v>54</v>
      </c>
      <c r="G491" s="17" t="s">
        <v>161</v>
      </c>
      <c r="H491" s="17" t="s">
        <v>54</v>
      </c>
      <c r="I491" s="17" t="s">
        <v>1510</v>
      </c>
      <c r="J491" s="17" t="s">
        <v>54</v>
      </c>
      <c r="K491" s="17" t="s">
        <v>54</v>
      </c>
      <c r="L491" s="17" t="s">
        <v>457</v>
      </c>
      <c r="M491" s="17" t="s">
        <v>743</v>
      </c>
      <c r="N491" s="21" t="s">
        <v>54</v>
      </c>
      <c r="O491" s="22" t="s">
        <v>54</v>
      </c>
      <c r="P491" s="21" t="s">
        <v>54</v>
      </c>
    </row>
    <row r="492" ht="39" customHeight="1" spans="1:16">
      <c r="A492" s="17" t="s">
        <v>1516</v>
      </c>
      <c r="B492" s="17" t="s">
        <v>336</v>
      </c>
      <c r="C492" s="17" t="s">
        <v>739</v>
      </c>
      <c r="D492" s="17" t="s">
        <v>1517</v>
      </c>
      <c r="E492" s="17" t="s">
        <v>1518</v>
      </c>
      <c r="F492" s="17" t="s">
        <v>54</v>
      </c>
      <c r="G492" s="17" t="s">
        <v>161</v>
      </c>
      <c r="H492" s="17" t="s">
        <v>54</v>
      </c>
      <c r="I492" s="17" t="s">
        <v>1207</v>
      </c>
      <c r="J492" s="17" t="s">
        <v>54</v>
      </c>
      <c r="K492" s="17" t="s">
        <v>54</v>
      </c>
      <c r="L492" s="17" t="s">
        <v>457</v>
      </c>
      <c r="M492" s="17" t="s">
        <v>743</v>
      </c>
      <c r="N492" s="21" t="s">
        <v>54</v>
      </c>
      <c r="O492" s="22" t="s">
        <v>54</v>
      </c>
      <c r="P492" s="21" t="s">
        <v>54</v>
      </c>
    </row>
    <row r="493" ht="52" customHeight="1" spans="1:16">
      <c r="A493" s="17" t="s">
        <v>1519</v>
      </c>
      <c r="B493" s="17" t="s">
        <v>336</v>
      </c>
      <c r="C493" s="17" t="s">
        <v>739</v>
      </c>
      <c r="D493" s="17" t="s">
        <v>1520</v>
      </c>
      <c r="E493" s="17" t="s">
        <v>1521</v>
      </c>
      <c r="F493" s="17" t="s">
        <v>54</v>
      </c>
      <c r="G493" s="17" t="s">
        <v>161</v>
      </c>
      <c r="H493" s="17" t="s">
        <v>54</v>
      </c>
      <c r="I493" s="17" t="s">
        <v>1207</v>
      </c>
      <c r="J493" s="17" t="s">
        <v>54</v>
      </c>
      <c r="K493" s="17" t="s">
        <v>54</v>
      </c>
      <c r="L493" s="17" t="s">
        <v>457</v>
      </c>
      <c r="M493" s="17" t="s">
        <v>743</v>
      </c>
      <c r="N493" s="21" t="s">
        <v>54</v>
      </c>
      <c r="O493" s="22" t="s">
        <v>54</v>
      </c>
      <c r="P493" s="21" t="s">
        <v>54</v>
      </c>
    </row>
    <row r="494" ht="52" customHeight="1" spans="1:16">
      <c r="A494" s="17" t="s">
        <v>1522</v>
      </c>
      <c r="B494" s="17" t="s">
        <v>336</v>
      </c>
      <c r="C494" s="17" t="s">
        <v>739</v>
      </c>
      <c r="D494" s="17" t="s">
        <v>1523</v>
      </c>
      <c r="E494" s="17" t="s">
        <v>1524</v>
      </c>
      <c r="F494" s="17" t="s">
        <v>54</v>
      </c>
      <c r="G494" s="17" t="s">
        <v>161</v>
      </c>
      <c r="H494" s="17" t="s">
        <v>54</v>
      </c>
      <c r="I494" s="17" t="s">
        <v>1207</v>
      </c>
      <c r="J494" s="17" t="s">
        <v>54</v>
      </c>
      <c r="K494" s="17" t="s">
        <v>54</v>
      </c>
      <c r="L494" s="17" t="s">
        <v>457</v>
      </c>
      <c r="M494" s="17" t="s">
        <v>743</v>
      </c>
      <c r="N494" s="21" t="s">
        <v>54</v>
      </c>
      <c r="O494" s="22" t="s">
        <v>54</v>
      </c>
      <c r="P494" s="21" t="s">
        <v>54</v>
      </c>
    </row>
    <row r="495" ht="52" customHeight="1" spans="1:16">
      <c r="A495" s="17" t="s">
        <v>1525</v>
      </c>
      <c r="B495" s="17" t="s">
        <v>338</v>
      </c>
      <c r="C495" s="17" t="s">
        <v>1526</v>
      </c>
      <c r="D495" s="17" t="s">
        <v>1527</v>
      </c>
      <c r="E495" s="17" t="s">
        <v>1528</v>
      </c>
      <c r="F495" s="17" t="s">
        <v>1529</v>
      </c>
      <c r="G495" s="17" t="s">
        <v>7</v>
      </c>
      <c r="H495" s="17" t="s">
        <v>54</v>
      </c>
      <c r="I495" s="17" t="s">
        <v>1530</v>
      </c>
      <c r="J495" s="20" t="s">
        <v>1531</v>
      </c>
      <c r="K495" s="17" t="s">
        <v>54</v>
      </c>
      <c r="L495" s="17" t="s">
        <v>457</v>
      </c>
      <c r="M495" s="17" t="s">
        <v>458</v>
      </c>
      <c r="N495" s="21" t="s">
        <v>54</v>
      </c>
      <c r="O495" s="22" t="s">
        <v>54</v>
      </c>
      <c r="P495" s="21" t="s">
        <v>54</v>
      </c>
    </row>
    <row r="496" ht="52" customHeight="1" spans="1:16">
      <c r="A496" s="17" t="s">
        <v>1532</v>
      </c>
      <c r="B496" s="17" t="s">
        <v>338</v>
      </c>
      <c r="C496" s="17" t="s">
        <v>1526</v>
      </c>
      <c r="D496" s="17" t="s">
        <v>1533</v>
      </c>
      <c r="E496" s="17" t="s">
        <v>1534</v>
      </c>
      <c r="F496" s="17" t="s">
        <v>1535</v>
      </c>
      <c r="G496" s="17" t="s">
        <v>8</v>
      </c>
      <c r="H496" s="17" t="s">
        <v>54</v>
      </c>
      <c r="I496" s="17" t="s">
        <v>1530</v>
      </c>
      <c r="J496" s="20" t="s">
        <v>1531</v>
      </c>
      <c r="K496" s="17" t="s">
        <v>54</v>
      </c>
      <c r="L496" s="17" t="s">
        <v>457</v>
      </c>
      <c r="M496" s="17" t="s">
        <v>485</v>
      </c>
      <c r="N496" s="21" t="s">
        <v>54</v>
      </c>
      <c r="O496" s="22" t="s">
        <v>54</v>
      </c>
      <c r="P496" s="21" t="s">
        <v>54</v>
      </c>
    </row>
    <row r="497" ht="52" customHeight="1" spans="1:16">
      <c r="A497" s="17" t="s">
        <v>1536</v>
      </c>
      <c r="B497" s="17" t="s">
        <v>338</v>
      </c>
      <c r="C497" s="17" t="s">
        <v>1526</v>
      </c>
      <c r="D497" s="17" t="s">
        <v>1537</v>
      </c>
      <c r="E497" s="17" t="s">
        <v>1538</v>
      </c>
      <c r="F497" s="17" t="s">
        <v>1539</v>
      </c>
      <c r="G497" s="17" t="s">
        <v>11</v>
      </c>
      <c r="H497" s="17" t="s">
        <v>1540</v>
      </c>
      <c r="I497" s="17" t="s">
        <v>1530</v>
      </c>
      <c r="J497" s="20" t="s">
        <v>1541</v>
      </c>
      <c r="K497" s="17" t="s">
        <v>1542</v>
      </c>
      <c r="L497" s="17" t="s">
        <v>1543</v>
      </c>
      <c r="M497" s="17" t="s">
        <v>471</v>
      </c>
      <c r="N497" s="21" t="s">
        <v>54</v>
      </c>
      <c r="O497" s="22" t="s">
        <v>54</v>
      </c>
      <c r="P497" s="21" t="s">
        <v>54</v>
      </c>
    </row>
    <row r="498" ht="52" customHeight="1" spans="1:16">
      <c r="A498" s="17" t="s">
        <v>1544</v>
      </c>
      <c r="B498" s="17" t="s">
        <v>344</v>
      </c>
      <c r="C498" s="17" t="s">
        <v>1526</v>
      </c>
      <c r="D498" s="17" t="s">
        <v>1545</v>
      </c>
      <c r="E498" s="17" t="s">
        <v>1546</v>
      </c>
      <c r="F498" s="17" t="s">
        <v>1547</v>
      </c>
      <c r="G498" s="17" t="s">
        <v>7</v>
      </c>
      <c r="H498" s="17" t="s">
        <v>54</v>
      </c>
      <c r="I498" s="17" t="s">
        <v>1548</v>
      </c>
      <c r="J498" s="20" t="s">
        <v>1531</v>
      </c>
      <c r="K498" s="17" t="s">
        <v>54</v>
      </c>
      <c r="L498" s="17" t="s">
        <v>457</v>
      </c>
      <c r="M498" s="17" t="s">
        <v>458</v>
      </c>
      <c r="N498" s="21" t="s">
        <v>54</v>
      </c>
      <c r="O498" s="22" t="s">
        <v>54</v>
      </c>
      <c r="P498" s="21" t="s">
        <v>54</v>
      </c>
    </row>
    <row r="499" ht="52" customHeight="1" spans="1:16">
      <c r="A499" s="17" t="s">
        <v>1549</v>
      </c>
      <c r="B499" s="17" t="s">
        <v>344</v>
      </c>
      <c r="C499" s="17" t="s">
        <v>1526</v>
      </c>
      <c r="D499" s="17" t="s">
        <v>1550</v>
      </c>
      <c r="E499" s="17" t="s">
        <v>1551</v>
      </c>
      <c r="F499" s="17" t="s">
        <v>1552</v>
      </c>
      <c r="G499" s="17" t="s">
        <v>8</v>
      </c>
      <c r="H499" s="17" t="s">
        <v>54</v>
      </c>
      <c r="I499" s="17" t="s">
        <v>1548</v>
      </c>
      <c r="J499" s="20" t="s">
        <v>1553</v>
      </c>
      <c r="K499" s="17" t="s">
        <v>54</v>
      </c>
      <c r="L499" s="17" t="s">
        <v>457</v>
      </c>
      <c r="M499" s="17" t="s">
        <v>485</v>
      </c>
      <c r="N499" s="21" t="s">
        <v>54</v>
      </c>
      <c r="O499" s="22" t="s">
        <v>54</v>
      </c>
      <c r="P499" s="21" t="s">
        <v>54</v>
      </c>
    </row>
    <row r="500" ht="39" customHeight="1" spans="1:16">
      <c r="A500" s="17" t="s">
        <v>1554</v>
      </c>
      <c r="B500" s="17" t="s">
        <v>344</v>
      </c>
      <c r="C500" s="17" t="s">
        <v>1526</v>
      </c>
      <c r="D500" s="17" t="s">
        <v>1555</v>
      </c>
      <c r="E500" s="17" t="s">
        <v>1556</v>
      </c>
      <c r="F500" s="17" t="s">
        <v>1557</v>
      </c>
      <c r="G500" s="17" t="s">
        <v>7</v>
      </c>
      <c r="H500" s="17" t="s">
        <v>54</v>
      </c>
      <c r="I500" s="17" t="s">
        <v>1548</v>
      </c>
      <c r="J500" s="20" t="s">
        <v>1531</v>
      </c>
      <c r="K500" s="17" t="s">
        <v>54</v>
      </c>
      <c r="L500" s="17" t="s">
        <v>457</v>
      </c>
      <c r="M500" s="17" t="s">
        <v>458</v>
      </c>
      <c r="N500" s="21" t="s">
        <v>54</v>
      </c>
      <c r="O500" s="22" t="s">
        <v>54</v>
      </c>
      <c r="P500" s="21" t="s">
        <v>54</v>
      </c>
    </row>
    <row r="501" ht="52" customHeight="1" spans="1:16">
      <c r="A501" s="17" t="s">
        <v>1558</v>
      </c>
      <c r="B501" s="17" t="s">
        <v>347</v>
      </c>
      <c r="C501" s="17" t="s">
        <v>1526</v>
      </c>
      <c r="D501" s="17" t="s">
        <v>1559</v>
      </c>
      <c r="E501" s="17" t="s">
        <v>1560</v>
      </c>
      <c r="F501" s="17" t="s">
        <v>1561</v>
      </c>
      <c r="G501" s="17" t="s">
        <v>8</v>
      </c>
      <c r="H501" s="17" t="s">
        <v>54</v>
      </c>
      <c r="I501" s="17" t="s">
        <v>1562</v>
      </c>
      <c r="J501" s="20" t="s">
        <v>1553</v>
      </c>
      <c r="K501" s="17" t="s">
        <v>54</v>
      </c>
      <c r="L501" s="17" t="s">
        <v>457</v>
      </c>
      <c r="M501" s="17" t="s">
        <v>485</v>
      </c>
      <c r="N501" s="21" t="s">
        <v>54</v>
      </c>
      <c r="O501" s="22" t="s">
        <v>54</v>
      </c>
      <c r="P501" s="21" t="s">
        <v>54</v>
      </c>
    </row>
    <row r="502" ht="52" customHeight="1" spans="1:16">
      <c r="A502" s="17" t="s">
        <v>1563</v>
      </c>
      <c r="B502" s="17" t="s">
        <v>347</v>
      </c>
      <c r="C502" s="17" t="s">
        <v>1526</v>
      </c>
      <c r="D502" s="17" t="s">
        <v>1564</v>
      </c>
      <c r="E502" s="17" t="s">
        <v>1565</v>
      </c>
      <c r="F502" s="17" t="s">
        <v>1539</v>
      </c>
      <c r="G502" s="17" t="s">
        <v>11</v>
      </c>
      <c r="H502" s="17" t="s">
        <v>1566</v>
      </c>
      <c r="I502" s="17" t="s">
        <v>1562</v>
      </c>
      <c r="J502" s="20" t="s">
        <v>1567</v>
      </c>
      <c r="K502" s="17" t="s">
        <v>1542</v>
      </c>
      <c r="L502" s="17" t="s">
        <v>1568</v>
      </c>
      <c r="M502" s="17" t="s">
        <v>471</v>
      </c>
      <c r="N502" s="21" t="s">
        <v>54</v>
      </c>
      <c r="O502" s="22" t="s">
        <v>54</v>
      </c>
      <c r="P502" s="21" t="s">
        <v>54</v>
      </c>
    </row>
    <row r="503" ht="65" customHeight="1" spans="1:16">
      <c r="A503" s="17" t="s">
        <v>1569</v>
      </c>
      <c r="B503" s="17" t="s">
        <v>347</v>
      </c>
      <c r="C503" s="17" t="s">
        <v>1526</v>
      </c>
      <c r="D503" s="17" t="s">
        <v>1570</v>
      </c>
      <c r="E503" s="17" t="s">
        <v>1571</v>
      </c>
      <c r="F503" s="17" t="s">
        <v>1572</v>
      </c>
      <c r="G503" s="17" t="s">
        <v>7</v>
      </c>
      <c r="H503" s="17" t="s">
        <v>54</v>
      </c>
      <c r="I503" s="17" t="s">
        <v>1562</v>
      </c>
      <c r="J503" s="20" t="s">
        <v>1573</v>
      </c>
      <c r="K503" s="17" t="s">
        <v>54</v>
      </c>
      <c r="L503" s="17" t="s">
        <v>457</v>
      </c>
      <c r="M503" s="17" t="s">
        <v>458</v>
      </c>
      <c r="N503" s="21" t="s">
        <v>54</v>
      </c>
      <c r="O503" s="22" t="s">
        <v>54</v>
      </c>
      <c r="P503" s="21" t="s">
        <v>54</v>
      </c>
    </row>
    <row r="504" ht="39" customHeight="1" spans="1:16">
      <c r="A504" s="17" t="s">
        <v>1574</v>
      </c>
      <c r="B504" s="17" t="s">
        <v>350</v>
      </c>
      <c r="C504" s="17" t="s">
        <v>1526</v>
      </c>
      <c r="D504" s="17" t="s">
        <v>1575</v>
      </c>
      <c r="E504" s="17" t="s">
        <v>1576</v>
      </c>
      <c r="F504" s="17" t="s">
        <v>1577</v>
      </c>
      <c r="G504" s="17" t="s">
        <v>8</v>
      </c>
      <c r="H504" s="17" t="s">
        <v>54</v>
      </c>
      <c r="I504" s="17" t="s">
        <v>1578</v>
      </c>
      <c r="J504" s="20" t="s">
        <v>1531</v>
      </c>
      <c r="K504" s="17" t="s">
        <v>54</v>
      </c>
      <c r="L504" s="17" t="s">
        <v>457</v>
      </c>
      <c r="M504" s="17" t="s">
        <v>485</v>
      </c>
      <c r="N504" s="21" t="s">
        <v>54</v>
      </c>
      <c r="O504" s="22" t="s">
        <v>54</v>
      </c>
      <c r="P504" s="21" t="s">
        <v>54</v>
      </c>
    </row>
    <row r="505" ht="52" customHeight="1" spans="1:16">
      <c r="A505" s="17" t="s">
        <v>1579</v>
      </c>
      <c r="B505" s="17" t="s">
        <v>350</v>
      </c>
      <c r="C505" s="17" t="s">
        <v>1526</v>
      </c>
      <c r="D505" s="17" t="s">
        <v>1580</v>
      </c>
      <c r="E505" s="17" t="s">
        <v>1581</v>
      </c>
      <c r="F505" s="17" t="s">
        <v>1582</v>
      </c>
      <c r="G505" s="17" t="s">
        <v>8</v>
      </c>
      <c r="H505" s="17" t="s">
        <v>54</v>
      </c>
      <c r="I505" s="17" t="s">
        <v>1578</v>
      </c>
      <c r="J505" s="20" t="s">
        <v>1531</v>
      </c>
      <c r="K505" s="17" t="s">
        <v>54</v>
      </c>
      <c r="L505" s="17" t="s">
        <v>457</v>
      </c>
      <c r="M505" s="17" t="s">
        <v>485</v>
      </c>
      <c r="N505" s="21" t="s">
        <v>54</v>
      </c>
      <c r="O505" s="22" t="s">
        <v>54</v>
      </c>
      <c r="P505" s="21" t="s">
        <v>54</v>
      </c>
    </row>
    <row r="506" ht="65" customHeight="1" spans="1:16">
      <c r="A506" s="17" t="s">
        <v>1583</v>
      </c>
      <c r="B506" s="17" t="s">
        <v>350</v>
      </c>
      <c r="C506" s="17" t="s">
        <v>1526</v>
      </c>
      <c r="D506" s="17" t="s">
        <v>1584</v>
      </c>
      <c r="E506" s="17" t="s">
        <v>1585</v>
      </c>
      <c r="F506" s="17" t="s">
        <v>1539</v>
      </c>
      <c r="G506" s="17" t="s">
        <v>11</v>
      </c>
      <c r="H506" s="17" t="s">
        <v>1586</v>
      </c>
      <c r="I506" s="17" t="s">
        <v>1578</v>
      </c>
      <c r="J506" s="20" t="s">
        <v>1587</v>
      </c>
      <c r="K506" s="17" t="s">
        <v>1542</v>
      </c>
      <c r="L506" s="17" t="s">
        <v>1588</v>
      </c>
      <c r="M506" s="17" t="s">
        <v>471</v>
      </c>
      <c r="N506" s="21" t="s">
        <v>54</v>
      </c>
      <c r="O506" s="22" t="s">
        <v>54</v>
      </c>
      <c r="P506" s="21" t="s">
        <v>54</v>
      </c>
    </row>
    <row r="507" ht="52" customHeight="1" spans="1:16">
      <c r="A507" s="17" t="s">
        <v>1589</v>
      </c>
      <c r="B507" s="17" t="s">
        <v>353</v>
      </c>
      <c r="C507" s="17" t="s">
        <v>1526</v>
      </c>
      <c r="D507" s="17" t="s">
        <v>1590</v>
      </c>
      <c r="E507" s="17" t="s">
        <v>1591</v>
      </c>
      <c r="F507" s="17" t="s">
        <v>1539</v>
      </c>
      <c r="G507" s="17" t="s">
        <v>11</v>
      </c>
      <c r="H507" s="17" t="s">
        <v>1592</v>
      </c>
      <c r="I507" s="17" t="s">
        <v>1593</v>
      </c>
      <c r="J507" s="20" t="s">
        <v>1531</v>
      </c>
      <c r="K507" s="17" t="s">
        <v>1542</v>
      </c>
      <c r="L507" s="17" t="s">
        <v>1594</v>
      </c>
      <c r="M507" s="17" t="s">
        <v>471</v>
      </c>
      <c r="N507" s="21" t="s">
        <v>54</v>
      </c>
      <c r="O507" s="22" t="s">
        <v>54</v>
      </c>
      <c r="P507" s="21" t="s">
        <v>54</v>
      </c>
    </row>
    <row r="508" ht="52" customHeight="1" spans="1:16">
      <c r="A508" s="17" t="s">
        <v>1595</v>
      </c>
      <c r="B508" s="17" t="s">
        <v>353</v>
      </c>
      <c r="C508" s="17" t="s">
        <v>1526</v>
      </c>
      <c r="D508" s="17" t="s">
        <v>1596</v>
      </c>
      <c r="E508" s="17" t="s">
        <v>1597</v>
      </c>
      <c r="F508" s="17" t="s">
        <v>1598</v>
      </c>
      <c r="G508" s="17" t="s">
        <v>7</v>
      </c>
      <c r="H508" s="17" t="s">
        <v>54</v>
      </c>
      <c r="I508" s="17" t="s">
        <v>1593</v>
      </c>
      <c r="J508" s="20" t="s">
        <v>1531</v>
      </c>
      <c r="K508" s="17" t="s">
        <v>54</v>
      </c>
      <c r="L508" s="17" t="s">
        <v>457</v>
      </c>
      <c r="M508" s="17" t="s">
        <v>458</v>
      </c>
      <c r="N508" s="21" t="s">
        <v>54</v>
      </c>
      <c r="O508" s="22" t="s">
        <v>54</v>
      </c>
      <c r="P508" s="21" t="s">
        <v>54</v>
      </c>
    </row>
    <row r="509" ht="52" customHeight="1" spans="1:16">
      <c r="A509" s="17" t="s">
        <v>1599</v>
      </c>
      <c r="B509" s="17" t="s">
        <v>353</v>
      </c>
      <c r="C509" s="17" t="s">
        <v>1526</v>
      </c>
      <c r="D509" s="17" t="s">
        <v>1600</v>
      </c>
      <c r="E509" s="17" t="s">
        <v>1601</v>
      </c>
      <c r="F509" s="17" t="s">
        <v>1602</v>
      </c>
      <c r="G509" s="17" t="s">
        <v>8</v>
      </c>
      <c r="H509" s="17" t="s">
        <v>54</v>
      </c>
      <c r="I509" s="17" t="s">
        <v>1593</v>
      </c>
      <c r="J509" s="20" t="s">
        <v>1531</v>
      </c>
      <c r="K509" s="17" t="s">
        <v>54</v>
      </c>
      <c r="L509" s="17" t="s">
        <v>457</v>
      </c>
      <c r="M509" s="17" t="s">
        <v>485</v>
      </c>
      <c r="N509" s="21" t="s">
        <v>54</v>
      </c>
      <c r="O509" s="22" t="s">
        <v>54</v>
      </c>
      <c r="P509" s="21" t="s">
        <v>54</v>
      </c>
    </row>
    <row r="510" ht="39" customHeight="1" spans="1:16">
      <c r="A510" s="17" t="s">
        <v>1603</v>
      </c>
      <c r="B510" s="17" t="s">
        <v>355</v>
      </c>
      <c r="C510" s="17" t="s">
        <v>1526</v>
      </c>
      <c r="D510" s="17" t="s">
        <v>1604</v>
      </c>
      <c r="E510" s="17" t="s">
        <v>1605</v>
      </c>
      <c r="F510" s="17" t="s">
        <v>1606</v>
      </c>
      <c r="G510" s="17" t="s">
        <v>7</v>
      </c>
      <c r="H510" s="17" t="s">
        <v>54</v>
      </c>
      <c r="I510" s="17" t="s">
        <v>1607</v>
      </c>
      <c r="J510" s="20" t="s">
        <v>1608</v>
      </c>
      <c r="K510" s="17" t="s">
        <v>54</v>
      </c>
      <c r="L510" s="17" t="s">
        <v>457</v>
      </c>
      <c r="M510" s="17" t="s">
        <v>458</v>
      </c>
      <c r="N510" s="21" t="s">
        <v>54</v>
      </c>
      <c r="O510" s="22" t="s">
        <v>54</v>
      </c>
      <c r="P510" s="21" t="s">
        <v>54</v>
      </c>
    </row>
    <row r="511" ht="39" customHeight="1" spans="1:16">
      <c r="A511" s="17" t="s">
        <v>1609</v>
      </c>
      <c r="B511" s="17" t="s">
        <v>355</v>
      </c>
      <c r="C511" s="17" t="s">
        <v>1526</v>
      </c>
      <c r="D511" s="17" t="s">
        <v>1610</v>
      </c>
      <c r="E511" s="17" t="s">
        <v>1611</v>
      </c>
      <c r="F511" s="17" t="s">
        <v>1612</v>
      </c>
      <c r="G511" s="17" t="s">
        <v>7</v>
      </c>
      <c r="H511" s="17" t="s">
        <v>54</v>
      </c>
      <c r="I511" s="17" t="s">
        <v>1607</v>
      </c>
      <c r="J511" s="20" t="s">
        <v>1608</v>
      </c>
      <c r="K511" s="17" t="s">
        <v>54</v>
      </c>
      <c r="L511" s="17" t="s">
        <v>457</v>
      </c>
      <c r="M511" s="17" t="s">
        <v>458</v>
      </c>
      <c r="N511" s="21" t="s">
        <v>54</v>
      </c>
      <c r="O511" s="22" t="s">
        <v>54</v>
      </c>
      <c r="P511" s="21" t="s">
        <v>54</v>
      </c>
    </row>
    <row r="512" ht="39" customHeight="1" spans="1:16">
      <c r="A512" s="17" t="s">
        <v>1613</v>
      </c>
      <c r="B512" s="17" t="s">
        <v>355</v>
      </c>
      <c r="C512" s="17" t="s">
        <v>1526</v>
      </c>
      <c r="D512" s="17" t="s">
        <v>1614</v>
      </c>
      <c r="E512" s="17" t="s">
        <v>1615</v>
      </c>
      <c r="F512" s="17" t="s">
        <v>1616</v>
      </c>
      <c r="G512" s="17" t="s">
        <v>7</v>
      </c>
      <c r="H512" s="17" t="s">
        <v>54</v>
      </c>
      <c r="I512" s="17" t="s">
        <v>1607</v>
      </c>
      <c r="J512" s="20" t="s">
        <v>1617</v>
      </c>
      <c r="K512" s="17" t="s">
        <v>54</v>
      </c>
      <c r="L512" s="17" t="s">
        <v>457</v>
      </c>
      <c r="M512" s="17" t="s">
        <v>458</v>
      </c>
      <c r="N512" s="21" t="s">
        <v>54</v>
      </c>
      <c r="O512" s="22" t="s">
        <v>54</v>
      </c>
      <c r="P512" s="21" t="s">
        <v>54</v>
      </c>
    </row>
    <row r="513" ht="39" customHeight="1" spans="1:16">
      <c r="A513" s="17" t="s">
        <v>1618</v>
      </c>
      <c r="B513" s="17" t="s">
        <v>357</v>
      </c>
      <c r="C513" s="17" t="s">
        <v>1526</v>
      </c>
      <c r="D513" s="17" t="s">
        <v>1619</v>
      </c>
      <c r="E513" s="17" t="s">
        <v>1620</v>
      </c>
      <c r="F513" s="17" t="s">
        <v>1621</v>
      </c>
      <c r="G513" s="17" t="s">
        <v>7</v>
      </c>
      <c r="H513" s="17" t="s">
        <v>54</v>
      </c>
      <c r="I513" s="17" t="s">
        <v>1622</v>
      </c>
      <c r="J513" s="20" t="s">
        <v>1617</v>
      </c>
      <c r="K513" s="17" t="s">
        <v>54</v>
      </c>
      <c r="L513" s="17" t="s">
        <v>457</v>
      </c>
      <c r="M513" s="17" t="s">
        <v>458</v>
      </c>
      <c r="N513" s="21" t="s">
        <v>54</v>
      </c>
      <c r="O513" s="22" t="s">
        <v>54</v>
      </c>
      <c r="P513" s="21" t="s">
        <v>54</v>
      </c>
    </row>
    <row r="514" ht="39" customHeight="1" spans="1:16">
      <c r="A514" s="17" t="s">
        <v>1623</v>
      </c>
      <c r="B514" s="17" t="s">
        <v>357</v>
      </c>
      <c r="C514" s="17" t="s">
        <v>1526</v>
      </c>
      <c r="D514" s="17" t="s">
        <v>1624</v>
      </c>
      <c r="E514" s="17" t="s">
        <v>1625</v>
      </c>
      <c r="F514" s="17" t="s">
        <v>1626</v>
      </c>
      <c r="G514" s="17" t="s">
        <v>7</v>
      </c>
      <c r="H514" s="17" t="s">
        <v>54</v>
      </c>
      <c r="I514" s="17" t="s">
        <v>1622</v>
      </c>
      <c r="J514" s="20" t="s">
        <v>1617</v>
      </c>
      <c r="K514" s="17" t="s">
        <v>54</v>
      </c>
      <c r="L514" s="17" t="s">
        <v>457</v>
      </c>
      <c r="M514" s="17" t="s">
        <v>458</v>
      </c>
      <c r="N514" s="21" t="s">
        <v>54</v>
      </c>
      <c r="O514" s="22" t="s">
        <v>54</v>
      </c>
      <c r="P514" s="21" t="s">
        <v>54</v>
      </c>
    </row>
    <row r="515" ht="39" customHeight="1" spans="1:16">
      <c r="A515" s="17" t="s">
        <v>1627</v>
      </c>
      <c r="B515" s="17" t="s">
        <v>357</v>
      </c>
      <c r="C515" s="17" t="s">
        <v>1526</v>
      </c>
      <c r="D515" s="17" t="s">
        <v>1628</v>
      </c>
      <c r="E515" s="17" t="s">
        <v>1629</v>
      </c>
      <c r="F515" s="17" t="s">
        <v>1630</v>
      </c>
      <c r="G515" s="17" t="s">
        <v>7</v>
      </c>
      <c r="H515" s="17" t="s">
        <v>54</v>
      </c>
      <c r="I515" s="17" t="s">
        <v>1622</v>
      </c>
      <c r="J515" s="20" t="s">
        <v>1631</v>
      </c>
      <c r="K515" s="17" t="s">
        <v>54</v>
      </c>
      <c r="L515" s="17" t="s">
        <v>457</v>
      </c>
      <c r="M515" s="17" t="s">
        <v>458</v>
      </c>
      <c r="N515" s="21" t="s">
        <v>54</v>
      </c>
      <c r="O515" s="22" t="s">
        <v>54</v>
      </c>
      <c r="P515" s="21" t="s">
        <v>54</v>
      </c>
    </row>
    <row r="516" ht="39" customHeight="1" spans="1:16">
      <c r="A516" s="17" t="s">
        <v>1632</v>
      </c>
      <c r="B516" s="17" t="s">
        <v>359</v>
      </c>
      <c r="C516" s="17" t="s">
        <v>1526</v>
      </c>
      <c r="D516" s="17" t="s">
        <v>1633</v>
      </c>
      <c r="E516" s="17" t="s">
        <v>1634</v>
      </c>
      <c r="F516" s="17" t="s">
        <v>1635</v>
      </c>
      <c r="G516" s="17" t="s">
        <v>7</v>
      </c>
      <c r="H516" s="17" t="s">
        <v>54</v>
      </c>
      <c r="I516" s="17" t="s">
        <v>1636</v>
      </c>
      <c r="J516" s="20" t="s">
        <v>1587</v>
      </c>
      <c r="K516" s="17" t="s">
        <v>54</v>
      </c>
      <c r="L516" s="17" t="s">
        <v>457</v>
      </c>
      <c r="M516" s="17" t="s">
        <v>458</v>
      </c>
      <c r="N516" s="21" t="s">
        <v>54</v>
      </c>
      <c r="O516" s="22" t="s">
        <v>54</v>
      </c>
      <c r="P516" s="21" t="s">
        <v>54</v>
      </c>
    </row>
    <row r="517" ht="39" customHeight="1" spans="1:16">
      <c r="A517" s="17" t="s">
        <v>1637</v>
      </c>
      <c r="B517" s="17" t="s">
        <v>359</v>
      </c>
      <c r="C517" s="17" t="s">
        <v>1526</v>
      </c>
      <c r="D517" s="17" t="s">
        <v>1638</v>
      </c>
      <c r="E517" s="17" t="s">
        <v>1639</v>
      </c>
      <c r="F517" s="17" t="s">
        <v>1640</v>
      </c>
      <c r="G517" s="17" t="s">
        <v>7</v>
      </c>
      <c r="H517" s="17" t="s">
        <v>54</v>
      </c>
      <c r="I517" s="17" t="s">
        <v>1636</v>
      </c>
      <c r="J517" s="20" t="s">
        <v>1587</v>
      </c>
      <c r="K517" s="17" t="s">
        <v>54</v>
      </c>
      <c r="L517" s="17" t="s">
        <v>457</v>
      </c>
      <c r="M517" s="17" t="s">
        <v>458</v>
      </c>
      <c r="N517" s="21" t="s">
        <v>54</v>
      </c>
      <c r="O517" s="22" t="s">
        <v>54</v>
      </c>
      <c r="P517" s="21" t="s">
        <v>54</v>
      </c>
    </row>
    <row r="518" ht="39" customHeight="1" spans="1:16">
      <c r="A518" s="17" t="s">
        <v>1641</v>
      </c>
      <c r="B518" s="17" t="s">
        <v>359</v>
      </c>
      <c r="C518" s="17" t="s">
        <v>1526</v>
      </c>
      <c r="D518" s="17" t="s">
        <v>777</v>
      </c>
      <c r="E518" s="17" t="s">
        <v>1642</v>
      </c>
      <c r="F518" s="17" t="s">
        <v>1643</v>
      </c>
      <c r="G518" s="17" t="s">
        <v>7</v>
      </c>
      <c r="H518" s="17" t="s">
        <v>54</v>
      </c>
      <c r="I518" s="17" t="s">
        <v>1636</v>
      </c>
      <c r="J518" s="20" t="s">
        <v>1644</v>
      </c>
      <c r="K518" s="17" t="s">
        <v>54</v>
      </c>
      <c r="L518" s="17" t="s">
        <v>457</v>
      </c>
      <c r="M518" s="17" t="s">
        <v>458</v>
      </c>
      <c r="N518" s="21" t="s">
        <v>54</v>
      </c>
      <c r="O518" s="22" t="s">
        <v>54</v>
      </c>
      <c r="P518" s="21" t="s">
        <v>54</v>
      </c>
    </row>
    <row r="519" ht="39" customHeight="1" spans="1:16">
      <c r="A519" s="17" t="s">
        <v>1645</v>
      </c>
      <c r="B519" s="17" t="s">
        <v>361</v>
      </c>
      <c r="C519" s="17" t="s">
        <v>1526</v>
      </c>
      <c r="D519" s="17" t="s">
        <v>1646</v>
      </c>
      <c r="E519" s="17" t="s">
        <v>1647</v>
      </c>
      <c r="F519" s="17" t="s">
        <v>1648</v>
      </c>
      <c r="G519" s="17" t="s">
        <v>7</v>
      </c>
      <c r="H519" s="17" t="s">
        <v>54</v>
      </c>
      <c r="I519" s="17" t="s">
        <v>1649</v>
      </c>
      <c r="J519" s="20" t="s">
        <v>1587</v>
      </c>
      <c r="K519" s="17" t="s">
        <v>54</v>
      </c>
      <c r="L519" s="17" t="s">
        <v>457</v>
      </c>
      <c r="M519" s="17" t="s">
        <v>458</v>
      </c>
      <c r="N519" s="21" t="s">
        <v>54</v>
      </c>
      <c r="O519" s="22" t="s">
        <v>54</v>
      </c>
      <c r="P519" s="21" t="s">
        <v>54</v>
      </c>
    </row>
    <row r="520" ht="52" customHeight="1" spans="1:16">
      <c r="A520" s="17" t="s">
        <v>1650</v>
      </c>
      <c r="B520" s="17" t="s">
        <v>361</v>
      </c>
      <c r="C520" s="17" t="s">
        <v>1526</v>
      </c>
      <c r="D520" s="17" t="s">
        <v>1651</v>
      </c>
      <c r="E520" s="17" t="s">
        <v>1652</v>
      </c>
      <c r="F520" s="17" t="s">
        <v>1539</v>
      </c>
      <c r="G520" s="17" t="s">
        <v>11</v>
      </c>
      <c r="H520" s="17" t="s">
        <v>1653</v>
      </c>
      <c r="I520" s="17" t="s">
        <v>1649</v>
      </c>
      <c r="J520" s="20" t="s">
        <v>1567</v>
      </c>
      <c r="K520" s="17" t="s">
        <v>1542</v>
      </c>
      <c r="L520" s="17" t="s">
        <v>1654</v>
      </c>
      <c r="M520" s="17" t="s">
        <v>471</v>
      </c>
      <c r="N520" s="21" t="s">
        <v>54</v>
      </c>
      <c r="O520" s="22" t="s">
        <v>54</v>
      </c>
      <c r="P520" s="21" t="s">
        <v>54</v>
      </c>
    </row>
    <row r="521" ht="39" customHeight="1" spans="1:16">
      <c r="A521" s="17" t="s">
        <v>1655</v>
      </c>
      <c r="B521" s="17" t="s">
        <v>361</v>
      </c>
      <c r="C521" s="17" t="s">
        <v>1526</v>
      </c>
      <c r="D521" s="17" t="s">
        <v>1656</v>
      </c>
      <c r="E521" s="17" t="s">
        <v>1657</v>
      </c>
      <c r="F521" s="17" t="s">
        <v>1658</v>
      </c>
      <c r="G521" s="17" t="s">
        <v>7</v>
      </c>
      <c r="H521" s="17" t="s">
        <v>54</v>
      </c>
      <c r="I521" s="17" t="s">
        <v>1649</v>
      </c>
      <c r="J521" s="20" t="s">
        <v>1644</v>
      </c>
      <c r="K521" s="17" t="s">
        <v>54</v>
      </c>
      <c r="L521" s="17" t="s">
        <v>457</v>
      </c>
      <c r="M521" s="17" t="s">
        <v>458</v>
      </c>
      <c r="N521" s="21" t="s">
        <v>54</v>
      </c>
      <c r="O521" s="22" t="s">
        <v>54</v>
      </c>
      <c r="P521" s="21" t="s">
        <v>54</v>
      </c>
    </row>
    <row r="522" ht="52" customHeight="1" spans="1:16">
      <c r="A522" s="17" t="s">
        <v>1659</v>
      </c>
      <c r="B522" s="17" t="s">
        <v>363</v>
      </c>
      <c r="C522" s="17" t="s">
        <v>1526</v>
      </c>
      <c r="D522" s="17" t="s">
        <v>1660</v>
      </c>
      <c r="E522" s="17" t="s">
        <v>1661</v>
      </c>
      <c r="F522" s="17" t="s">
        <v>1662</v>
      </c>
      <c r="G522" s="17" t="s">
        <v>7</v>
      </c>
      <c r="H522" s="17" t="s">
        <v>54</v>
      </c>
      <c r="I522" s="17" t="s">
        <v>1663</v>
      </c>
      <c r="J522" s="20" t="s">
        <v>1664</v>
      </c>
      <c r="K522" s="17" t="s">
        <v>54</v>
      </c>
      <c r="L522" s="17" t="s">
        <v>457</v>
      </c>
      <c r="M522" s="17" t="s">
        <v>458</v>
      </c>
      <c r="N522" s="21" t="s">
        <v>54</v>
      </c>
      <c r="O522" s="22" t="s">
        <v>54</v>
      </c>
      <c r="P522" s="21" t="s">
        <v>54</v>
      </c>
    </row>
    <row r="523" ht="52" customHeight="1" spans="1:16">
      <c r="A523" s="17" t="s">
        <v>1665</v>
      </c>
      <c r="B523" s="17" t="s">
        <v>363</v>
      </c>
      <c r="C523" s="17" t="s">
        <v>1526</v>
      </c>
      <c r="D523" s="17" t="s">
        <v>1666</v>
      </c>
      <c r="E523" s="17" t="s">
        <v>1667</v>
      </c>
      <c r="F523" s="17" t="s">
        <v>1668</v>
      </c>
      <c r="G523" s="17" t="s">
        <v>7</v>
      </c>
      <c r="H523" s="17" t="s">
        <v>54</v>
      </c>
      <c r="I523" s="17" t="s">
        <v>1663</v>
      </c>
      <c r="J523" s="20" t="s">
        <v>1664</v>
      </c>
      <c r="K523" s="17" t="s">
        <v>54</v>
      </c>
      <c r="L523" s="17" t="s">
        <v>457</v>
      </c>
      <c r="M523" s="17" t="s">
        <v>458</v>
      </c>
      <c r="N523" s="21" t="s">
        <v>54</v>
      </c>
      <c r="O523" s="22" t="s">
        <v>54</v>
      </c>
      <c r="P523" s="21" t="s">
        <v>54</v>
      </c>
    </row>
    <row r="524" ht="52" customHeight="1" spans="1:16">
      <c r="A524" s="17" t="s">
        <v>1669</v>
      </c>
      <c r="B524" s="17" t="s">
        <v>363</v>
      </c>
      <c r="C524" s="17" t="s">
        <v>1526</v>
      </c>
      <c r="D524" s="17" t="s">
        <v>1670</v>
      </c>
      <c r="E524" s="17" t="s">
        <v>1671</v>
      </c>
      <c r="F524" s="17" t="s">
        <v>1672</v>
      </c>
      <c r="G524" s="17" t="s">
        <v>7</v>
      </c>
      <c r="H524" s="17" t="s">
        <v>54</v>
      </c>
      <c r="I524" s="17" t="s">
        <v>1663</v>
      </c>
      <c r="J524" s="20" t="s">
        <v>1644</v>
      </c>
      <c r="K524" s="17" t="s">
        <v>54</v>
      </c>
      <c r="L524" s="17" t="s">
        <v>457</v>
      </c>
      <c r="M524" s="17" t="s">
        <v>458</v>
      </c>
      <c r="N524" s="21" t="s">
        <v>54</v>
      </c>
      <c r="O524" s="22" t="s">
        <v>54</v>
      </c>
      <c r="P524" s="21" t="s">
        <v>54</v>
      </c>
    </row>
    <row r="525" ht="65" customHeight="1" spans="1:16">
      <c r="A525" s="17" t="s">
        <v>1673</v>
      </c>
      <c r="B525" s="17" t="s">
        <v>365</v>
      </c>
      <c r="C525" s="17" t="s">
        <v>1526</v>
      </c>
      <c r="D525" s="17" t="s">
        <v>1674</v>
      </c>
      <c r="E525" s="17" t="s">
        <v>1675</v>
      </c>
      <c r="F525" s="17" t="s">
        <v>1539</v>
      </c>
      <c r="G525" s="17" t="s">
        <v>11</v>
      </c>
      <c r="H525" s="17" t="s">
        <v>1676</v>
      </c>
      <c r="I525" s="17" t="s">
        <v>1677</v>
      </c>
      <c r="J525" s="20" t="s">
        <v>1678</v>
      </c>
      <c r="K525" s="17" t="s">
        <v>1542</v>
      </c>
      <c r="L525" s="17" t="s">
        <v>1679</v>
      </c>
      <c r="M525" s="17" t="s">
        <v>471</v>
      </c>
      <c r="N525" s="21" t="s">
        <v>54</v>
      </c>
      <c r="O525" s="22" t="s">
        <v>54</v>
      </c>
      <c r="P525" s="21" t="s">
        <v>54</v>
      </c>
    </row>
    <row r="526" ht="52" customHeight="1" spans="1:16">
      <c r="A526" s="17" t="s">
        <v>1680</v>
      </c>
      <c r="B526" s="17" t="s">
        <v>365</v>
      </c>
      <c r="C526" s="17" t="s">
        <v>1526</v>
      </c>
      <c r="D526" s="17" t="s">
        <v>1681</v>
      </c>
      <c r="E526" s="17" t="s">
        <v>1682</v>
      </c>
      <c r="F526" s="17" t="s">
        <v>1683</v>
      </c>
      <c r="G526" s="17" t="s">
        <v>7</v>
      </c>
      <c r="H526" s="17" t="s">
        <v>54</v>
      </c>
      <c r="I526" s="17" t="s">
        <v>1677</v>
      </c>
      <c r="J526" s="20" t="s">
        <v>1684</v>
      </c>
      <c r="K526" s="17" t="s">
        <v>54</v>
      </c>
      <c r="L526" s="17" t="s">
        <v>457</v>
      </c>
      <c r="M526" s="17" t="s">
        <v>458</v>
      </c>
      <c r="N526" s="21" t="s">
        <v>54</v>
      </c>
      <c r="O526" s="22" t="s">
        <v>54</v>
      </c>
      <c r="P526" s="21" t="s">
        <v>54</v>
      </c>
    </row>
    <row r="527" ht="52" customHeight="1" spans="1:16">
      <c r="A527" s="17" t="s">
        <v>1685</v>
      </c>
      <c r="B527" s="17" t="s">
        <v>365</v>
      </c>
      <c r="C527" s="17" t="s">
        <v>1526</v>
      </c>
      <c r="D527" s="17" t="s">
        <v>1686</v>
      </c>
      <c r="E527" s="17" t="s">
        <v>1687</v>
      </c>
      <c r="F527" s="17" t="s">
        <v>1539</v>
      </c>
      <c r="G527" s="17" t="s">
        <v>11</v>
      </c>
      <c r="H527" s="17" t="s">
        <v>1688</v>
      </c>
      <c r="I527" s="17" t="s">
        <v>1677</v>
      </c>
      <c r="J527" s="20" t="s">
        <v>1689</v>
      </c>
      <c r="K527" s="17" t="s">
        <v>1542</v>
      </c>
      <c r="L527" s="17" t="s">
        <v>1690</v>
      </c>
      <c r="M527" s="17" t="s">
        <v>471</v>
      </c>
      <c r="N527" s="21" t="s">
        <v>54</v>
      </c>
      <c r="O527" s="22" t="s">
        <v>54</v>
      </c>
      <c r="P527" s="21" t="s">
        <v>54</v>
      </c>
    </row>
    <row r="528" ht="65" customHeight="1" spans="1:16">
      <c r="A528" s="17" t="s">
        <v>1691</v>
      </c>
      <c r="B528" s="17" t="s">
        <v>365</v>
      </c>
      <c r="C528" s="17" t="s">
        <v>1526</v>
      </c>
      <c r="D528" s="17" t="s">
        <v>1692</v>
      </c>
      <c r="E528" s="17" t="s">
        <v>1693</v>
      </c>
      <c r="F528" s="17" t="s">
        <v>1539</v>
      </c>
      <c r="G528" s="17" t="s">
        <v>11</v>
      </c>
      <c r="H528" s="17" t="s">
        <v>1694</v>
      </c>
      <c r="I528" s="17" t="s">
        <v>1677</v>
      </c>
      <c r="J528" s="20" t="s">
        <v>1695</v>
      </c>
      <c r="K528" s="17" t="s">
        <v>491</v>
      </c>
      <c r="L528" s="17" t="s">
        <v>1696</v>
      </c>
      <c r="M528" s="17" t="s">
        <v>471</v>
      </c>
      <c r="N528" s="21" t="s">
        <v>54</v>
      </c>
      <c r="O528" s="22" t="s">
        <v>54</v>
      </c>
      <c r="P528" s="21" t="s">
        <v>54</v>
      </c>
    </row>
    <row r="529" ht="52" customHeight="1" spans="1:16">
      <c r="A529" s="17" t="s">
        <v>1697</v>
      </c>
      <c r="B529" s="17" t="s">
        <v>367</v>
      </c>
      <c r="C529" s="17" t="s">
        <v>1526</v>
      </c>
      <c r="D529" s="17" t="s">
        <v>1698</v>
      </c>
      <c r="E529" s="17" t="s">
        <v>1699</v>
      </c>
      <c r="F529" s="17" t="s">
        <v>1700</v>
      </c>
      <c r="G529" s="17" t="s">
        <v>7</v>
      </c>
      <c r="H529" s="17" t="s">
        <v>54</v>
      </c>
      <c r="I529" s="17" t="s">
        <v>1701</v>
      </c>
      <c r="J529" s="20" t="s">
        <v>1702</v>
      </c>
      <c r="K529" s="17" t="s">
        <v>54</v>
      </c>
      <c r="L529" s="17" t="s">
        <v>457</v>
      </c>
      <c r="M529" s="17" t="s">
        <v>458</v>
      </c>
      <c r="N529" s="21" t="s">
        <v>54</v>
      </c>
      <c r="O529" s="22" t="s">
        <v>54</v>
      </c>
      <c r="P529" s="21" t="s">
        <v>54</v>
      </c>
    </row>
    <row r="530" ht="39" customHeight="1" spans="1:16">
      <c r="A530" s="17" t="s">
        <v>1703</v>
      </c>
      <c r="B530" s="17" t="s">
        <v>367</v>
      </c>
      <c r="C530" s="17" t="s">
        <v>1526</v>
      </c>
      <c r="D530" s="17" t="s">
        <v>1704</v>
      </c>
      <c r="E530" s="17" t="s">
        <v>1705</v>
      </c>
      <c r="F530" s="17" t="s">
        <v>1706</v>
      </c>
      <c r="G530" s="17" t="s">
        <v>7</v>
      </c>
      <c r="H530" s="17" t="s">
        <v>54</v>
      </c>
      <c r="I530" s="17" t="s">
        <v>1701</v>
      </c>
      <c r="J530" s="20" t="s">
        <v>1707</v>
      </c>
      <c r="K530" s="17" t="s">
        <v>54</v>
      </c>
      <c r="L530" s="17" t="s">
        <v>457</v>
      </c>
      <c r="M530" s="17" t="s">
        <v>458</v>
      </c>
      <c r="N530" s="21" t="s">
        <v>54</v>
      </c>
      <c r="O530" s="22" t="s">
        <v>54</v>
      </c>
      <c r="P530" s="21" t="s">
        <v>54</v>
      </c>
    </row>
    <row r="531" ht="52" customHeight="1" spans="1:16">
      <c r="A531" s="17" t="s">
        <v>1708</v>
      </c>
      <c r="B531" s="17" t="s">
        <v>367</v>
      </c>
      <c r="C531" s="17" t="s">
        <v>1526</v>
      </c>
      <c r="D531" s="17" t="s">
        <v>1709</v>
      </c>
      <c r="E531" s="17" t="s">
        <v>1710</v>
      </c>
      <c r="F531" s="17" t="s">
        <v>1711</v>
      </c>
      <c r="G531" s="17" t="s">
        <v>7</v>
      </c>
      <c r="H531" s="17" t="s">
        <v>54</v>
      </c>
      <c r="I531" s="17" t="s">
        <v>1701</v>
      </c>
      <c r="J531" s="20" t="s">
        <v>1712</v>
      </c>
      <c r="K531" s="17" t="s">
        <v>54</v>
      </c>
      <c r="L531" s="17" t="s">
        <v>457</v>
      </c>
      <c r="M531" s="17" t="s">
        <v>458</v>
      </c>
      <c r="N531" s="21" t="s">
        <v>54</v>
      </c>
      <c r="O531" s="22" t="s">
        <v>54</v>
      </c>
      <c r="P531" s="21" t="s">
        <v>54</v>
      </c>
    </row>
    <row r="532" ht="52" customHeight="1" spans="1:16">
      <c r="A532" s="17" t="s">
        <v>1713</v>
      </c>
      <c r="B532" s="17" t="s">
        <v>369</v>
      </c>
      <c r="C532" s="17" t="s">
        <v>1526</v>
      </c>
      <c r="D532" s="17" t="s">
        <v>1714</v>
      </c>
      <c r="E532" s="17" t="s">
        <v>1715</v>
      </c>
      <c r="F532" s="17" t="s">
        <v>1539</v>
      </c>
      <c r="G532" s="17" t="s">
        <v>11</v>
      </c>
      <c r="H532" s="17" t="s">
        <v>1716</v>
      </c>
      <c r="I532" s="17" t="s">
        <v>1717</v>
      </c>
      <c r="J532" s="20" t="s">
        <v>1718</v>
      </c>
      <c r="K532" s="17" t="s">
        <v>469</v>
      </c>
      <c r="L532" s="17" t="s">
        <v>1719</v>
      </c>
      <c r="M532" s="17" t="s">
        <v>471</v>
      </c>
      <c r="N532" s="21" t="s">
        <v>54</v>
      </c>
      <c r="O532" s="22" t="s">
        <v>54</v>
      </c>
      <c r="P532" s="21" t="s">
        <v>54</v>
      </c>
    </row>
    <row r="533" ht="39" customHeight="1" spans="1:16">
      <c r="A533" s="17" t="s">
        <v>1720</v>
      </c>
      <c r="B533" s="17" t="s">
        <v>369</v>
      </c>
      <c r="C533" s="17" t="s">
        <v>1526</v>
      </c>
      <c r="D533" s="17" t="s">
        <v>1721</v>
      </c>
      <c r="E533" s="17" t="s">
        <v>1722</v>
      </c>
      <c r="F533" s="17" t="s">
        <v>1539</v>
      </c>
      <c r="G533" s="17" t="s">
        <v>11</v>
      </c>
      <c r="H533" s="17" t="s">
        <v>1723</v>
      </c>
      <c r="I533" s="17" t="s">
        <v>1717</v>
      </c>
      <c r="J533" s="20" t="s">
        <v>1718</v>
      </c>
      <c r="K533" s="17" t="s">
        <v>1542</v>
      </c>
      <c r="L533" s="17" t="s">
        <v>1724</v>
      </c>
      <c r="M533" s="17" t="s">
        <v>471</v>
      </c>
      <c r="N533" s="21" t="s">
        <v>54</v>
      </c>
      <c r="O533" s="22" t="s">
        <v>54</v>
      </c>
      <c r="P533" s="21" t="s">
        <v>54</v>
      </c>
    </row>
    <row r="534" ht="39" customHeight="1" spans="1:16">
      <c r="A534" s="17" t="s">
        <v>1725</v>
      </c>
      <c r="B534" s="17" t="s">
        <v>369</v>
      </c>
      <c r="C534" s="17" t="s">
        <v>1526</v>
      </c>
      <c r="D534" s="17" t="s">
        <v>1726</v>
      </c>
      <c r="E534" s="17" t="s">
        <v>1727</v>
      </c>
      <c r="F534" s="17" t="s">
        <v>1539</v>
      </c>
      <c r="G534" s="17" t="s">
        <v>11</v>
      </c>
      <c r="H534" s="17" t="s">
        <v>1728</v>
      </c>
      <c r="I534" s="17" t="s">
        <v>1717</v>
      </c>
      <c r="J534" s="17" t="s">
        <v>54</v>
      </c>
      <c r="K534" s="17" t="s">
        <v>1542</v>
      </c>
      <c r="L534" s="17" t="s">
        <v>1729</v>
      </c>
      <c r="M534" s="17" t="s">
        <v>471</v>
      </c>
      <c r="N534" s="21" t="s">
        <v>54</v>
      </c>
      <c r="O534" s="22" t="s">
        <v>54</v>
      </c>
      <c r="P534" s="21" t="s">
        <v>54</v>
      </c>
    </row>
    <row r="535" ht="52" customHeight="1" spans="1:16">
      <c r="A535" s="17" t="s">
        <v>1730</v>
      </c>
      <c r="B535" s="17" t="s">
        <v>371</v>
      </c>
      <c r="C535" s="17" t="s">
        <v>1526</v>
      </c>
      <c r="D535" s="17" t="s">
        <v>1731</v>
      </c>
      <c r="E535" s="17" t="s">
        <v>1732</v>
      </c>
      <c r="F535" s="17" t="s">
        <v>1539</v>
      </c>
      <c r="G535" s="17" t="s">
        <v>11</v>
      </c>
      <c r="H535" s="17" t="s">
        <v>1733</v>
      </c>
      <c r="I535" s="17" t="s">
        <v>1717</v>
      </c>
      <c r="J535" s="17" t="s">
        <v>54</v>
      </c>
      <c r="K535" s="17" t="s">
        <v>469</v>
      </c>
      <c r="L535" s="17" t="s">
        <v>1734</v>
      </c>
      <c r="M535" s="17" t="s">
        <v>471</v>
      </c>
      <c r="N535" s="21" t="s">
        <v>54</v>
      </c>
      <c r="O535" s="22" t="s">
        <v>54</v>
      </c>
      <c r="P535" s="21" t="s">
        <v>54</v>
      </c>
    </row>
    <row r="536" ht="39" customHeight="1" spans="1:16">
      <c r="A536" s="17" t="s">
        <v>1735</v>
      </c>
      <c r="B536" s="17" t="s">
        <v>371</v>
      </c>
      <c r="C536" s="17" t="s">
        <v>1526</v>
      </c>
      <c r="D536" s="17" t="s">
        <v>1736</v>
      </c>
      <c r="E536" s="17" t="s">
        <v>1737</v>
      </c>
      <c r="F536" s="17" t="s">
        <v>1539</v>
      </c>
      <c r="G536" s="17" t="s">
        <v>11</v>
      </c>
      <c r="H536" s="17" t="s">
        <v>1738</v>
      </c>
      <c r="I536" s="17" t="s">
        <v>1717</v>
      </c>
      <c r="J536" s="17" t="s">
        <v>54</v>
      </c>
      <c r="K536" s="17" t="s">
        <v>1542</v>
      </c>
      <c r="L536" s="17" t="s">
        <v>1739</v>
      </c>
      <c r="M536" s="17" t="s">
        <v>471</v>
      </c>
      <c r="N536" s="21" t="s">
        <v>54</v>
      </c>
      <c r="O536" s="22" t="s">
        <v>54</v>
      </c>
      <c r="P536" s="21" t="s">
        <v>54</v>
      </c>
    </row>
    <row r="537" ht="39" customHeight="1" spans="1:16">
      <c r="A537" s="17" t="s">
        <v>1740</v>
      </c>
      <c r="B537" s="17" t="s">
        <v>371</v>
      </c>
      <c r="C537" s="17" t="s">
        <v>1526</v>
      </c>
      <c r="D537" s="17" t="s">
        <v>1741</v>
      </c>
      <c r="E537" s="17" t="s">
        <v>1742</v>
      </c>
      <c r="F537" s="17" t="s">
        <v>1539</v>
      </c>
      <c r="G537" s="17" t="s">
        <v>11</v>
      </c>
      <c r="H537" s="17" t="s">
        <v>1743</v>
      </c>
      <c r="I537" s="17" t="s">
        <v>1717</v>
      </c>
      <c r="J537" s="17" t="s">
        <v>54</v>
      </c>
      <c r="K537" s="17" t="s">
        <v>469</v>
      </c>
      <c r="L537" s="17" t="s">
        <v>1744</v>
      </c>
      <c r="M537" s="17" t="s">
        <v>471</v>
      </c>
      <c r="N537" s="21" t="s">
        <v>54</v>
      </c>
      <c r="O537" s="22" t="s">
        <v>54</v>
      </c>
      <c r="P537" s="21" t="s">
        <v>54</v>
      </c>
    </row>
    <row r="538" ht="39" customHeight="1" spans="1:16">
      <c r="A538" s="17" t="s">
        <v>1745</v>
      </c>
      <c r="B538" s="17" t="s">
        <v>373</v>
      </c>
      <c r="C538" s="17" t="s">
        <v>1526</v>
      </c>
      <c r="D538" s="17" t="s">
        <v>1746</v>
      </c>
      <c r="E538" s="17" t="s">
        <v>1747</v>
      </c>
      <c r="F538" s="17" t="s">
        <v>1748</v>
      </c>
      <c r="G538" s="17" t="s">
        <v>7</v>
      </c>
      <c r="H538" s="17" t="s">
        <v>54</v>
      </c>
      <c r="I538" s="17" t="s">
        <v>1749</v>
      </c>
      <c r="J538" s="20" t="s">
        <v>1750</v>
      </c>
      <c r="K538" s="17" t="s">
        <v>54</v>
      </c>
      <c r="L538" s="17" t="s">
        <v>457</v>
      </c>
      <c r="M538" s="17" t="s">
        <v>458</v>
      </c>
      <c r="N538" s="21" t="s">
        <v>54</v>
      </c>
      <c r="O538" s="22" t="s">
        <v>54</v>
      </c>
      <c r="P538" s="21" t="s">
        <v>54</v>
      </c>
    </row>
    <row r="539" ht="39" customHeight="1" spans="1:16">
      <c r="A539" s="17" t="s">
        <v>1751</v>
      </c>
      <c r="B539" s="17" t="s">
        <v>373</v>
      </c>
      <c r="C539" s="17" t="s">
        <v>1526</v>
      </c>
      <c r="D539" s="17" t="s">
        <v>1752</v>
      </c>
      <c r="E539" s="17" t="s">
        <v>1753</v>
      </c>
      <c r="F539" s="17" t="s">
        <v>1754</v>
      </c>
      <c r="G539" s="17" t="s">
        <v>7</v>
      </c>
      <c r="H539" s="17" t="s">
        <v>54</v>
      </c>
      <c r="I539" s="17" t="s">
        <v>1749</v>
      </c>
      <c r="J539" s="20" t="s">
        <v>1755</v>
      </c>
      <c r="K539" s="17" t="s">
        <v>54</v>
      </c>
      <c r="L539" s="17" t="s">
        <v>457</v>
      </c>
      <c r="M539" s="17" t="s">
        <v>458</v>
      </c>
      <c r="N539" s="21" t="s">
        <v>54</v>
      </c>
      <c r="O539" s="22" t="s">
        <v>54</v>
      </c>
      <c r="P539" s="21" t="s">
        <v>54</v>
      </c>
    </row>
    <row r="540" ht="52" customHeight="1" spans="1:16">
      <c r="A540" s="17" t="s">
        <v>1756</v>
      </c>
      <c r="B540" s="17" t="s">
        <v>373</v>
      </c>
      <c r="C540" s="17" t="s">
        <v>1526</v>
      </c>
      <c r="D540" s="17" t="s">
        <v>1757</v>
      </c>
      <c r="E540" s="17" t="s">
        <v>1758</v>
      </c>
      <c r="F540" s="17" t="s">
        <v>1759</v>
      </c>
      <c r="G540" s="17" t="s">
        <v>7</v>
      </c>
      <c r="H540" s="17" t="s">
        <v>54</v>
      </c>
      <c r="I540" s="17" t="s">
        <v>1749</v>
      </c>
      <c r="J540" s="20" t="s">
        <v>1760</v>
      </c>
      <c r="K540" s="17" t="s">
        <v>54</v>
      </c>
      <c r="L540" s="17" t="s">
        <v>457</v>
      </c>
      <c r="M540" s="17" t="s">
        <v>458</v>
      </c>
      <c r="N540" s="21" t="s">
        <v>54</v>
      </c>
      <c r="O540" s="22" t="s">
        <v>54</v>
      </c>
      <c r="P540" s="21" t="s">
        <v>54</v>
      </c>
    </row>
    <row r="541" ht="39" customHeight="1" spans="1:16">
      <c r="A541" s="17" t="s">
        <v>1761</v>
      </c>
      <c r="B541" s="17" t="s">
        <v>375</v>
      </c>
      <c r="C541" s="17" t="s">
        <v>1526</v>
      </c>
      <c r="D541" s="17" t="s">
        <v>1762</v>
      </c>
      <c r="E541" s="17" t="s">
        <v>1763</v>
      </c>
      <c r="F541" s="17" t="s">
        <v>1764</v>
      </c>
      <c r="G541" s="17" t="s">
        <v>7</v>
      </c>
      <c r="H541" s="17" t="s">
        <v>54</v>
      </c>
      <c r="I541" s="17" t="s">
        <v>1765</v>
      </c>
      <c r="J541" s="20" t="s">
        <v>1766</v>
      </c>
      <c r="K541" s="17" t="s">
        <v>54</v>
      </c>
      <c r="L541" s="17" t="s">
        <v>457</v>
      </c>
      <c r="M541" s="17" t="s">
        <v>458</v>
      </c>
      <c r="N541" s="21" t="s">
        <v>54</v>
      </c>
      <c r="O541" s="22" t="s">
        <v>54</v>
      </c>
      <c r="P541" s="21" t="s">
        <v>54</v>
      </c>
    </row>
    <row r="542" ht="52" customHeight="1" spans="1:16">
      <c r="A542" s="17" t="s">
        <v>1767</v>
      </c>
      <c r="B542" s="17" t="s">
        <v>375</v>
      </c>
      <c r="C542" s="17" t="s">
        <v>1526</v>
      </c>
      <c r="D542" s="17" t="s">
        <v>1768</v>
      </c>
      <c r="E542" s="17" t="s">
        <v>1769</v>
      </c>
      <c r="F542" s="17" t="s">
        <v>1539</v>
      </c>
      <c r="G542" s="17" t="s">
        <v>11</v>
      </c>
      <c r="H542" s="17" t="s">
        <v>1770</v>
      </c>
      <c r="I542" s="17" t="s">
        <v>1765</v>
      </c>
      <c r="J542" s="20" t="s">
        <v>1766</v>
      </c>
      <c r="K542" s="17" t="s">
        <v>469</v>
      </c>
      <c r="L542" s="17" t="s">
        <v>1771</v>
      </c>
      <c r="M542" s="17" t="s">
        <v>471</v>
      </c>
      <c r="N542" s="21" t="s">
        <v>54</v>
      </c>
      <c r="O542" s="22" t="s">
        <v>54</v>
      </c>
      <c r="P542" s="21" t="s">
        <v>54</v>
      </c>
    </row>
    <row r="543" ht="39" customHeight="1" spans="1:16">
      <c r="A543" s="17" t="s">
        <v>1772</v>
      </c>
      <c r="B543" s="17" t="s">
        <v>375</v>
      </c>
      <c r="C543" s="17" t="s">
        <v>1526</v>
      </c>
      <c r="D543" s="17" t="s">
        <v>1773</v>
      </c>
      <c r="E543" s="17" t="s">
        <v>1774</v>
      </c>
      <c r="F543" s="17" t="s">
        <v>1539</v>
      </c>
      <c r="G543" s="17" t="s">
        <v>11</v>
      </c>
      <c r="H543" s="17" t="s">
        <v>1775</v>
      </c>
      <c r="I543" s="17" t="s">
        <v>1765</v>
      </c>
      <c r="J543" s="17" t="s">
        <v>54</v>
      </c>
      <c r="K543" s="17" t="s">
        <v>469</v>
      </c>
      <c r="L543" s="17" t="s">
        <v>1776</v>
      </c>
      <c r="M543" s="17" t="s">
        <v>471</v>
      </c>
      <c r="N543" s="21" t="s">
        <v>54</v>
      </c>
      <c r="O543" s="22" t="s">
        <v>54</v>
      </c>
      <c r="P543" s="21" t="s">
        <v>54</v>
      </c>
    </row>
    <row r="544" ht="65" customHeight="1" spans="1:16">
      <c r="A544" s="17" t="s">
        <v>1777</v>
      </c>
      <c r="B544" s="17" t="s">
        <v>375</v>
      </c>
      <c r="C544" s="17" t="s">
        <v>1526</v>
      </c>
      <c r="D544" s="17" t="s">
        <v>1778</v>
      </c>
      <c r="E544" s="17" t="s">
        <v>1779</v>
      </c>
      <c r="F544" s="17" t="s">
        <v>1539</v>
      </c>
      <c r="G544" s="17" t="s">
        <v>11</v>
      </c>
      <c r="H544" s="17" t="s">
        <v>1780</v>
      </c>
      <c r="I544" s="17" t="s">
        <v>1765</v>
      </c>
      <c r="J544" s="17" t="s">
        <v>54</v>
      </c>
      <c r="K544" s="17" t="s">
        <v>469</v>
      </c>
      <c r="L544" s="17" t="s">
        <v>1781</v>
      </c>
      <c r="M544" s="17" t="s">
        <v>471</v>
      </c>
      <c r="N544" s="21" t="s">
        <v>54</v>
      </c>
      <c r="O544" s="22" t="s">
        <v>54</v>
      </c>
      <c r="P544" s="21" t="s">
        <v>54</v>
      </c>
    </row>
    <row r="545" ht="65" customHeight="1" spans="1:16">
      <c r="A545" s="17" t="s">
        <v>1782</v>
      </c>
      <c r="B545" s="17" t="s">
        <v>377</v>
      </c>
      <c r="C545" s="17" t="s">
        <v>1526</v>
      </c>
      <c r="D545" s="17" t="s">
        <v>1783</v>
      </c>
      <c r="E545" s="17" t="s">
        <v>1784</v>
      </c>
      <c r="F545" s="17" t="s">
        <v>1785</v>
      </c>
      <c r="G545" s="17" t="s">
        <v>7</v>
      </c>
      <c r="H545" s="17" t="s">
        <v>54</v>
      </c>
      <c r="I545" s="17" t="s">
        <v>1786</v>
      </c>
      <c r="J545" s="20" t="s">
        <v>1787</v>
      </c>
      <c r="K545" s="17" t="s">
        <v>54</v>
      </c>
      <c r="L545" s="17" t="s">
        <v>457</v>
      </c>
      <c r="M545" s="17" t="s">
        <v>458</v>
      </c>
      <c r="N545" s="21" t="s">
        <v>54</v>
      </c>
      <c r="O545" s="22" t="s">
        <v>54</v>
      </c>
      <c r="P545" s="21" t="s">
        <v>54</v>
      </c>
    </row>
    <row r="546" ht="65" customHeight="1" spans="1:16">
      <c r="A546" s="17" t="s">
        <v>1788</v>
      </c>
      <c r="B546" s="17" t="s">
        <v>377</v>
      </c>
      <c r="C546" s="17" t="s">
        <v>1526</v>
      </c>
      <c r="D546" s="17" t="s">
        <v>1789</v>
      </c>
      <c r="E546" s="17" t="s">
        <v>1790</v>
      </c>
      <c r="F546" s="17" t="s">
        <v>1791</v>
      </c>
      <c r="G546" s="17" t="s">
        <v>7</v>
      </c>
      <c r="H546" s="17" t="s">
        <v>54</v>
      </c>
      <c r="I546" s="17" t="s">
        <v>1786</v>
      </c>
      <c r="J546" s="20" t="s">
        <v>1792</v>
      </c>
      <c r="K546" s="17" t="s">
        <v>54</v>
      </c>
      <c r="L546" s="17" t="s">
        <v>457</v>
      </c>
      <c r="M546" s="17" t="s">
        <v>458</v>
      </c>
      <c r="N546" s="21" t="s">
        <v>54</v>
      </c>
      <c r="O546" s="22" t="s">
        <v>54</v>
      </c>
      <c r="P546" s="21" t="s">
        <v>54</v>
      </c>
    </row>
    <row r="547" ht="65" customHeight="1" spans="1:16">
      <c r="A547" s="17" t="s">
        <v>1793</v>
      </c>
      <c r="B547" s="17" t="s">
        <v>377</v>
      </c>
      <c r="C547" s="17" t="s">
        <v>1526</v>
      </c>
      <c r="D547" s="17" t="s">
        <v>1794</v>
      </c>
      <c r="E547" s="17" t="s">
        <v>1795</v>
      </c>
      <c r="F547" s="17" t="s">
        <v>1796</v>
      </c>
      <c r="G547" s="17" t="s">
        <v>7</v>
      </c>
      <c r="H547" s="17" t="s">
        <v>54</v>
      </c>
      <c r="I547" s="17" t="s">
        <v>1786</v>
      </c>
      <c r="J547" s="20" t="s">
        <v>1797</v>
      </c>
      <c r="K547" s="17" t="s">
        <v>54</v>
      </c>
      <c r="L547" s="17" t="s">
        <v>457</v>
      </c>
      <c r="M547" s="17" t="s">
        <v>458</v>
      </c>
      <c r="N547" s="21" t="s">
        <v>54</v>
      </c>
      <c r="O547" s="22" t="s">
        <v>54</v>
      </c>
      <c r="P547" s="21" t="s">
        <v>54</v>
      </c>
    </row>
    <row r="548" ht="39" customHeight="1" spans="1:16">
      <c r="A548" s="17" t="s">
        <v>1798</v>
      </c>
      <c r="B548" s="17" t="s">
        <v>379</v>
      </c>
      <c r="C548" s="17" t="s">
        <v>1526</v>
      </c>
      <c r="D548" s="17" t="s">
        <v>1799</v>
      </c>
      <c r="E548" s="17" t="s">
        <v>1800</v>
      </c>
      <c r="F548" s="17" t="s">
        <v>1801</v>
      </c>
      <c r="G548" s="17" t="s">
        <v>7</v>
      </c>
      <c r="H548" s="17" t="s">
        <v>54</v>
      </c>
      <c r="I548" s="17" t="s">
        <v>1802</v>
      </c>
      <c r="J548" s="20" t="s">
        <v>1803</v>
      </c>
      <c r="K548" s="17" t="s">
        <v>54</v>
      </c>
      <c r="L548" s="17" t="s">
        <v>457</v>
      </c>
      <c r="M548" s="17" t="s">
        <v>458</v>
      </c>
      <c r="N548" s="21" t="s">
        <v>54</v>
      </c>
      <c r="O548" s="22" t="s">
        <v>54</v>
      </c>
      <c r="P548" s="21" t="s">
        <v>54</v>
      </c>
    </row>
    <row r="549" ht="39" customHeight="1" spans="1:16">
      <c r="A549" s="17" t="s">
        <v>1804</v>
      </c>
      <c r="B549" s="17" t="s">
        <v>379</v>
      </c>
      <c r="C549" s="17" t="s">
        <v>1526</v>
      </c>
      <c r="D549" s="17" t="s">
        <v>1805</v>
      </c>
      <c r="E549" s="17" t="s">
        <v>1806</v>
      </c>
      <c r="F549" s="17" t="s">
        <v>1807</v>
      </c>
      <c r="G549" s="17" t="s">
        <v>7</v>
      </c>
      <c r="H549" s="17" t="s">
        <v>54</v>
      </c>
      <c r="I549" s="17" t="s">
        <v>1802</v>
      </c>
      <c r="J549" s="20" t="s">
        <v>1808</v>
      </c>
      <c r="K549" s="17" t="s">
        <v>54</v>
      </c>
      <c r="L549" s="17" t="s">
        <v>457</v>
      </c>
      <c r="M549" s="17" t="s">
        <v>458</v>
      </c>
      <c r="N549" s="21" t="s">
        <v>54</v>
      </c>
      <c r="O549" s="22" t="s">
        <v>54</v>
      </c>
      <c r="P549" s="21" t="s">
        <v>54</v>
      </c>
    </row>
    <row r="550" ht="39" customHeight="1" spans="1:16">
      <c r="A550" s="17" t="s">
        <v>1809</v>
      </c>
      <c r="B550" s="17" t="s">
        <v>379</v>
      </c>
      <c r="C550" s="17" t="s">
        <v>1526</v>
      </c>
      <c r="D550" s="17" t="s">
        <v>1810</v>
      </c>
      <c r="E550" s="17" t="s">
        <v>1811</v>
      </c>
      <c r="F550" s="17" t="s">
        <v>1812</v>
      </c>
      <c r="G550" s="17" t="s">
        <v>7</v>
      </c>
      <c r="H550" s="17" t="s">
        <v>54</v>
      </c>
      <c r="I550" s="17" t="s">
        <v>1802</v>
      </c>
      <c r="J550" s="20" t="s">
        <v>1813</v>
      </c>
      <c r="K550" s="17" t="s">
        <v>54</v>
      </c>
      <c r="L550" s="17" t="s">
        <v>457</v>
      </c>
      <c r="M550" s="17" t="s">
        <v>458</v>
      </c>
      <c r="N550" s="21" t="s">
        <v>54</v>
      </c>
      <c r="O550" s="22" t="s">
        <v>54</v>
      </c>
      <c r="P550" s="21" t="s">
        <v>54</v>
      </c>
    </row>
    <row r="551" ht="52" customHeight="1" spans="1:16">
      <c r="A551" s="17" t="s">
        <v>1814</v>
      </c>
      <c r="B551" s="17" t="s">
        <v>381</v>
      </c>
      <c r="C551" s="17" t="s">
        <v>1526</v>
      </c>
      <c r="D551" s="17" t="s">
        <v>1815</v>
      </c>
      <c r="E551" s="17" t="s">
        <v>1816</v>
      </c>
      <c r="F551" s="17" t="s">
        <v>1817</v>
      </c>
      <c r="G551" s="17" t="s">
        <v>8</v>
      </c>
      <c r="H551" s="17" t="s">
        <v>54</v>
      </c>
      <c r="I551" s="17" t="s">
        <v>1818</v>
      </c>
      <c r="J551" s="20" t="s">
        <v>1819</v>
      </c>
      <c r="K551" s="17" t="s">
        <v>54</v>
      </c>
      <c r="L551" s="17" t="s">
        <v>457</v>
      </c>
      <c r="M551" s="17" t="s">
        <v>485</v>
      </c>
      <c r="N551" s="21" t="s">
        <v>54</v>
      </c>
      <c r="O551" s="22" t="s">
        <v>54</v>
      </c>
      <c r="P551" s="21" t="s">
        <v>54</v>
      </c>
    </row>
    <row r="552" ht="52" customHeight="1" spans="1:16">
      <c r="A552" s="17" t="s">
        <v>1820</v>
      </c>
      <c r="B552" s="17" t="s">
        <v>381</v>
      </c>
      <c r="C552" s="17" t="s">
        <v>1526</v>
      </c>
      <c r="D552" s="17" t="s">
        <v>1821</v>
      </c>
      <c r="E552" s="17" t="s">
        <v>1822</v>
      </c>
      <c r="F552" s="17" t="s">
        <v>1539</v>
      </c>
      <c r="G552" s="17" t="s">
        <v>11</v>
      </c>
      <c r="H552" s="17" t="s">
        <v>1823</v>
      </c>
      <c r="I552" s="17" t="s">
        <v>1818</v>
      </c>
      <c r="J552" s="20" t="s">
        <v>1819</v>
      </c>
      <c r="K552" s="17" t="s">
        <v>1542</v>
      </c>
      <c r="L552" s="17" t="s">
        <v>1824</v>
      </c>
      <c r="M552" s="17" t="s">
        <v>471</v>
      </c>
      <c r="N552" s="21" t="s">
        <v>54</v>
      </c>
      <c r="O552" s="22" t="s">
        <v>54</v>
      </c>
      <c r="P552" s="21" t="s">
        <v>54</v>
      </c>
    </row>
    <row r="553" ht="52" customHeight="1" spans="1:16">
      <c r="A553" s="17" t="s">
        <v>1825</v>
      </c>
      <c r="B553" s="17" t="s">
        <v>381</v>
      </c>
      <c r="C553" s="17" t="s">
        <v>1526</v>
      </c>
      <c r="D553" s="17" t="s">
        <v>1826</v>
      </c>
      <c r="E553" s="17" t="s">
        <v>1827</v>
      </c>
      <c r="F553" s="17" t="s">
        <v>1539</v>
      </c>
      <c r="G553" s="17" t="s">
        <v>11</v>
      </c>
      <c r="H553" s="17" t="s">
        <v>1828</v>
      </c>
      <c r="I553" s="17" t="s">
        <v>1818</v>
      </c>
      <c r="J553" s="17" t="s">
        <v>54</v>
      </c>
      <c r="K553" s="17" t="s">
        <v>1542</v>
      </c>
      <c r="L553" s="17" t="s">
        <v>1829</v>
      </c>
      <c r="M553" s="17" t="s">
        <v>471</v>
      </c>
      <c r="N553" s="21" t="s">
        <v>54</v>
      </c>
      <c r="O553" s="22" t="s">
        <v>54</v>
      </c>
      <c r="P553" s="21" t="s">
        <v>54</v>
      </c>
    </row>
    <row r="554" ht="52" customHeight="1" spans="1:16">
      <c r="A554" s="17" t="s">
        <v>1830</v>
      </c>
      <c r="B554" s="17" t="s">
        <v>384</v>
      </c>
      <c r="C554" s="17" t="s">
        <v>1526</v>
      </c>
      <c r="D554" s="17" t="s">
        <v>1831</v>
      </c>
      <c r="E554" s="17" t="s">
        <v>1832</v>
      </c>
      <c r="F554" s="17" t="s">
        <v>1539</v>
      </c>
      <c r="G554" s="17" t="s">
        <v>11</v>
      </c>
      <c r="H554" s="17" t="s">
        <v>1833</v>
      </c>
      <c r="I554" s="17" t="s">
        <v>1834</v>
      </c>
      <c r="J554" s="20" t="s">
        <v>1689</v>
      </c>
      <c r="K554" s="17" t="s">
        <v>515</v>
      </c>
      <c r="L554" s="17" t="s">
        <v>1835</v>
      </c>
      <c r="M554" s="17" t="s">
        <v>471</v>
      </c>
      <c r="N554" s="21" t="s">
        <v>54</v>
      </c>
      <c r="O554" s="22" t="s">
        <v>54</v>
      </c>
      <c r="P554" s="21" t="s">
        <v>54</v>
      </c>
    </row>
    <row r="555" ht="52" customHeight="1" spans="1:16">
      <c r="A555" s="17" t="s">
        <v>1836</v>
      </c>
      <c r="B555" s="17" t="s">
        <v>384</v>
      </c>
      <c r="C555" s="17" t="s">
        <v>1526</v>
      </c>
      <c r="D555" s="17" t="s">
        <v>1837</v>
      </c>
      <c r="E555" s="17" t="s">
        <v>1838</v>
      </c>
      <c r="F555" s="17" t="s">
        <v>1539</v>
      </c>
      <c r="G555" s="17" t="s">
        <v>11</v>
      </c>
      <c r="H555" s="17" t="s">
        <v>1839</v>
      </c>
      <c r="I555" s="17" t="s">
        <v>1834</v>
      </c>
      <c r="J555" s="17" t="s">
        <v>54</v>
      </c>
      <c r="K555" s="17" t="s">
        <v>515</v>
      </c>
      <c r="L555" s="17" t="s">
        <v>1840</v>
      </c>
      <c r="M555" s="17" t="s">
        <v>471</v>
      </c>
      <c r="N555" s="21" t="s">
        <v>54</v>
      </c>
      <c r="O555" s="22" t="s">
        <v>54</v>
      </c>
      <c r="P555" s="21" t="s">
        <v>54</v>
      </c>
    </row>
    <row r="556" ht="52" customHeight="1" spans="1:16">
      <c r="A556" s="17" t="s">
        <v>1841</v>
      </c>
      <c r="B556" s="17" t="s">
        <v>384</v>
      </c>
      <c r="C556" s="17" t="s">
        <v>1526</v>
      </c>
      <c r="D556" s="17" t="s">
        <v>1842</v>
      </c>
      <c r="E556" s="17" t="s">
        <v>1843</v>
      </c>
      <c r="F556" s="17" t="s">
        <v>1539</v>
      </c>
      <c r="G556" s="17" t="s">
        <v>11</v>
      </c>
      <c r="H556" s="17" t="s">
        <v>1844</v>
      </c>
      <c r="I556" s="17" t="s">
        <v>1834</v>
      </c>
      <c r="J556" s="17" t="s">
        <v>54</v>
      </c>
      <c r="K556" s="17" t="s">
        <v>491</v>
      </c>
      <c r="L556" s="17" t="s">
        <v>1845</v>
      </c>
      <c r="M556" s="17" t="s">
        <v>471</v>
      </c>
      <c r="N556" s="21" t="s">
        <v>54</v>
      </c>
      <c r="O556" s="22" t="s">
        <v>54</v>
      </c>
      <c r="P556" s="21" t="s">
        <v>54</v>
      </c>
    </row>
    <row r="557" ht="65" customHeight="1" spans="1:16">
      <c r="A557" s="17" t="s">
        <v>1846</v>
      </c>
      <c r="B557" s="17" t="s">
        <v>386</v>
      </c>
      <c r="C557" s="17" t="s">
        <v>1526</v>
      </c>
      <c r="D557" s="17" t="s">
        <v>1847</v>
      </c>
      <c r="E557" s="17" t="s">
        <v>1848</v>
      </c>
      <c r="F557" s="17" t="s">
        <v>1539</v>
      </c>
      <c r="G557" s="17" t="s">
        <v>11</v>
      </c>
      <c r="H557" s="17" t="s">
        <v>1849</v>
      </c>
      <c r="I557" s="17" t="s">
        <v>1850</v>
      </c>
      <c r="J557" s="17" t="s">
        <v>54</v>
      </c>
      <c r="K557" s="17" t="s">
        <v>491</v>
      </c>
      <c r="L557" s="17" t="s">
        <v>1851</v>
      </c>
      <c r="M557" s="17" t="s">
        <v>471</v>
      </c>
      <c r="N557" s="21" t="s">
        <v>54</v>
      </c>
      <c r="O557" s="22" t="s">
        <v>54</v>
      </c>
      <c r="P557" s="21" t="s">
        <v>54</v>
      </c>
    </row>
    <row r="558" ht="52" customHeight="1" spans="1:16">
      <c r="A558" s="17" t="s">
        <v>1852</v>
      </c>
      <c r="B558" s="17" t="s">
        <v>386</v>
      </c>
      <c r="C558" s="17" t="s">
        <v>1526</v>
      </c>
      <c r="D558" s="17" t="s">
        <v>1853</v>
      </c>
      <c r="E558" s="17" t="s">
        <v>1854</v>
      </c>
      <c r="F558" s="17" t="s">
        <v>1539</v>
      </c>
      <c r="G558" s="17" t="s">
        <v>11</v>
      </c>
      <c r="H558" s="17" t="s">
        <v>1855</v>
      </c>
      <c r="I558" s="17" t="s">
        <v>1850</v>
      </c>
      <c r="J558" s="17" t="s">
        <v>54</v>
      </c>
      <c r="K558" s="17" t="s">
        <v>1542</v>
      </c>
      <c r="L558" s="17" t="s">
        <v>1856</v>
      </c>
      <c r="M558" s="17" t="s">
        <v>471</v>
      </c>
      <c r="N558" s="21" t="s">
        <v>54</v>
      </c>
      <c r="O558" s="22" t="s">
        <v>54</v>
      </c>
      <c r="P558" s="21" t="s">
        <v>54</v>
      </c>
    </row>
    <row r="559" ht="65" customHeight="1" spans="1:16">
      <c r="A559" s="17" t="s">
        <v>1857</v>
      </c>
      <c r="B559" s="17" t="s">
        <v>386</v>
      </c>
      <c r="C559" s="17" t="s">
        <v>1526</v>
      </c>
      <c r="D559" s="17" t="s">
        <v>1858</v>
      </c>
      <c r="E559" s="17" t="s">
        <v>1859</v>
      </c>
      <c r="F559" s="17" t="s">
        <v>1539</v>
      </c>
      <c r="G559" s="17" t="s">
        <v>11</v>
      </c>
      <c r="H559" s="17" t="s">
        <v>1855</v>
      </c>
      <c r="I559" s="17" t="s">
        <v>1850</v>
      </c>
      <c r="J559" s="17" t="s">
        <v>54</v>
      </c>
      <c r="K559" s="17" t="s">
        <v>1542</v>
      </c>
      <c r="L559" s="17" t="s">
        <v>1856</v>
      </c>
      <c r="M559" s="17" t="s">
        <v>471</v>
      </c>
      <c r="N559" s="21" t="s">
        <v>54</v>
      </c>
      <c r="O559" s="22" t="s">
        <v>54</v>
      </c>
      <c r="P559" s="21" t="s">
        <v>54</v>
      </c>
    </row>
    <row r="560" ht="52" customHeight="1" spans="1:16">
      <c r="A560" s="17" t="s">
        <v>1860</v>
      </c>
      <c r="B560" s="17" t="s">
        <v>388</v>
      </c>
      <c r="C560" s="17" t="s">
        <v>1526</v>
      </c>
      <c r="D560" s="17" t="s">
        <v>1861</v>
      </c>
      <c r="E560" s="17" t="s">
        <v>1862</v>
      </c>
      <c r="F560" s="17" t="s">
        <v>1863</v>
      </c>
      <c r="G560" s="17" t="s">
        <v>8</v>
      </c>
      <c r="H560" s="17" t="s">
        <v>54</v>
      </c>
      <c r="I560" s="17" t="s">
        <v>1864</v>
      </c>
      <c r="J560" s="20" t="s">
        <v>1865</v>
      </c>
      <c r="K560" s="17" t="s">
        <v>54</v>
      </c>
      <c r="L560" s="17" t="s">
        <v>457</v>
      </c>
      <c r="M560" s="17" t="s">
        <v>485</v>
      </c>
      <c r="N560" s="21" t="s">
        <v>54</v>
      </c>
      <c r="O560" s="22" t="s">
        <v>54</v>
      </c>
      <c r="P560" s="21" t="s">
        <v>54</v>
      </c>
    </row>
    <row r="561" ht="39" customHeight="1" spans="1:16">
      <c r="A561" s="17" t="s">
        <v>1866</v>
      </c>
      <c r="B561" s="17" t="s">
        <v>388</v>
      </c>
      <c r="C561" s="17" t="s">
        <v>1526</v>
      </c>
      <c r="D561" s="17" t="s">
        <v>1867</v>
      </c>
      <c r="E561" s="17" t="s">
        <v>1868</v>
      </c>
      <c r="F561" s="17" t="s">
        <v>1869</v>
      </c>
      <c r="G561" s="17" t="s">
        <v>7</v>
      </c>
      <c r="H561" s="17" t="s">
        <v>54</v>
      </c>
      <c r="I561" s="17" t="s">
        <v>1864</v>
      </c>
      <c r="J561" s="20" t="s">
        <v>1865</v>
      </c>
      <c r="K561" s="17" t="s">
        <v>54</v>
      </c>
      <c r="L561" s="17" t="s">
        <v>457</v>
      </c>
      <c r="M561" s="17" t="s">
        <v>458</v>
      </c>
      <c r="N561" s="21" t="s">
        <v>54</v>
      </c>
      <c r="O561" s="22" t="s">
        <v>54</v>
      </c>
      <c r="P561" s="21" t="s">
        <v>54</v>
      </c>
    </row>
    <row r="562" ht="52" customHeight="1" spans="1:16">
      <c r="A562" s="17" t="s">
        <v>1870</v>
      </c>
      <c r="B562" s="17" t="s">
        <v>388</v>
      </c>
      <c r="C562" s="17" t="s">
        <v>1526</v>
      </c>
      <c r="D562" s="17" t="s">
        <v>1871</v>
      </c>
      <c r="E562" s="17" t="s">
        <v>1872</v>
      </c>
      <c r="F562" s="17" t="s">
        <v>1539</v>
      </c>
      <c r="G562" s="17" t="s">
        <v>11</v>
      </c>
      <c r="H562" s="17" t="s">
        <v>1873</v>
      </c>
      <c r="I562" s="17" t="s">
        <v>1864</v>
      </c>
      <c r="J562" s="20" t="s">
        <v>1865</v>
      </c>
      <c r="K562" s="17" t="s">
        <v>1542</v>
      </c>
      <c r="L562" s="17" t="s">
        <v>1874</v>
      </c>
      <c r="M562" s="17" t="s">
        <v>471</v>
      </c>
      <c r="N562" s="21" t="s">
        <v>54</v>
      </c>
      <c r="O562" s="22" t="s">
        <v>54</v>
      </c>
      <c r="P562" s="21" t="s">
        <v>54</v>
      </c>
    </row>
    <row r="563" ht="39" customHeight="1" spans="1:16">
      <c r="A563" s="17" t="s">
        <v>1875</v>
      </c>
      <c r="B563" s="17" t="s">
        <v>391</v>
      </c>
      <c r="C563" s="17" t="s">
        <v>1526</v>
      </c>
      <c r="D563" s="17" t="s">
        <v>1876</v>
      </c>
      <c r="E563" s="17" t="s">
        <v>1877</v>
      </c>
      <c r="F563" s="17" t="s">
        <v>1539</v>
      </c>
      <c r="G563" s="17" t="s">
        <v>11</v>
      </c>
      <c r="H563" s="17" t="s">
        <v>1878</v>
      </c>
      <c r="I563" s="17" t="s">
        <v>1879</v>
      </c>
      <c r="J563" s="17" t="s">
        <v>54</v>
      </c>
      <c r="K563" s="17" t="s">
        <v>469</v>
      </c>
      <c r="L563" s="17" t="s">
        <v>1880</v>
      </c>
      <c r="M563" s="17" t="s">
        <v>471</v>
      </c>
      <c r="N563" s="21" t="s">
        <v>54</v>
      </c>
      <c r="O563" s="22" t="s">
        <v>54</v>
      </c>
      <c r="P563" s="21" t="s">
        <v>54</v>
      </c>
    </row>
    <row r="564" ht="52" customHeight="1" spans="1:16">
      <c r="A564" s="17" t="s">
        <v>1881</v>
      </c>
      <c r="B564" s="17" t="s">
        <v>391</v>
      </c>
      <c r="C564" s="17" t="s">
        <v>1526</v>
      </c>
      <c r="D564" s="17" t="s">
        <v>1882</v>
      </c>
      <c r="E564" s="17" t="s">
        <v>1883</v>
      </c>
      <c r="F564" s="17" t="s">
        <v>1539</v>
      </c>
      <c r="G564" s="17" t="s">
        <v>11</v>
      </c>
      <c r="H564" s="17" t="s">
        <v>1884</v>
      </c>
      <c r="I564" s="17" t="s">
        <v>1879</v>
      </c>
      <c r="J564" s="17" t="s">
        <v>54</v>
      </c>
      <c r="K564" s="17" t="s">
        <v>515</v>
      </c>
      <c r="L564" s="17" t="s">
        <v>1885</v>
      </c>
      <c r="M564" s="17" t="s">
        <v>471</v>
      </c>
      <c r="N564" s="21" t="s">
        <v>54</v>
      </c>
      <c r="O564" s="22" t="s">
        <v>54</v>
      </c>
      <c r="P564" s="21" t="s">
        <v>54</v>
      </c>
    </row>
    <row r="565" ht="39" customHeight="1" spans="1:16">
      <c r="A565" s="17" t="s">
        <v>1886</v>
      </c>
      <c r="B565" s="17" t="s">
        <v>391</v>
      </c>
      <c r="C565" s="17" t="s">
        <v>1526</v>
      </c>
      <c r="D565" s="17" t="s">
        <v>1887</v>
      </c>
      <c r="E565" s="17" t="s">
        <v>1888</v>
      </c>
      <c r="F565" s="17" t="s">
        <v>1539</v>
      </c>
      <c r="G565" s="17" t="s">
        <v>11</v>
      </c>
      <c r="H565" s="17" t="s">
        <v>1889</v>
      </c>
      <c r="I565" s="17" t="s">
        <v>1879</v>
      </c>
      <c r="J565" s="17" t="s">
        <v>54</v>
      </c>
      <c r="K565" s="17" t="s">
        <v>1542</v>
      </c>
      <c r="L565" s="17" t="s">
        <v>1890</v>
      </c>
      <c r="M565" s="17" t="s">
        <v>471</v>
      </c>
      <c r="N565" s="21" t="s">
        <v>54</v>
      </c>
      <c r="O565" s="22" t="s">
        <v>54</v>
      </c>
      <c r="P565" s="21" t="s">
        <v>54</v>
      </c>
    </row>
    <row r="566" ht="78" customHeight="1" spans="1:16">
      <c r="A566" s="17" t="s">
        <v>1891</v>
      </c>
      <c r="B566" s="17" t="s">
        <v>393</v>
      </c>
      <c r="C566" s="17" t="s">
        <v>1526</v>
      </c>
      <c r="D566" s="17" t="s">
        <v>1892</v>
      </c>
      <c r="E566" s="17" t="s">
        <v>1893</v>
      </c>
      <c r="F566" s="17" t="s">
        <v>1539</v>
      </c>
      <c r="G566" s="17" t="s">
        <v>11</v>
      </c>
      <c r="H566" s="17" t="s">
        <v>1894</v>
      </c>
      <c r="I566" s="17" t="s">
        <v>1895</v>
      </c>
      <c r="J566" s="20" t="s">
        <v>1896</v>
      </c>
      <c r="K566" s="17" t="s">
        <v>1542</v>
      </c>
      <c r="L566" s="17" t="s">
        <v>1897</v>
      </c>
      <c r="M566" s="17" t="s">
        <v>471</v>
      </c>
      <c r="N566" s="21" t="s">
        <v>54</v>
      </c>
      <c r="O566" s="22" t="s">
        <v>54</v>
      </c>
      <c r="P566" s="21" t="s">
        <v>54</v>
      </c>
    </row>
    <row r="567" ht="65" customHeight="1" spans="1:16">
      <c r="A567" s="17" t="s">
        <v>1898</v>
      </c>
      <c r="B567" s="17" t="s">
        <v>393</v>
      </c>
      <c r="C567" s="17" t="s">
        <v>1526</v>
      </c>
      <c r="D567" s="17" t="s">
        <v>1899</v>
      </c>
      <c r="E567" s="17" t="s">
        <v>1900</v>
      </c>
      <c r="F567" s="17" t="s">
        <v>1539</v>
      </c>
      <c r="G567" s="17" t="s">
        <v>11</v>
      </c>
      <c r="H567" s="17" t="s">
        <v>1901</v>
      </c>
      <c r="I567" s="17" t="s">
        <v>1895</v>
      </c>
      <c r="J567" s="20" t="s">
        <v>1902</v>
      </c>
      <c r="K567" s="17" t="s">
        <v>1542</v>
      </c>
      <c r="L567" s="17" t="s">
        <v>1903</v>
      </c>
      <c r="M567" s="17" t="s">
        <v>471</v>
      </c>
      <c r="N567" s="21" t="s">
        <v>54</v>
      </c>
      <c r="O567" s="22" t="s">
        <v>54</v>
      </c>
      <c r="P567" s="21" t="s">
        <v>54</v>
      </c>
    </row>
    <row r="568" ht="52" customHeight="1" spans="1:16">
      <c r="A568" s="17" t="s">
        <v>1904</v>
      </c>
      <c r="B568" s="17" t="s">
        <v>393</v>
      </c>
      <c r="C568" s="17" t="s">
        <v>1526</v>
      </c>
      <c r="D568" s="17" t="s">
        <v>1905</v>
      </c>
      <c r="E568" s="17" t="s">
        <v>1906</v>
      </c>
      <c r="F568" s="17" t="s">
        <v>1907</v>
      </c>
      <c r="G568" s="17" t="s">
        <v>7</v>
      </c>
      <c r="H568" s="17" t="s">
        <v>54</v>
      </c>
      <c r="I568" s="17" t="s">
        <v>1895</v>
      </c>
      <c r="J568" s="20" t="s">
        <v>1908</v>
      </c>
      <c r="K568" s="17" t="s">
        <v>54</v>
      </c>
      <c r="L568" s="17" t="s">
        <v>457</v>
      </c>
      <c r="M568" s="17" t="s">
        <v>458</v>
      </c>
      <c r="N568" s="21" t="s">
        <v>54</v>
      </c>
      <c r="O568" s="22" t="s">
        <v>54</v>
      </c>
      <c r="P568" s="21" t="s">
        <v>54</v>
      </c>
    </row>
    <row r="569" ht="65" customHeight="1" spans="1:16">
      <c r="A569" s="17" t="s">
        <v>1909</v>
      </c>
      <c r="B569" s="17" t="s">
        <v>395</v>
      </c>
      <c r="C569" s="17" t="s">
        <v>1526</v>
      </c>
      <c r="D569" s="17" t="s">
        <v>1910</v>
      </c>
      <c r="E569" s="17" t="s">
        <v>1911</v>
      </c>
      <c r="F569" s="17" t="s">
        <v>1912</v>
      </c>
      <c r="G569" s="17" t="s">
        <v>7</v>
      </c>
      <c r="H569" s="17" t="s">
        <v>54</v>
      </c>
      <c r="I569" s="17" t="s">
        <v>1895</v>
      </c>
      <c r="J569" s="20" t="s">
        <v>1913</v>
      </c>
      <c r="K569" s="17" t="s">
        <v>54</v>
      </c>
      <c r="L569" s="17" t="s">
        <v>457</v>
      </c>
      <c r="M569" s="17" t="s">
        <v>458</v>
      </c>
      <c r="N569" s="21" t="s">
        <v>54</v>
      </c>
      <c r="O569" s="22" t="s">
        <v>54</v>
      </c>
      <c r="P569" s="21" t="s">
        <v>54</v>
      </c>
    </row>
    <row r="570" ht="65" customHeight="1" spans="1:16">
      <c r="A570" s="17" t="s">
        <v>1914</v>
      </c>
      <c r="B570" s="17" t="s">
        <v>395</v>
      </c>
      <c r="C570" s="17" t="s">
        <v>1526</v>
      </c>
      <c r="D570" s="17" t="s">
        <v>1915</v>
      </c>
      <c r="E570" s="17" t="s">
        <v>1916</v>
      </c>
      <c r="F570" s="17" t="s">
        <v>1917</v>
      </c>
      <c r="G570" s="17" t="s">
        <v>7</v>
      </c>
      <c r="H570" s="17" t="s">
        <v>54</v>
      </c>
      <c r="I570" s="17" t="s">
        <v>1895</v>
      </c>
      <c r="J570" s="20" t="s">
        <v>1918</v>
      </c>
      <c r="K570" s="17" t="s">
        <v>54</v>
      </c>
      <c r="L570" s="17" t="s">
        <v>457</v>
      </c>
      <c r="M570" s="17" t="s">
        <v>458</v>
      </c>
      <c r="N570" s="21" t="s">
        <v>54</v>
      </c>
      <c r="O570" s="22" t="s">
        <v>54</v>
      </c>
      <c r="P570" s="21" t="s">
        <v>54</v>
      </c>
    </row>
    <row r="571" ht="65" customHeight="1" spans="1:16">
      <c r="A571" s="17" t="s">
        <v>1919</v>
      </c>
      <c r="B571" s="17" t="s">
        <v>395</v>
      </c>
      <c r="C571" s="17" t="s">
        <v>1526</v>
      </c>
      <c r="D571" s="17" t="s">
        <v>1920</v>
      </c>
      <c r="E571" s="17" t="s">
        <v>1921</v>
      </c>
      <c r="F571" s="17" t="s">
        <v>1539</v>
      </c>
      <c r="G571" s="17" t="s">
        <v>11</v>
      </c>
      <c r="H571" s="17" t="s">
        <v>1922</v>
      </c>
      <c r="I571" s="17" t="s">
        <v>1895</v>
      </c>
      <c r="J571" s="20" t="s">
        <v>1923</v>
      </c>
      <c r="K571" s="17" t="s">
        <v>1542</v>
      </c>
      <c r="L571" s="17" t="s">
        <v>1924</v>
      </c>
      <c r="M571" s="17" t="s">
        <v>471</v>
      </c>
      <c r="N571" s="21" t="s">
        <v>54</v>
      </c>
      <c r="O571" s="22" t="s">
        <v>54</v>
      </c>
      <c r="P571" s="21" t="s">
        <v>54</v>
      </c>
    </row>
    <row r="572" ht="65" customHeight="1" spans="1:16">
      <c r="A572" s="17" t="s">
        <v>1925</v>
      </c>
      <c r="B572" s="17" t="s">
        <v>397</v>
      </c>
      <c r="C572" s="17" t="s">
        <v>1526</v>
      </c>
      <c r="D572" s="17" t="s">
        <v>1926</v>
      </c>
      <c r="E572" s="17" t="s">
        <v>1927</v>
      </c>
      <c r="F572" s="17" t="s">
        <v>1539</v>
      </c>
      <c r="G572" s="17" t="s">
        <v>11</v>
      </c>
      <c r="H572" s="17" t="s">
        <v>1928</v>
      </c>
      <c r="I572" s="17" t="s">
        <v>1929</v>
      </c>
      <c r="J572" s="20" t="s">
        <v>1930</v>
      </c>
      <c r="K572" s="17" t="s">
        <v>491</v>
      </c>
      <c r="L572" s="17" t="s">
        <v>1931</v>
      </c>
      <c r="M572" s="17" t="s">
        <v>471</v>
      </c>
      <c r="N572" s="21" t="s">
        <v>54</v>
      </c>
      <c r="O572" s="22" t="s">
        <v>54</v>
      </c>
      <c r="P572" s="21" t="s">
        <v>54</v>
      </c>
    </row>
    <row r="573" ht="65" customHeight="1" spans="1:16">
      <c r="A573" s="17" t="s">
        <v>1932</v>
      </c>
      <c r="B573" s="17" t="s">
        <v>397</v>
      </c>
      <c r="C573" s="17" t="s">
        <v>1526</v>
      </c>
      <c r="D573" s="17" t="s">
        <v>1933</v>
      </c>
      <c r="E573" s="17" t="s">
        <v>1934</v>
      </c>
      <c r="F573" s="17" t="s">
        <v>1539</v>
      </c>
      <c r="G573" s="17" t="s">
        <v>11</v>
      </c>
      <c r="H573" s="17" t="s">
        <v>1935</v>
      </c>
      <c r="I573" s="17" t="s">
        <v>1929</v>
      </c>
      <c r="J573" s="17" t="s">
        <v>54</v>
      </c>
      <c r="K573" s="17" t="s">
        <v>1542</v>
      </c>
      <c r="L573" s="17" t="s">
        <v>1936</v>
      </c>
      <c r="M573" s="17" t="s">
        <v>471</v>
      </c>
      <c r="N573" s="21" t="s">
        <v>54</v>
      </c>
      <c r="O573" s="22" t="s">
        <v>54</v>
      </c>
      <c r="P573" s="21" t="s">
        <v>54</v>
      </c>
    </row>
    <row r="574" ht="78" customHeight="1" spans="1:16">
      <c r="A574" s="17" t="s">
        <v>1937</v>
      </c>
      <c r="B574" s="17" t="s">
        <v>397</v>
      </c>
      <c r="C574" s="17" t="s">
        <v>1526</v>
      </c>
      <c r="D574" s="17" t="s">
        <v>1938</v>
      </c>
      <c r="E574" s="17" t="s">
        <v>1939</v>
      </c>
      <c r="F574" s="17" t="s">
        <v>1539</v>
      </c>
      <c r="G574" s="17" t="s">
        <v>11</v>
      </c>
      <c r="H574" s="17" t="s">
        <v>1940</v>
      </c>
      <c r="I574" s="17" t="s">
        <v>1929</v>
      </c>
      <c r="J574" s="17" t="s">
        <v>54</v>
      </c>
      <c r="K574" s="17" t="s">
        <v>491</v>
      </c>
      <c r="L574" s="17" t="s">
        <v>1941</v>
      </c>
      <c r="M574" s="17" t="s">
        <v>471</v>
      </c>
      <c r="N574" s="21" t="s">
        <v>54</v>
      </c>
      <c r="O574" s="22" t="s">
        <v>54</v>
      </c>
      <c r="P574" s="21" t="s">
        <v>54</v>
      </c>
    </row>
    <row r="575" ht="65" customHeight="1" spans="1:16">
      <c r="A575" s="17" t="s">
        <v>1942</v>
      </c>
      <c r="B575" s="17" t="s">
        <v>397</v>
      </c>
      <c r="C575" s="17" t="s">
        <v>1526</v>
      </c>
      <c r="D575" s="17" t="s">
        <v>1943</v>
      </c>
      <c r="E575" s="17" t="s">
        <v>1944</v>
      </c>
      <c r="F575" s="17" t="s">
        <v>1539</v>
      </c>
      <c r="G575" s="17" t="s">
        <v>11</v>
      </c>
      <c r="H575" s="17" t="s">
        <v>1945</v>
      </c>
      <c r="I575" s="17" t="s">
        <v>1929</v>
      </c>
      <c r="J575" s="17" t="s">
        <v>54</v>
      </c>
      <c r="K575" s="17" t="s">
        <v>491</v>
      </c>
      <c r="L575" s="17" t="s">
        <v>1946</v>
      </c>
      <c r="M575" s="17" t="s">
        <v>471</v>
      </c>
      <c r="N575" s="21" t="s">
        <v>54</v>
      </c>
      <c r="O575" s="22" t="s">
        <v>54</v>
      </c>
      <c r="P575" s="21" t="s">
        <v>54</v>
      </c>
    </row>
    <row r="576" ht="52" customHeight="1" spans="1:16">
      <c r="A576" s="17" t="s">
        <v>1947</v>
      </c>
      <c r="B576" s="17" t="s">
        <v>399</v>
      </c>
      <c r="C576" s="17" t="s">
        <v>1526</v>
      </c>
      <c r="D576" s="17" t="s">
        <v>1948</v>
      </c>
      <c r="E576" s="17" t="s">
        <v>1949</v>
      </c>
      <c r="F576" s="17" t="s">
        <v>1539</v>
      </c>
      <c r="G576" s="17" t="s">
        <v>11</v>
      </c>
      <c r="H576" s="17" t="s">
        <v>1950</v>
      </c>
      <c r="I576" s="17" t="s">
        <v>1951</v>
      </c>
      <c r="J576" s="20" t="s">
        <v>1689</v>
      </c>
      <c r="K576" s="17" t="s">
        <v>491</v>
      </c>
      <c r="L576" s="17" t="s">
        <v>1952</v>
      </c>
      <c r="M576" s="17" t="s">
        <v>471</v>
      </c>
      <c r="N576" s="21" t="s">
        <v>54</v>
      </c>
      <c r="O576" s="22" t="s">
        <v>54</v>
      </c>
      <c r="P576" s="21" t="s">
        <v>54</v>
      </c>
    </row>
    <row r="577" ht="39" customHeight="1" spans="1:16">
      <c r="A577" s="17" t="s">
        <v>1953</v>
      </c>
      <c r="B577" s="17" t="s">
        <v>399</v>
      </c>
      <c r="C577" s="17" t="s">
        <v>1526</v>
      </c>
      <c r="D577" s="17" t="s">
        <v>1954</v>
      </c>
      <c r="E577" s="17" t="s">
        <v>1955</v>
      </c>
      <c r="F577" s="17" t="s">
        <v>1539</v>
      </c>
      <c r="G577" s="17" t="s">
        <v>11</v>
      </c>
      <c r="H577" s="17" t="s">
        <v>1956</v>
      </c>
      <c r="I577" s="17" t="s">
        <v>1951</v>
      </c>
      <c r="J577" s="17" t="s">
        <v>54</v>
      </c>
      <c r="K577" s="17" t="s">
        <v>491</v>
      </c>
      <c r="L577" s="17" t="s">
        <v>1957</v>
      </c>
      <c r="M577" s="17" t="s">
        <v>471</v>
      </c>
      <c r="N577" s="21" t="s">
        <v>54</v>
      </c>
      <c r="O577" s="22" t="s">
        <v>54</v>
      </c>
      <c r="P577" s="21" t="s">
        <v>54</v>
      </c>
    </row>
    <row r="578" ht="52" customHeight="1" spans="1:16">
      <c r="A578" s="17" t="s">
        <v>1958</v>
      </c>
      <c r="B578" s="17" t="s">
        <v>399</v>
      </c>
      <c r="C578" s="17" t="s">
        <v>1526</v>
      </c>
      <c r="D578" s="17" t="s">
        <v>1959</v>
      </c>
      <c r="E578" s="17" t="s">
        <v>1960</v>
      </c>
      <c r="F578" s="17" t="s">
        <v>1539</v>
      </c>
      <c r="G578" s="17" t="s">
        <v>11</v>
      </c>
      <c r="H578" s="17" t="s">
        <v>1961</v>
      </c>
      <c r="I578" s="17" t="s">
        <v>1951</v>
      </c>
      <c r="J578" s="17" t="s">
        <v>54</v>
      </c>
      <c r="K578" s="17" t="s">
        <v>491</v>
      </c>
      <c r="L578" s="17" t="s">
        <v>1962</v>
      </c>
      <c r="M578" s="17" t="s">
        <v>471</v>
      </c>
      <c r="N578" s="21" t="s">
        <v>54</v>
      </c>
      <c r="O578" s="22" t="s">
        <v>54</v>
      </c>
      <c r="P578" s="21" t="s">
        <v>54</v>
      </c>
    </row>
    <row r="579" ht="52" customHeight="1" spans="1:16">
      <c r="A579" s="17" t="s">
        <v>1963</v>
      </c>
      <c r="B579" s="17" t="s">
        <v>401</v>
      </c>
      <c r="C579" s="17" t="s">
        <v>1526</v>
      </c>
      <c r="D579" s="17" t="s">
        <v>1964</v>
      </c>
      <c r="E579" s="17" t="s">
        <v>1965</v>
      </c>
      <c r="F579" s="17" t="s">
        <v>1966</v>
      </c>
      <c r="G579" s="17" t="s">
        <v>8</v>
      </c>
      <c r="H579" s="17" t="s">
        <v>54</v>
      </c>
      <c r="I579" s="17" t="s">
        <v>1967</v>
      </c>
      <c r="J579" s="20" t="s">
        <v>1968</v>
      </c>
      <c r="K579" s="17" t="s">
        <v>54</v>
      </c>
      <c r="L579" s="17" t="s">
        <v>457</v>
      </c>
      <c r="M579" s="17" t="s">
        <v>485</v>
      </c>
      <c r="N579" s="21" t="s">
        <v>54</v>
      </c>
      <c r="O579" s="22" t="s">
        <v>54</v>
      </c>
      <c r="P579" s="21" t="s">
        <v>54</v>
      </c>
    </row>
    <row r="580" ht="78" customHeight="1" spans="1:16">
      <c r="A580" s="17" t="s">
        <v>1969</v>
      </c>
      <c r="B580" s="17" t="s">
        <v>401</v>
      </c>
      <c r="C580" s="17" t="s">
        <v>1526</v>
      </c>
      <c r="D580" s="17" t="s">
        <v>1970</v>
      </c>
      <c r="E580" s="17" t="s">
        <v>1971</v>
      </c>
      <c r="F580" s="17" t="s">
        <v>1539</v>
      </c>
      <c r="G580" s="17" t="s">
        <v>11</v>
      </c>
      <c r="H580" s="17" t="s">
        <v>1972</v>
      </c>
      <c r="I580" s="17" t="s">
        <v>1967</v>
      </c>
      <c r="J580" s="17" t="s">
        <v>54</v>
      </c>
      <c r="K580" s="17" t="s">
        <v>491</v>
      </c>
      <c r="L580" s="17" t="s">
        <v>1973</v>
      </c>
      <c r="M580" s="17" t="s">
        <v>471</v>
      </c>
      <c r="N580" s="21" t="s">
        <v>54</v>
      </c>
      <c r="O580" s="22" t="s">
        <v>54</v>
      </c>
      <c r="P580" s="21" t="s">
        <v>54</v>
      </c>
    </row>
    <row r="581" ht="52" customHeight="1" spans="1:16">
      <c r="A581" s="17" t="s">
        <v>1974</v>
      </c>
      <c r="B581" s="17" t="s">
        <v>401</v>
      </c>
      <c r="C581" s="17" t="s">
        <v>1526</v>
      </c>
      <c r="D581" s="17" t="s">
        <v>1975</v>
      </c>
      <c r="E581" s="17" t="s">
        <v>1976</v>
      </c>
      <c r="F581" s="17" t="s">
        <v>1539</v>
      </c>
      <c r="G581" s="17" t="s">
        <v>11</v>
      </c>
      <c r="H581" s="17" t="s">
        <v>1977</v>
      </c>
      <c r="I581" s="17" t="s">
        <v>1967</v>
      </c>
      <c r="J581" s="17" t="s">
        <v>54</v>
      </c>
      <c r="K581" s="17" t="s">
        <v>491</v>
      </c>
      <c r="L581" s="17" t="s">
        <v>1978</v>
      </c>
      <c r="M581" s="17" t="s">
        <v>471</v>
      </c>
      <c r="N581" s="21" t="s">
        <v>54</v>
      </c>
      <c r="O581" s="22" t="s">
        <v>54</v>
      </c>
      <c r="P581" s="21" t="s">
        <v>54</v>
      </c>
    </row>
    <row r="582" ht="52" customHeight="1" spans="1:16">
      <c r="A582" s="17" t="s">
        <v>1979</v>
      </c>
      <c r="B582" s="17" t="s">
        <v>401</v>
      </c>
      <c r="C582" s="17" t="s">
        <v>1526</v>
      </c>
      <c r="D582" s="17" t="s">
        <v>1980</v>
      </c>
      <c r="E582" s="17" t="s">
        <v>1981</v>
      </c>
      <c r="F582" s="17" t="s">
        <v>1539</v>
      </c>
      <c r="G582" s="17" t="s">
        <v>11</v>
      </c>
      <c r="H582" s="17" t="s">
        <v>1982</v>
      </c>
      <c r="I582" s="17" t="s">
        <v>1967</v>
      </c>
      <c r="J582" s="17" t="s">
        <v>54</v>
      </c>
      <c r="K582" s="17" t="s">
        <v>491</v>
      </c>
      <c r="L582" s="17" t="s">
        <v>1983</v>
      </c>
      <c r="M582" s="17" t="s">
        <v>471</v>
      </c>
      <c r="N582" s="21" t="s">
        <v>54</v>
      </c>
      <c r="O582" s="22" t="s">
        <v>54</v>
      </c>
      <c r="P582" s="21" t="s">
        <v>54</v>
      </c>
    </row>
    <row r="583" ht="39" customHeight="1" spans="1:16">
      <c r="A583" s="17" t="s">
        <v>1984</v>
      </c>
      <c r="B583" s="17" t="s">
        <v>404</v>
      </c>
      <c r="C583" s="17" t="s">
        <v>1526</v>
      </c>
      <c r="D583" s="17" t="s">
        <v>1985</v>
      </c>
      <c r="E583" s="17" t="s">
        <v>1986</v>
      </c>
      <c r="F583" s="17" t="s">
        <v>1987</v>
      </c>
      <c r="G583" s="17" t="s">
        <v>7</v>
      </c>
      <c r="H583" s="17" t="s">
        <v>54</v>
      </c>
      <c r="I583" s="17" t="s">
        <v>1988</v>
      </c>
      <c r="J583" s="20" t="s">
        <v>1989</v>
      </c>
      <c r="K583" s="17" t="s">
        <v>54</v>
      </c>
      <c r="L583" s="17" t="s">
        <v>457</v>
      </c>
      <c r="M583" s="17" t="s">
        <v>458</v>
      </c>
      <c r="N583" s="21" t="s">
        <v>54</v>
      </c>
      <c r="O583" s="22" t="s">
        <v>54</v>
      </c>
      <c r="P583" s="21" t="s">
        <v>54</v>
      </c>
    </row>
    <row r="584" ht="65" customHeight="1" spans="1:16">
      <c r="A584" s="17" t="s">
        <v>1990</v>
      </c>
      <c r="B584" s="17" t="s">
        <v>404</v>
      </c>
      <c r="C584" s="17" t="s">
        <v>1526</v>
      </c>
      <c r="D584" s="17" t="s">
        <v>1991</v>
      </c>
      <c r="E584" s="17" t="s">
        <v>1992</v>
      </c>
      <c r="F584" s="17" t="s">
        <v>1539</v>
      </c>
      <c r="G584" s="17" t="s">
        <v>11</v>
      </c>
      <c r="H584" s="17" t="s">
        <v>1993</v>
      </c>
      <c r="I584" s="17" t="s">
        <v>1988</v>
      </c>
      <c r="J584" s="20" t="s">
        <v>1994</v>
      </c>
      <c r="K584" s="17" t="s">
        <v>469</v>
      </c>
      <c r="L584" s="17" t="s">
        <v>1995</v>
      </c>
      <c r="M584" s="17" t="s">
        <v>471</v>
      </c>
      <c r="N584" s="21" t="s">
        <v>54</v>
      </c>
      <c r="O584" s="22" t="s">
        <v>54</v>
      </c>
      <c r="P584" s="21" t="s">
        <v>54</v>
      </c>
    </row>
    <row r="585" ht="52" customHeight="1" spans="1:16">
      <c r="A585" s="17" t="s">
        <v>1996</v>
      </c>
      <c r="B585" s="17" t="s">
        <v>404</v>
      </c>
      <c r="C585" s="17" t="s">
        <v>1526</v>
      </c>
      <c r="D585" s="17" t="s">
        <v>1997</v>
      </c>
      <c r="E585" s="17" t="s">
        <v>1998</v>
      </c>
      <c r="F585" s="17" t="s">
        <v>1999</v>
      </c>
      <c r="G585" s="17" t="s">
        <v>7</v>
      </c>
      <c r="H585" s="17" t="s">
        <v>54</v>
      </c>
      <c r="I585" s="17" t="s">
        <v>1988</v>
      </c>
      <c r="J585" s="20" t="s">
        <v>2000</v>
      </c>
      <c r="K585" s="17" t="s">
        <v>54</v>
      </c>
      <c r="L585" s="17" t="s">
        <v>457</v>
      </c>
      <c r="M585" s="17" t="s">
        <v>458</v>
      </c>
      <c r="N585" s="21" t="s">
        <v>54</v>
      </c>
      <c r="O585" s="22" t="s">
        <v>54</v>
      </c>
      <c r="P585" s="21" t="s">
        <v>54</v>
      </c>
    </row>
    <row r="586" ht="78" customHeight="1" spans="1:16">
      <c r="A586" s="17" t="s">
        <v>2001</v>
      </c>
      <c r="B586" s="17" t="s">
        <v>406</v>
      </c>
      <c r="C586" s="17" t="s">
        <v>1526</v>
      </c>
      <c r="D586" s="17" t="s">
        <v>2002</v>
      </c>
      <c r="E586" s="17" t="s">
        <v>2003</v>
      </c>
      <c r="F586" s="17" t="s">
        <v>1539</v>
      </c>
      <c r="G586" s="17" t="s">
        <v>11</v>
      </c>
      <c r="H586" s="17" t="s">
        <v>2004</v>
      </c>
      <c r="I586" s="17" t="s">
        <v>2005</v>
      </c>
      <c r="J586" s="17" t="s">
        <v>54</v>
      </c>
      <c r="K586" s="17" t="s">
        <v>491</v>
      </c>
      <c r="L586" s="17" t="s">
        <v>2006</v>
      </c>
      <c r="M586" s="17" t="s">
        <v>471</v>
      </c>
      <c r="N586" s="21" t="s">
        <v>54</v>
      </c>
      <c r="O586" s="22" t="s">
        <v>54</v>
      </c>
      <c r="P586" s="21" t="s">
        <v>54</v>
      </c>
    </row>
    <row r="587" ht="65" customHeight="1" spans="1:16">
      <c r="A587" s="17" t="s">
        <v>2007</v>
      </c>
      <c r="B587" s="17" t="s">
        <v>406</v>
      </c>
      <c r="C587" s="17" t="s">
        <v>1526</v>
      </c>
      <c r="D587" s="17" t="s">
        <v>2008</v>
      </c>
      <c r="E587" s="17" t="s">
        <v>2009</v>
      </c>
      <c r="F587" s="17" t="s">
        <v>1539</v>
      </c>
      <c r="G587" s="17" t="s">
        <v>11</v>
      </c>
      <c r="H587" s="17" t="s">
        <v>2010</v>
      </c>
      <c r="I587" s="17" t="s">
        <v>2005</v>
      </c>
      <c r="J587" s="20" t="s">
        <v>2011</v>
      </c>
      <c r="K587" s="17" t="s">
        <v>515</v>
      </c>
      <c r="L587" s="17" t="s">
        <v>2012</v>
      </c>
      <c r="M587" s="17" t="s">
        <v>471</v>
      </c>
      <c r="N587" s="21" t="s">
        <v>54</v>
      </c>
      <c r="O587" s="22" t="s">
        <v>54</v>
      </c>
      <c r="P587" s="21" t="s">
        <v>54</v>
      </c>
    </row>
    <row r="588" ht="65" customHeight="1" spans="1:16">
      <c r="A588" s="17" t="s">
        <v>2013</v>
      </c>
      <c r="B588" s="17" t="s">
        <v>406</v>
      </c>
      <c r="C588" s="17" t="s">
        <v>1526</v>
      </c>
      <c r="D588" s="17" t="s">
        <v>2014</v>
      </c>
      <c r="E588" s="17" t="s">
        <v>2015</v>
      </c>
      <c r="F588" s="17" t="s">
        <v>1539</v>
      </c>
      <c r="G588" s="17" t="s">
        <v>11</v>
      </c>
      <c r="H588" s="17" t="s">
        <v>2016</v>
      </c>
      <c r="I588" s="17" t="s">
        <v>2005</v>
      </c>
      <c r="J588" s="17" t="s">
        <v>54</v>
      </c>
      <c r="K588" s="17" t="s">
        <v>491</v>
      </c>
      <c r="L588" s="17" t="s">
        <v>2017</v>
      </c>
      <c r="M588" s="17" t="s">
        <v>471</v>
      </c>
      <c r="N588" s="21" t="s">
        <v>54</v>
      </c>
      <c r="O588" s="22" t="s">
        <v>54</v>
      </c>
      <c r="P588" s="21" t="s">
        <v>54</v>
      </c>
    </row>
    <row r="589" ht="52" customHeight="1" spans="1:16">
      <c r="A589" s="17" t="s">
        <v>2018</v>
      </c>
      <c r="B589" s="17" t="s">
        <v>408</v>
      </c>
      <c r="C589" s="17" t="s">
        <v>1526</v>
      </c>
      <c r="D589" s="17" t="s">
        <v>2019</v>
      </c>
      <c r="E589" s="17" t="s">
        <v>2020</v>
      </c>
      <c r="F589" s="17" t="s">
        <v>1539</v>
      </c>
      <c r="G589" s="17" t="s">
        <v>11</v>
      </c>
      <c r="H589" s="17" t="s">
        <v>2021</v>
      </c>
      <c r="I589" s="17" t="s">
        <v>2022</v>
      </c>
      <c r="J589" s="17" t="s">
        <v>54</v>
      </c>
      <c r="K589" s="17" t="s">
        <v>1542</v>
      </c>
      <c r="L589" s="17" t="s">
        <v>2023</v>
      </c>
      <c r="M589" s="17" t="s">
        <v>471</v>
      </c>
      <c r="N589" s="21" t="s">
        <v>54</v>
      </c>
      <c r="O589" s="22" t="s">
        <v>54</v>
      </c>
      <c r="P589" s="21" t="s">
        <v>54</v>
      </c>
    </row>
    <row r="590" ht="52" customHeight="1" spans="1:16">
      <c r="A590" s="17" t="s">
        <v>2024</v>
      </c>
      <c r="B590" s="17" t="s">
        <v>408</v>
      </c>
      <c r="C590" s="17" t="s">
        <v>1526</v>
      </c>
      <c r="D590" s="17" t="s">
        <v>2025</v>
      </c>
      <c r="E590" s="17" t="s">
        <v>2026</v>
      </c>
      <c r="F590" s="17" t="s">
        <v>1539</v>
      </c>
      <c r="G590" s="17" t="s">
        <v>11</v>
      </c>
      <c r="H590" s="17" t="s">
        <v>2027</v>
      </c>
      <c r="I590" s="17" t="s">
        <v>2022</v>
      </c>
      <c r="J590" s="17" t="s">
        <v>54</v>
      </c>
      <c r="K590" s="17" t="s">
        <v>1542</v>
      </c>
      <c r="L590" s="17" t="s">
        <v>2028</v>
      </c>
      <c r="M590" s="17" t="s">
        <v>471</v>
      </c>
      <c r="N590" s="21" t="s">
        <v>54</v>
      </c>
      <c r="O590" s="22" t="s">
        <v>54</v>
      </c>
      <c r="P590" s="21" t="s">
        <v>54</v>
      </c>
    </row>
    <row r="591" ht="52" customHeight="1" spans="1:16">
      <c r="A591" s="17" t="s">
        <v>2029</v>
      </c>
      <c r="B591" s="17" t="s">
        <v>408</v>
      </c>
      <c r="C591" s="17" t="s">
        <v>1526</v>
      </c>
      <c r="D591" s="17" t="s">
        <v>2030</v>
      </c>
      <c r="E591" s="17" t="s">
        <v>2031</v>
      </c>
      <c r="F591" s="17" t="s">
        <v>1539</v>
      </c>
      <c r="G591" s="17" t="s">
        <v>11</v>
      </c>
      <c r="H591" s="17" t="s">
        <v>2032</v>
      </c>
      <c r="I591" s="17" t="s">
        <v>2022</v>
      </c>
      <c r="J591" s="17" t="s">
        <v>54</v>
      </c>
      <c r="K591" s="17" t="s">
        <v>1542</v>
      </c>
      <c r="L591" s="17" t="s">
        <v>2033</v>
      </c>
      <c r="M591" s="17" t="s">
        <v>471</v>
      </c>
      <c r="N591" s="21" t="s">
        <v>54</v>
      </c>
      <c r="O591" s="22" t="s">
        <v>54</v>
      </c>
      <c r="P591" s="21" t="s">
        <v>54</v>
      </c>
    </row>
    <row r="592" ht="52" customHeight="1" spans="1:16">
      <c r="A592" s="17" t="s">
        <v>2034</v>
      </c>
      <c r="B592" s="17" t="s">
        <v>408</v>
      </c>
      <c r="C592" s="17" t="s">
        <v>1526</v>
      </c>
      <c r="D592" s="17" t="s">
        <v>2035</v>
      </c>
      <c r="E592" s="17" t="s">
        <v>2036</v>
      </c>
      <c r="F592" s="17" t="s">
        <v>2037</v>
      </c>
      <c r="G592" s="17" t="s">
        <v>7</v>
      </c>
      <c r="H592" s="17" t="s">
        <v>54</v>
      </c>
      <c r="I592" s="17" t="s">
        <v>2022</v>
      </c>
      <c r="J592" s="20" t="s">
        <v>2038</v>
      </c>
      <c r="K592" s="17" t="s">
        <v>54</v>
      </c>
      <c r="L592" s="17" t="s">
        <v>457</v>
      </c>
      <c r="M592" s="17" t="s">
        <v>458</v>
      </c>
      <c r="N592" s="21" t="s">
        <v>54</v>
      </c>
      <c r="O592" s="22" t="s">
        <v>54</v>
      </c>
      <c r="P592" s="21" t="s">
        <v>54</v>
      </c>
    </row>
    <row r="593" ht="78" customHeight="1" spans="1:16">
      <c r="A593" s="17" t="s">
        <v>2039</v>
      </c>
      <c r="B593" s="17" t="s">
        <v>410</v>
      </c>
      <c r="C593" s="17" t="s">
        <v>1526</v>
      </c>
      <c r="D593" s="17" t="s">
        <v>2040</v>
      </c>
      <c r="E593" s="17" t="s">
        <v>2041</v>
      </c>
      <c r="F593" s="17" t="s">
        <v>2042</v>
      </c>
      <c r="G593" s="17" t="s">
        <v>8</v>
      </c>
      <c r="H593" s="17" t="s">
        <v>54</v>
      </c>
      <c r="I593" s="17" t="s">
        <v>2043</v>
      </c>
      <c r="J593" s="20" t="s">
        <v>2044</v>
      </c>
      <c r="K593" s="17" t="s">
        <v>54</v>
      </c>
      <c r="L593" s="17" t="s">
        <v>457</v>
      </c>
      <c r="M593" s="17" t="s">
        <v>485</v>
      </c>
      <c r="N593" s="21" t="s">
        <v>54</v>
      </c>
      <c r="O593" s="22" t="s">
        <v>54</v>
      </c>
      <c r="P593" s="21" t="s">
        <v>54</v>
      </c>
    </row>
    <row r="594" ht="78" customHeight="1" spans="1:16">
      <c r="A594" s="17" t="s">
        <v>2045</v>
      </c>
      <c r="B594" s="17" t="s">
        <v>410</v>
      </c>
      <c r="C594" s="17" t="s">
        <v>1526</v>
      </c>
      <c r="D594" s="17" t="s">
        <v>2046</v>
      </c>
      <c r="E594" s="17" t="s">
        <v>2047</v>
      </c>
      <c r="F594" s="17" t="s">
        <v>1539</v>
      </c>
      <c r="G594" s="17" t="s">
        <v>11</v>
      </c>
      <c r="H594" s="17" t="s">
        <v>2048</v>
      </c>
      <c r="I594" s="17" t="s">
        <v>2043</v>
      </c>
      <c r="J594" s="17" t="s">
        <v>54</v>
      </c>
      <c r="K594" s="17" t="s">
        <v>1542</v>
      </c>
      <c r="L594" s="17" t="s">
        <v>2049</v>
      </c>
      <c r="M594" s="17" t="s">
        <v>471</v>
      </c>
      <c r="N594" s="21" t="s">
        <v>54</v>
      </c>
      <c r="O594" s="22" t="s">
        <v>54</v>
      </c>
      <c r="P594" s="21" t="s">
        <v>54</v>
      </c>
    </row>
    <row r="595" ht="52" customHeight="1" spans="1:16">
      <c r="A595" s="17" t="s">
        <v>2050</v>
      </c>
      <c r="B595" s="17" t="s">
        <v>410</v>
      </c>
      <c r="C595" s="17" t="s">
        <v>1526</v>
      </c>
      <c r="D595" s="17" t="s">
        <v>2051</v>
      </c>
      <c r="E595" s="17" t="s">
        <v>2052</v>
      </c>
      <c r="F595" s="17" t="s">
        <v>1539</v>
      </c>
      <c r="G595" s="17" t="s">
        <v>11</v>
      </c>
      <c r="H595" s="17" t="s">
        <v>2053</v>
      </c>
      <c r="I595" s="17" t="s">
        <v>2043</v>
      </c>
      <c r="J595" s="20" t="s">
        <v>2044</v>
      </c>
      <c r="K595" s="17" t="s">
        <v>1542</v>
      </c>
      <c r="L595" s="17" t="s">
        <v>2054</v>
      </c>
      <c r="M595" s="17" t="s">
        <v>471</v>
      </c>
      <c r="N595" s="21" t="s">
        <v>54</v>
      </c>
      <c r="O595" s="22" t="s">
        <v>54</v>
      </c>
      <c r="P595" s="21" t="s">
        <v>54</v>
      </c>
    </row>
    <row r="596" ht="65" customHeight="1" spans="1:16">
      <c r="A596" s="17" t="s">
        <v>2055</v>
      </c>
      <c r="B596" s="17" t="s">
        <v>410</v>
      </c>
      <c r="C596" s="17" t="s">
        <v>1526</v>
      </c>
      <c r="D596" s="17" t="s">
        <v>2056</v>
      </c>
      <c r="E596" s="17" t="s">
        <v>2057</v>
      </c>
      <c r="F596" s="17" t="s">
        <v>1539</v>
      </c>
      <c r="G596" s="17" t="s">
        <v>11</v>
      </c>
      <c r="H596" s="17" t="s">
        <v>2058</v>
      </c>
      <c r="I596" s="17" t="s">
        <v>2043</v>
      </c>
      <c r="J596" s="20" t="s">
        <v>2044</v>
      </c>
      <c r="K596" s="17" t="s">
        <v>491</v>
      </c>
      <c r="L596" s="17" t="s">
        <v>2059</v>
      </c>
      <c r="M596" s="17" t="s">
        <v>471</v>
      </c>
      <c r="N596" s="21" t="s">
        <v>54</v>
      </c>
      <c r="O596" s="22" t="s">
        <v>54</v>
      </c>
      <c r="P596" s="21" t="s">
        <v>54</v>
      </c>
    </row>
    <row r="597" ht="65" customHeight="1" spans="1:16">
      <c r="A597" s="17" t="s">
        <v>2060</v>
      </c>
      <c r="B597" s="17" t="s">
        <v>413</v>
      </c>
      <c r="C597" s="17" t="s">
        <v>1526</v>
      </c>
      <c r="D597" s="17" t="s">
        <v>2061</v>
      </c>
      <c r="E597" s="17" t="s">
        <v>2062</v>
      </c>
      <c r="F597" s="17" t="s">
        <v>1539</v>
      </c>
      <c r="G597" s="17" t="s">
        <v>11</v>
      </c>
      <c r="H597" s="17" t="s">
        <v>2063</v>
      </c>
      <c r="I597" s="17" t="s">
        <v>2064</v>
      </c>
      <c r="J597" s="20" t="s">
        <v>2065</v>
      </c>
      <c r="K597" s="17" t="s">
        <v>1542</v>
      </c>
      <c r="L597" s="17" t="s">
        <v>2066</v>
      </c>
      <c r="M597" s="17" t="s">
        <v>471</v>
      </c>
      <c r="N597" s="21" t="s">
        <v>54</v>
      </c>
      <c r="O597" s="22" t="s">
        <v>54</v>
      </c>
      <c r="P597" s="21" t="s">
        <v>54</v>
      </c>
    </row>
    <row r="598" ht="65" customHeight="1" spans="1:16">
      <c r="A598" s="17" t="s">
        <v>2067</v>
      </c>
      <c r="B598" s="17" t="s">
        <v>413</v>
      </c>
      <c r="C598" s="17" t="s">
        <v>1526</v>
      </c>
      <c r="D598" s="17" t="s">
        <v>2068</v>
      </c>
      <c r="E598" s="17" t="s">
        <v>2069</v>
      </c>
      <c r="F598" s="17" t="s">
        <v>1539</v>
      </c>
      <c r="G598" s="17" t="s">
        <v>11</v>
      </c>
      <c r="H598" s="17" t="s">
        <v>2070</v>
      </c>
      <c r="I598" s="17" t="s">
        <v>2064</v>
      </c>
      <c r="J598" s="20" t="s">
        <v>2071</v>
      </c>
      <c r="K598" s="17" t="s">
        <v>1542</v>
      </c>
      <c r="L598" s="17" t="s">
        <v>2072</v>
      </c>
      <c r="M598" s="17" t="s">
        <v>471</v>
      </c>
      <c r="N598" s="21" t="s">
        <v>54</v>
      </c>
      <c r="O598" s="22" t="s">
        <v>54</v>
      </c>
      <c r="P598" s="21" t="s">
        <v>54</v>
      </c>
    </row>
    <row r="599" ht="65" customHeight="1" spans="1:16">
      <c r="A599" s="17" t="s">
        <v>2073</v>
      </c>
      <c r="B599" s="17" t="s">
        <v>413</v>
      </c>
      <c r="C599" s="17" t="s">
        <v>1526</v>
      </c>
      <c r="D599" s="17" t="s">
        <v>2074</v>
      </c>
      <c r="E599" s="17" t="s">
        <v>2075</v>
      </c>
      <c r="F599" s="17" t="s">
        <v>1539</v>
      </c>
      <c r="G599" s="17" t="s">
        <v>11</v>
      </c>
      <c r="H599" s="17" t="s">
        <v>2076</v>
      </c>
      <c r="I599" s="17" t="s">
        <v>2064</v>
      </c>
      <c r="J599" s="20" t="s">
        <v>2077</v>
      </c>
      <c r="K599" s="17" t="s">
        <v>1542</v>
      </c>
      <c r="L599" s="17" t="s">
        <v>2078</v>
      </c>
      <c r="M599" s="17" t="s">
        <v>471</v>
      </c>
      <c r="N599" s="21" t="s">
        <v>54</v>
      </c>
      <c r="O599" s="22" t="s">
        <v>54</v>
      </c>
      <c r="P599" s="21" t="s">
        <v>54</v>
      </c>
    </row>
    <row r="600" ht="52" customHeight="1" spans="1:16">
      <c r="A600" s="17" t="s">
        <v>2079</v>
      </c>
      <c r="B600" s="17" t="s">
        <v>413</v>
      </c>
      <c r="C600" s="17" t="s">
        <v>1526</v>
      </c>
      <c r="D600" s="17" t="s">
        <v>2080</v>
      </c>
      <c r="E600" s="17" t="s">
        <v>2081</v>
      </c>
      <c r="F600" s="17" t="s">
        <v>1539</v>
      </c>
      <c r="G600" s="17" t="s">
        <v>11</v>
      </c>
      <c r="H600" s="17" t="s">
        <v>2082</v>
      </c>
      <c r="I600" s="17" t="s">
        <v>2064</v>
      </c>
      <c r="J600" s="20" t="s">
        <v>2065</v>
      </c>
      <c r="K600" s="17" t="s">
        <v>1542</v>
      </c>
      <c r="L600" s="17" t="s">
        <v>2083</v>
      </c>
      <c r="M600" s="17" t="s">
        <v>471</v>
      </c>
      <c r="N600" s="21" t="s">
        <v>54</v>
      </c>
      <c r="O600" s="22" t="s">
        <v>54</v>
      </c>
      <c r="P600" s="21" t="s">
        <v>54</v>
      </c>
    </row>
    <row r="601" ht="52" customHeight="1" spans="1:16">
      <c r="A601" s="17" t="s">
        <v>2084</v>
      </c>
      <c r="B601" s="17" t="s">
        <v>415</v>
      </c>
      <c r="C601" s="17" t="s">
        <v>1526</v>
      </c>
      <c r="D601" s="17" t="s">
        <v>2085</v>
      </c>
      <c r="E601" s="17" t="s">
        <v>2086</v>
      </c>
      <c r="F601" s="17" t="s">
        <v>1539</v>
      </c>
      <c r="G601" s="17" t="s">
        <v>11</v>
      </c>
      <c r="H601" s="17" t="s">
        <v>2087</v>
      </c>
      <c r="I601" s="17" t="s">
        <v>2088</v>
      </c>
      <c r="J601" s="17" t="s">
        <v>54</v>
      </c>
      <c r="K601" s="17" t="s">
        <v>491</v>
      </c>
      <c r="L601" s="17" t="s">
        <v>2089</v>
      </c>
      <c r="M601" s="17" t="s">
        <v>471</v>
      </c>
      <c r="N601" s="21" t="s">
        <v>54</v>
      </c>
      <c r="O601" s="22" t="s">
        <v>54</v>
      </c>
      <c r="P601" s="21" t="s">
        <v>54</v>
      </c>
    </row>
    <row r="602" ht="52" customHeight="1" spans="1:16">
      <c r="A602" s="17" t="s">
        <v>2090</v>
      </c>
      <c r="B602" s="17" t="s">
        <v>415</v>
      </c>
      <c r="C602" s="17" t="s">
        <v>1526</v>
      </c>
      <c r="D602" s="17" t="s">
        <v>2091</v>
      </c>
      <c r="E602" s="17" t="s">
        <v>2092</v>
      </c>
      <c r="F602" s="17" t="s">
        <v>2093</v>
      </c>
      <c r="G602" s="17" t="s">
        <v>7</v>
      </c>
      <c r="H602" s="17" t="s">
        <v>54</v>
      </c>
      <c r="I602" s="17" t="s">
        <v>2088</v>
      </c>
      <c r="J602" s="20" t="s">
        <v>2094</v>
      </c>
      <c r="K602" s="17" t="s">
        <v>54</v>
      </c>
      <c r="L602" s="17" t="s">
        <v>457</v>
      </c>
      <c r="M602" s="17" t="s">
        <v>458</v>
      </c>
      <c r="N602" s="21" t="s">
        <v>54</v>
      </c>
      <c r="O602" s="22" t="s">
        <v>54</v>
      </c>
      <c r="P602" s="21" t="s">
        <v>54</v>
      </c>
    </row>
    <row r="603" ht="78" customHeight="1" spans="1:16">
      <c r="A603" s="17" t="s">
        <v>2095</v>
      </c>
      <c r="B603" s="17" t="s">
        <v>415</v>
      </c>
      <c r="C603" s="17" t="s">
        <v>1526</v>
      </c>
      <c r="D603" s="17" t="s">
        <v>2096</v>
      </c>
      <c r="E603" s="17" t="s">
        <v>2097</v>
      </c>
      <c r="F603" s="17" t="s">
        <v>1539</v>
      </c>
      <c r="G603" s="17" t="s">
        <v>11</v>
      </c>
      <c r="H603" s="17" t="s">
        <v>2098</v>
      </c>
      <c r="I603" s="17" t="s">
        <v>2088</v>
      </c>
      <c r="J603" s="17" t="s">
        <v>54</v>
      </c>
      <c r="K603" s="17" t="s">
        <v>491</v>
      </c>
      <c r="L603" s="17" t="s">
        <v>2099</v>
      </c>
      <c r="M603" s="17" t="s">
        <v>471</v>
      </c>
      <c r="N603" s="21" t="s">
        <v>54</v>
      </c>
      <c r="O603" s="22" t="s">
        <v>54</v>
      </c>
      <c r="P603" s="21" t="s">
        <v>54</v>
      </c>
    </row>
    <row r="604" ht="52" customHeight="1" spans="1:16">
      <c r="A604" s="17" t="s">
        <v>2100</v>
      </c>
      <c r="B604" s="17" t="s">
        <v>417</v>
      </c>
      <c r="C604" s="17" t="s">
        <v>1526</v>
      </c>
      <c r="D604" s="17" t="s">
        <v>2101</v>
      </c>
      <c r="E604" s="17" t="s">
        <v>2102</v>
      </c>
      <c r="F604" s="17" t="s">
        <v>1539</v>
      </c>
      <c r="G604" s="17" t="s">
        <v>11</v>
      </c>
      <c r="H604" s="17" t="s">
        <v>2103</v>
      </c>
      <c r="I604" s="17" t="s">
        <v>2104</v>
      </c>
      <c r="J604" s="17" t="s">
        <v>54</v>
      </c>
      <c r="K604" s="17" t="s">
        <v>491</v>
      </c>
      <c r="L604" s="17" t="s">
        <v>2105</v>
      </c>
      <c r="M604" s="17" t="s">
        <v>471</v>
      </c>
      <c r="N604" s="21" t="s">
        <v>54</v>
      </c>
      <c r="O604" s="22" t="s">
        <v>54</v>
      </c>
      <c r="P604" s="21" t="s">
        <v>54</v>
      </c>
    </row>
    <row r="605" ht="52" customHeight="1" spans="1:16">
      <c r="A605" s="17" t="s">
        <v>2106</v>
      </c>
      <c r="B605" s="17" t="s">
        <v>417</v>
      </c>
      <c r="C605" s="17" t="s">
        <v>1526</v>
      </c>
      <c r="D605" s="17" t="s">
        <v>2107</v>
      </c>
      <c r="E605" s="17" t="s">
        <v>2108</v>
      </c>
      <c r="F605" s="17" t="s">
        <v>1539</v>
      </c>
      <c r="G605" s="17" t="s">
        <v>11</v>
      </c>
      <c r="H605" s="17" t="s">
        <v>2109</v>
      </c>
      <c r="I605" s="17" t="s">
        <v>2104</v>
      </c>
      <c r="J605" s="17" t="s">
        <v>54</v>
      </c>
      <c r="K605" s="17" t="s">
        <v>1542</v>
      </c>
      <c r="L605" s="17" t="s">
        <v>2110</v>
      </c>
      <c r="M605" s="17" t="s">
        <v>471</v>
      </c>
      <c r="N605" s="21" t="s">
        <v>54</v>
      </c>
      <c r="O605" s="22" t="s">
        <v>54</v>
      </c>
      <c r="P605" s="21" t="s">
        <v>54</v>
      </c>
    </row>
    <row r="606" ht="52" customHeight="1" spans="1:16">
      <c r="A606" s="17" t="s">
        <v>2111</v>
      </c>
      <c r="B606" s="17" t="s">
        <v>417</v>
      </c>
      <c r="C606" s="17" t="s">
        <v>1526</v>
      </c>
      <c r="D606" s="17" t="s">
        <v>2112</v>
      </c>
      <c r="E606" s="17" t="s">
        <v>2113</v>
      </c>
      <c r="F606" s="17" t="s">
        <v>1539</v>
      </c>
      <c r="G606" s="17" t="s">
        <v>11</v>
      </c>
      <c r="H606" s="17" t="s">
        <v>2114</v>
      </c>
      <c r="I606" s="17" t="s">
        <v>2104</v>
      </c>
      <c r="J606" s="17" t="s">
        <v>54</v>
      </c>
      <c r="K606" s="17" t="s">
        <v>491</v>
      </c>
      <c r="L606" s="17" t="s">
        <v>2115</v>
      </c>
      <c r="M606" s="17" t="s">
        <v>471</v>
      </c>
      <c r="N606" s="21" t="s">
        <v>54</v>
      </c>
      <c r="O606" s="22" t="s">
        <v>54</v>
      </c>
      <c r="P606" s="21" t="s">
        <v>54</v>
      </c>
    </row>
    <row r="607" ht="91" customHeight="1" spans="1:16">
      <c r="A607" s="17" t="s">
        <v>2116</v>
      </c>
      <c r="B607" s="17" t="s">
        <v>420</v>
      </c>
      <c r="C607" s="17" t="s">
        <v>1526</v>
      </c>
      <c r="D607" s="17" t="s">
        <v>2117</v>
      </c>
      <c r="E607" s="17" t="s">
        <v>2118</v>
      </c>
      <c r="F607" s="17" t="s">
        <v>1539</v>
      </c>
      <c r="G607" s="17" t="s">
        <v>11</v>
      </c>
      <c r="H607" s="17" t="s">
        <v>2119</v>
      </c>
      <c r="I607" s="17" t="s">
        <v>2120</v>
      </c>
      <c r="J607" s="20" t="s">
        <v>2121</v>
      </c>
      <c r="K607" s="17" t="s">
        <v>1542</v>
      </c>
      <c r="L607" s="17" t="s">
        <v>2122</v>
      </c>
      <c r="M607" s="17" t="s">
        <v>471</v>
      </c>
      <c r="N607" s="21" t="s">
        <v>54</v>
      </c>
      <c r="O607" s="22" t="s">
        <v>54</v>
      </c>
      <c r="P607" s="21" t="s">
        <v>54</v>
      </c>
    </row>
    <row r="608" ht="52" customHeight="1" spans="1:16">
      <c r="A608" s="17" t="s">
        <v>2123</v>
      </c>
      <c r="B608" s="17" t="s">
        <v>420</v>
      </c>
      <c r="C608" s="17" t="s">
        <v>1526</v>
      </c>
      <c r="D608" s="17" t="s">
        <v>2124</v>
      </c>
      <c r="E608" s="17" t="s">
        <v>2125</v>
      </c>
      <c r="F608" s="17" t="s">
        <v>1539</v>
      </c>
      <c r="G608" s="17" t="s">
        <v>11</v>
      </c>
      <c r="H608" s="17" t="s">
        <v>2126</v>
      </c>
      <c r="I608" s="17" t="s">
        <v>2120</v>
      </c>
      <c r="J608" s="17" t="s">
        <v>54</v>
      </c>
      <c r="K608" s="17" t="s">
        <v>491</v>
      </c>
      <c r="L608" s="17" t="s">
        <v>2127</v>
      </c>
      <c r="M608" s="17" t="s">
        <v>471</v>
      </c>
      <c r="N608" s="21" t="s">
        <v>54</v>
      </c>
      <c r="O608" s="22" t="s">
        <v>54</v>
      </c>
      <c r="P608" s="21" t="s">
        <v>54</v>
      </c>
    </row>
    <row r="609" ht="52" customHeight="1" spans="1:16">
      <c r="A609" s="17" t="s">
        <v>2128</v>
      </c>
      <c r="B609" s="17" t="s">
        <v>420</v>
      </c>
      <c r="C609" s="17" t="s">
        <v>1526</v>
      </c>
      <c r="D609" s="17" t="s">
        <v>2129</v>
      </c>
      <c r="E609" s="17" t="s">
        <v>2130</v>
      </c>
      <c r="F609" s="17" t="s">
        <v>1539</v>
      </c>
      <c r="G609" s="17" t="s">
        <v>11</v>
      </c>
      <c r="H609" s="17" t="s">
        <v>2131</v>
      </c>
      <c r="I609" s="17" t="s">
        <v>2120</v>
      </c>
      <c r="J609" s="17" t="s">
        <v>54</v>
      </c>
      <c r="K609" s="17" t="s">
        <v>491</v>
      </c>
      <c r="L609" s="17" t="s">
        <v>2132</v>
      </c>
      <c r="M609" s="17" t="s">
        <v>471</v>
      </c>
      <c r="N609" s="21" t="s">
        <v>54</v>
      </c>
      <c r="O609" s="22" t="s">
        <v>54</v>
      </c>
      <c r="P609" s="21" t="s">
        <v>54</v>
      </c>
    </row>
    <row r="610" ht="52" customHeight="1" spans="1:16">
      <c r="A610" s="17" t="s">
        <v>2133</v>
      </c>
      <c r="B610" s="17" t="s">
        <v>420</v>
      </c>
      <c r="C610" s="17" t="s">
        <v>1526</v>
      </c>
      <c r="D610" s="17" t="s">
        <v>2134</v>
      </c>
      <c r="E610" s="17" t="s">
        <v>2135</v>
      </c>
      <c r="F610" s="17" t="s">
        <v>1539</v>
      </c>
      <c r="G610" s="17" t="s">
        <v>11</v>
      </c>
      <c r="H610" s="17" t="s">
        <v>2136</v>
      </c>
      <c r="I610" s="17" t="s">
        <v>2120</v>
      </c>
      <c r="J610" s="17" t="s">
        <v>54</v>
      </c>
      <c r="K610" s="17" t="s">
        <v>491</v>
      </c>
      <c r="L610" s="17" t="s">
        <v>2137</v>
      </c>
      <c r="M610" s="17" t="s">
        <v>471</v>
      </c>
      <c r="N610" s="21" t="s">
        <v>54</v>
      </c>
      <c r="O610" s="22" t="s">
        <v>54</v>
      </c>
      <c r="P610" s="21" t="s">
        <v>54</v>
      </c>
    </row>
    <row r="611" ht="91" customHeight="1" spans="1:16">
      <c r="A611" s="17" t="s">
        <v>2138</v>
      </c>
      <c r="B611" s="17" t="s">
        <v>422</v>
      </c>
      <c r="C611" s="17" t="s">
        <v>1526</v>
      </c>
      <c r="D611" s="17" t="s">
        <v>2139</v>
      </c>
      <c r="E611" s="17" t="s">
        <v>2140</v>
      </c>
      <c r="F611" s="17" t="s">
        <v>2141</v>
      </c>
      <c r="G611" s="17" t="s">
        <v>8</v>
      </c>
      <c r="H611" s="17" t="s">
        <v>54</v>
      </c>
      <c r="I611" s="17" t="s">
        <v>2142</v>
      </c>
      <c r="J611" s="20" t="s">
        <v>2143</v>
      </c>
      <c r="K611" s="17" t="s">
        <v>54</v>
      </c>
      <c r="L611" s="17" t="s">
        <v>457</v>
      </c>
      <c r="M611" s="17" t="s">
        <v>485</v>
      </c>
      <c r="N611" s="21" t="s">
        <v>54</v>
      </c>
      <c r="O611" s="22" t="s">
        <v>54</v>
      </c>
      <c r="P611" s="21" t="s">
        <v>54</v>
      </c>
    </row>
    <row r="612" ht="65" customHeight="1" spans="1:16">
      <c r="A612" s="17" t="s">
        <v>2144</v>
      </c>
      <c r="B612" s="17" t="s">
        <v>422</v>
      </c>
      <c r="C612" s="17" t="s">
        <v>1526</v>
      </c>
      <c r="D612" s="17" t="s">
        <v>2145</v>
      </c>
      <c r="E612" s="17" t="s">
        <v>2146</v>
      </c>
      <c r="F612" s="17" t="s">
        <v>2147</v>
      </c>
      <c r="G612" s="17" t="s">
        <v>7</v>
      </c>
      <c r="H612" s="17" t="s">
        <v>54</v>
      </c>
      <c r="I612" s="17" t="s">
        <v>2142</v>
      </c>
      <c r="J612" s="20" t="s">
        <v>2148</v>
      </c>
      <c r="K612" s="17" t="s">
        <v>54</v>
      </c>
      <c r="L612" s="17" t="s">
        <v>457</v>
      </c>
      <c r="M612" s="17" t="s">
        <v>458</v>
      </c>
      <c r="N612" s="21" t="s">
        <v>54</v>
      </c>
      <c r="O612" s="22" t="s">
        <v>54</v>
      </c>
      <c r="P612" s="21" t="s">
        <v>54</v>
      </c>
    </row>
    <row r="613" ht="65" customHeight="1" spans="1:16">
      <c r="A613" s="17" t="s">
        <v>2149</v>
      </c>
      <c r="B613" s="17" t="s">
        <v>422</v>
      </c>
      <c r="C613" s="17" t="s">
        <v>1526</v>
      </c>
      <c r="D613" s="17" t="s">
        <v>2150</v>
      </c>
      <c r="E613" s="17" t="s">
        <v>2151</v>
      </c>
      <c r="F613" s="17" t="s">
        <v>1539</v>
      </c>
      <c r="G613" s="17" t="s">
        <v>11</v>
      </c>
      <c r="H613" s="17" t="s">
        <v>2152</v>
      </c>
      <c r="I613" s="17" t="s">
        <v>2142</v>
      </c>
      <c r="J613" s="17" t="s">
        <v>54</v>
      </c>
      <c r="K613" s="17" t="s">
        <v>469</v>
      </c>
      <c r="L613" s="17" t="s">
        <v>2153</v>
      </c>
      <c r="M613" s="17" t="s">
        <v>471</v>
      </c>
      <c r="N613" s="21" t="s">
        <v>54</v>
      </c>
      <c r="O613" s="22" t="s">
        <v>54</v>
      </c>
      <c r="P613" s="21" t="s">
        <v>54</v>
      </c>
    </row>
    <row r="614" ht="65" customHeight="1" spans="1:16">
      <c r="A614" s="17" t="s">
        <v>2154</v>
      </c>
      <c r="B614" s="17" t="s">
        <v>424</v>
      </c>
      <c r="C614" s="17" t="s">
        <v>1526</v>
      </c>
      <c r="D614" s="17" t="s">
        <v>2155</v>
      </c>
      <c r="E614" s="17" t="s">
        <v>2156</v>
      </c>
      <c r="F614" s="17" t="s">
        <v>2157</v>
      </c>
      <c r="G614" s="17" t="s">
        <v>7</v>
      </c>
      <c r="H614" s="17" t="s">
        <v>54</v>
      </c>
      <c r="I614" s="17" t="s">
        <v>2158</v>
      </c>
      <c r="J614" s="20" t="s">
        <v>2159</v>
      </c>
      <c r="K614" s="17" t="s">
        <v>54</v>
      </c>
      <c r="L614" s="17" t="s">
        <v>457</v>
      </c>
      <c r="M614" s="17" t="s">
        <v>458</v>
      </c>
      <c r="N614" s="21" t="s">
        <v>54</v>
      </c>
      <c r="O614" s="22" t="s">
        <v>54</v>
      </c>
      <c r="P614" s="21" t="s">
        <v>54</v>
      </c>
    </row>
    <row r="615" ht="52" customHeight="1" spans="1:16">
      <c r="A615" s="17" t="s">
        <v>2160</v>
      </c>
      <c r="B615" s="17" t="s">
        <v>424</v>
      </c>
      <c r="C615" s="17" t="s">
        <v>1526</v>
      </c>
      <c r="D615" s="17" t="s">
        <v>2161</v>
      </c>
      <c r="E615" s="17" t="s">
        <v>2162</v>
      </c>
      <c r="F615" s="17" t="s">
        <v>1539</v>
      </c>
      <c r="G615" s="17" t="s">
        <v>11</v>
      </c>
      <c r="H615" s="17" t="s">
        <v>2163</v>
      </c>
      <c r="I615" s="17" t="s">
        <v>2158</v>
      </c>
      <c r="J615" s="20" t="s">
        <v>2164</v>
      </c>
      <c r="K615" s="17" t="s">
        <v>1542</v>
      </c>
      <c r="L615" s="17" t="s">
        <v>2165</v>
      </c>
      <c r="M615" s="17" t="s">
        <v>471</v>
      </c>
      <c r="N615" s="21" t="s">
        <v>54</v>
      </c>
      <c r="O615" s="22" t="s">
        <v>54</v>
      </c>
      <c r="P615" s="21" t="s">
        <v>54</v>
      </c>
    </row>
    <row r="616" ht="65" customHeight="1" spans="1:16">
      <c r="A616" s="17" t="s">
        <v>2166</v>
      </c>
      <c r="B616" s="17" t="s">
        <v>424</v>
      </c>
      <c r="C616" s="17" t="s">
        <v>1526</v>
      </c>
      <c r="D616" s="17" t="s">
        <v>2167</v>
      </c>
      <c r="E616" s="17" t="s">
        <v>2168</v>
      </c>
      <c r="F616" s="17" t="s">
        <v>1539</v>
      </c>
      <c r="G616" s="17" t="s">
        <v>11</v>
      </c>
      <c r="H616" s="17" t="s">
        <v>2169</v>
      </c>
      <c r="I616" s="17" t="s">
        <v>2158</v>
      </c>
      <c r="J616" s="20" t="s">
        <v>2170</v>
      </c>
      <c r="K616" s="17" t="s">
        <v>491</v>
      </c>
      <c r="L616" s="17" t="s">
        <v>2171</v>
      </c>
      <c r="M616" s="17" t="s">
        <v>471</v>
      </c>
      <c r="N616" s="21" t="s">
        <v>54</v>
      </c>
      <c r="O616" s="22" t="s">
        <v>54</v>
      </c>
      <c r="P616" s="21" t="s">
        <v>54</v>
      </c>
    </row>
    <row r="617" ht="52" customHeight="1" spans="1:16">
      <c r="A617" s="17" t="s">
        <v>2172</v>
      </c>
      <c r="B617" s="17" t="s">
        <v>427</v>
      </c>
      <c r="C617" s="17" t="s">
        <v>1526</v>
      </c>
      <c r="D617" s="17" t="s">
        <v>2173</v>
      </c>
      <c r="E617" s="17" t="s">
        <v>2174</v>
      </c>
      <c r="F617" s="17" t="s">
        <v>1539</v>
      </c>
      <c r="G617" s="17" t="s">
        <v>11</v>
      </c>
      <c r="H617" s="17" t="s">
        <v>2175</v>
      </c>
      <c r="I617" s="17" t="s">
        <v>2176</v>
      </c>
      <c r="J617" s="17" t="s">
        <v>54</v>
      </c>
      <c r="K617" s="17" t="s">
        <v>491</v>
      </c>
      <c r="L617" s="17" t="s">
        <v>2177</v>
      </c>
      <c r="M617" s="17" t="s">
        <v>471</v>
      </c>
      <c r="N617" s="21" t="s">
        <v>54</v>
      </c>
      <c r="O617" s="22" t="s">
        <v>54</v>
      </c>
      <c r="P617" s="21" t="s">
        <v>54</v>
      </c>
    </row>
    <row r="618" ht="65" customHeight="1" spans="1:16">
      <c r="A618" s="17" t="s">
        <v>2178</v>
      </c>
      <c r="B618" s="17" t="s">
        <v>427</v>
      </c>
      <c r="C618" s="17" t="s">
        <v>1526</v>
      </c>
      <c r="D618" s="17" t="s">
        <v>2179</v>
      </c>
      <c r="E618" s="17" t="s">
        <v>2180</v>
      </c>
      <c r="F618" s="17" t="s">
        <v>1539</v>
      </c>
      <c r="G618" s="17" t="s">
        <v>11</v>
      </c>
      <c r="H618" s="17" t="s">
        <v>2181</v>
      </c>
      <c r="I618" s="17" t="s">
        <v>2176</v>
      </c>
      <c r="J618" s="20" t="s">
        <v>1896</v>
      </c>
      <c r="K618" s="17" t="s">
        <v>1542</v>
      </c>
      <c r="L618" s="17" t="s">
        <v>2182</v>
      </c>
      <c r="M618" s="17" t="s">
        <v>471</v>
      </c>
      <c r="N618" s="21" t="s">
        <v>54</v>
      </c>
      <c r="O618" s="22" t="s">
        <v>54</v>
      </c>
      <c r="P618" s="21" t="s">
        <v>54</v>
      </c>
    </row>
    <row r="619" ht="52" customHeight="1" spans="1:16">
      <c r="A619" s="17" t="s">
        <v>2183</v>
      </c>
      <c r="B619" s="17" t="s">
        <v>427</v>
      </c>
      <c r="C619" s="17" t="s">
        <v>1526</v>
      </c>
      <c r="D619" s="17" t="s">
        <v>2184</v>
      </c>
      <c r="E619" s="17" t="s">
        <v>2185</v>
      </c>
      <c r="F619" s="17" t="s">
        <v>1539</v>
      </c>
      <c r="G619" s="17" t="s">
        <v>11</v>
      </c>
      <c r="H619" s="17" t="s">
        <v>2186</v>
      </c>
      <c r="I619" s="17" t="s">
        <v>2176</v>
      </c>
      <c r="J619" s="17" t="s">
        <v>54</v>
      </c>
      <c r="K619" s="17" t="s">
        <v>491</v>
      </c>
      <c r="L619" s="17" t="s">
        <v>2187</v>
      </c>
      <c r="M619" s="17" t="s">
        <v>471</v>
      </c>
      <c r="N619" s="21" t="s">
        <v>54</v>
      </c>
      <c r="O619" s="22" t="s">
        <v>54</v>
      </c>
      <c r="P619" s="21" t="s">
        <v>54</v>
      </c>
    </row>
    <row r="620" ht="52" customHeight="1" spans="1:16">
      <c r="A620" s="17" t="s">
        <v>2188</v>
      </c>
      <c r="B620" s="17" t="s">
        <v>427</v>
      </c>
      <c r="C620" s="17" t="s">
        <v>1526</v>
      </c>
      <c r="D620" s="17" t="s">
        <v>2189</v>
      </c>
      <c r="E620" s="17" t="s">
        <v>2190</v>
      </c>
      <c r="F620" s="17" t="s">
        <v>1539</v>
      </c>
      <c r="G620" s="17" t="s">
        <v>11</v>
      </c>
      <c r="H620" s="17" t="s">
        <v>2191</v>
      </c>
      <c r="I620" s="17" t="s">
        <v>2176</v>
      </c>
      <c r="J620" s="17" t="s">
        <v>54</v>
      </c>
      <c r="K620" s="17" t="s">
        <v>491</v>
      </c>
      <c r="L620" s="17" t="s">
        <v>2192</v>
      </c>
      <c r="M620" s="17" t="s">
        <v>471</v>
      </c>
      <c r="N620" s="21" t="s">
        <v>54</v>
      </c>
      <c r="O620" s="22" t="s">
        <v>54</v>
      </c>
      <c r="P620" s="21" t="s">
        <v>54</v>
      </c>
    </row>
    <row r="621" ht="78" customHeight="1" spans="1:16">
      <c r="A621" s="17" t="s">
        <v>2193</v>
      </c>
      <c r="B621" s="17" t="s">
        <v>429</v>
      </c>
      <c r="C621" s="17" t="s">
        <v>1526</v>
      </c>
      <c r="D621" s="17" t="s">
        <v>2194</v>
      </c>
      <c r="E621" s="17" t="s">
        <v>2195</v>
      </c>
      <c r="F621" s="17" t="s">
        <v>2196</v>
      </c>
      <c r="G621" s="17" t="s">
        <v>7</v>
      </c>
      <c r="H621" s="17" t="s">
        <v>54</v>
      </c>
      <c r="I621" s="17" t="s">
        <v>2197</v>
      </c>
      <c r="J621" s="20" t="s">
        <v>2198</v>
      </c>
      <c r="K621" s="17" t="s">
        <v>54</v>
      </c>
      <c r="L621" s="17" t="s">
        <v>457</v>
      </c>
      <c r="M621" s="17" t="s">
        <v>458</v>
      </c>
      <c r="N621" s="21" t="s">
        <v>54</v>
      </c>
      <c r="O621" s="22" t="s">
        <v>54</v>
      </c>
      <c r="P621" s="21" t="s">
        <v>54</v>
      </c>
    </row>
    <row r="622" ht="65" customHeight="1" spans="1:16">
      <c r="A622" s="17" t="s">
        <v>2199</v>
      </c>
      <c r="B622" s="17" t="s">
        <v>429</v>
      </c>
      <c r="C622" s="17" t="s">
        <v>1526</v>
      </c>
      <c r="D622" s="17" t="s">
        <v>2200</v>
      </c>
      <c r="E622" s="17" t="s">
        <v>2201</v>
      </c>
      <c r="F622" s="17" t="s">
        <v>2202</v>
      </c>
      <c r="G622" s="17" t="s">
        <v>7</v>
      </c>
      <c r="H622" s="17" t="s">
        <v>54</v>
      </c>
      <c r="I622" s="17" t="s">
        <v>2197</v>
      </c>
      <c r="J622" s="20" t="s">
        <v>2203</v>
      </c>
      <c r="K622" s="17" t="s">
        <v>54</v>
      </c>
      <c r="L622" s="17" t="s">
        <v>457</v>
      </c>
      <c r="M622" s="17" t="s">
        <v>458</v>
      </c>
      <c r="N622" s="21" t="s">
        <v>54</v>
      </c>
      <c r="O622" s="22" t="s">
        <v>54</v>
      </c>
      <c r="P622" s="21" t="s">
        <v>54</v>
      </c>
    </row>
    <row r="623" ht="65" customHeight="1" spans="1:16">
      <c r="A623" s="17" t="s">
        <v>2204</v>
      </c>
      <c r="B623" s="17" t="s">
        <v>429</v>
      </c>
      <c r="C623" s="17" t="s">
        <v>1526</v>
      </c>
      <c r="D623" s="17" t="s">
        <v>2205</v>
      </c>
      <c r="E623" s="17" t="s">
        <v>2206</v>
      </c>
      <c r="F623" s="17" t="s">
        <v>2207</v>
      </c>
      <c r="G623" s="17" t="s">
        <v>7</v>
      </c>
      <c r="H623" s="17" t="s">
        <v>54</v>
      </c>
      <c r="I623" s="17" t="s">
        <v>2197</v>
      </c>
      <c r="J623" s="20" t="s">
        <v>2208</v>
      </c>
      <c r="K623" s="17" t="s">
        <v>54</v>
      </c>
      <c r="L623" s="17" t="s">
        <v>457</v>
      </c>
      <c r="M623" s="17" t="s">
        <v>458</v>
      </c>
      <c r="N623" s="21" t="s">
        <v>54</v>
      </c>
      <c r="O623" s="22" t="s">
        <v>54</v>
      </c>
      <c r="P623" s="21" t="s">
        <v>54</v>
      </c>
    </row>
  </sheetData>
  <conditionalFormatting sqref="D17:D157">
    <cfRule type="cellIs" dxfId="0" priority="1" operator="equal">
      <formula>"通过"</formula>
    </cfRule>
    <cfRule type="cellIs" dxfId="1" priority="2" operator="equal">
      <formula>"不通过"</formula>
    </cfRule>
    <cfRule type="cellIs" dxfId="2" priority="3" operator="equal">
      <formula>"受阻"</formula>
    </cfRule>
    <cfRule type="cellIs" dxfId="3" priority="4" operator="equal">
      <formula>"未执行"</formula>
    </cfRule>
  </conditionalFormatting>
  <conditionalFormatting sqref="G166:G623">
    <cfRule type="cellIs" dxfId="0" priority="5" operator="equal">
      <formula>"通过"</formula>
    </cfRule>
    <cfRule type="cellIs" dxfId="1" priority="6" operator="equal">
      <formula>"不通过"</formula>
    </cfRule>
    <cfRule type="cellIs" dxfId="2" priority="7" operator="equal">
      <formula>"受阻"</formula>
    </cfRule>
    <cfRule type="cellIs" dxfId="3" priority="8" operator="equal">
      <formula>"未执行"</formula>
    </cfRule>
  </conditionalFormatting>
  <dataValidations count="2">
    <dataValidation type="list" sqref="D17:D157 G166:G623 K17:K157">
      <formula1>"通过,不通过,受阻,未执行,不适用"</formula1>
    </dataValidation>
    <dataValidation type="list" sqref="E17:E157">
      <formula1>"本轮已复核,本轮未复核,本轮未重跑"</formula1>
    </dataValidation>
  </dataValidations>
  <hyperlinks>
    <hyperlink ref="D12" r:id="rId3" display="打开证据索引"/>
    <hyperlink ref="I17" location="'当前用例与补测'!A166" display="查看步骤/补测"/>
    <hyperlink ref="I18" location="'当前用例与补测'!A169" display="查看步骤/补测"/>
    <hyperlink ref="I19" location="'当前用例与补测'!A172" display="查看步骤/补测"/>
    <hyperlink ref="I20" location="'当前用例与补测'!A175" display="查看步骤/补测"/>
    <hyperlink ref="I21" location="'当前用例与补测'!A178" display="查看步骤/补测"/>
    <hyperlink ref="I22" location="'当前用例与补测'!A182" display="查看步骤/补测"/>
    <hyperlink ref="I23" location="'当前用例与补测'!A185" display="查看步骤/补测"/>
    <hyperlink ref="I24" location="'当前用例与补测'!A188" display="查看步骤/补测"/>
    <hyperlink ref="I25" location="'当前用例与补测'!A191" display="查看步骤/补测"/>
    <hyperlink ref="I26" location="'当前用例与补测'!A194" display="查看步骤/补测"/>
    <hyperlink ref="I27" location="'当前用例与补测'!A197" display="查看步骤/补测"/>
    <hyperlink ref="I28" location="'当前用例与补测'!A200" display="查看步骤/补测"/>
    <hyperlink ref="I29" location="'当前用例与补测'!A203" display="查看步骤/补测"/>
    <hyperlink ref="I30" location="'当前用例与补测'!A206" display="查看步骤/补测"/>
    <hyperlink ref="I31" location="'当前用例与补测'!A209" display="查看步骤/补测"/>
    <hyperlink ref="I32" location="'当前用例与补测'!A212" display="查看步骤/补测"/>
    <hyperlink ref="I33" location="'当前用例与补测'!A215" display="查看步骤/补测"/>
    <hyperlink ref="I34" location="'当前用例与补测'!A218" display="查看步骤/补测"/>
    <hyperlink ref="I35" location="'当前用例与补测'!A221" display="查看步骤/补测"/>
    <hyperlink ref="I36" location="'当前用例与补测'!A224" display="查看步骤/补测"/>
    <hyperlink ref="I37" location="'当前用例与补测'!A227" display="查看步骤/补测"/>
    <hyperlink ref="I38" location="'当前用例与补测'!A230" display="查看步骤/补测"/>
    <hyperlink ref="I39" location="'当前用例与补测'!A233" display="查看步骤/补测"/>
    <hyperlink ref="I40" location="'当前用例与补测'!A236" display="查看步骤/补测"/>
    <hyperlink ref="I41" location="'当前用例与补测'!A239" display="查看步骤/补测"/>
    <hyperlink ref="I42" location="'当前用例与补测'!A242" display="查看步骤/补测"/>
    <hyperlink ref="I43" location="'当前用例与补测'!A245" display="查看步骤/补测"/>
    <hyperlink ref="I44" location="'当前用例与补测'!A247" display="查看步骤/补测"/>
    <hyperlink ref="I45" location="'当前用例与补测'!A249" display="查看步骤/补测"/>
    <hyperlink ref="I46" location="'当前用例与补测'!A250" display="查看步骤/补测"/>
    <hyperlink ref="I47" location="'当前用例与补测'!A251" display="查看步骤/补测"/>
    <hyperlink ref="I48" location="'当前用例与补测'!A254" display="查看步骤/补测"/>
    <hyperlink ref="I49" location="'当前用例与补测'!A258" display="查看步骤/补测"/>
    <hyperlink ref="I50" location="'当前用例与补测'!A262" display="查看步骤/补测"/>
    <hyperlink ref="I51" location="'当前用例与补测'!A266" display="查看步骤/补测"/>
    <hyperlink ref="I52" location="'当前用例与补测'!A270" display="查看步骤/补测"/>
    <hyperlink ref="I53" location="'当前用例与补测'!A274" display="查看步骤/补测"/>
    <hyperlink ref="I54" location="'当前用例与补测'!A278" display="查看步骤/补测"/>
    <hyperlink ref="I55" location="'当前用例与补测'!A281" display="查看步骤/补测"/>
    <hyperlink ref="I56" location="'当前用例与补测'!A285" display="查看步骤/补测"/>
    <hyperlink ref="I57" location="'当前用例与补测'!A289" display="查看步骤/补测"/>
    <hyperlink ref="I58" location="'当前用例与补测'!A293" display="查看步骤/补测"/>
    <hyperlink ref="I59" location="'当前用例与补测'!A296" display="查看步骤/补测"/>
    <hyperlink ref="I60" location="'当前用例与补测'!A300" display="查看步骤/补测"/>
    <hyperlink ref="I61" location="'当前用例与补测'!A304" display="查看步骤/补测"/>
    <hyperlink ref="I62" location="'当前用例与补测'!A308" display="查看步骤/补测"/>
    <hyperlink ref="I63" location="'当前用例与补测'!A312" display="查看步骤/补测"/>
    <hyperlink ref="I64" location="'当前用例与补测'!A316" display="查看步骤/补测"/>
    <hyperlink ref="I65" location="'当前用例与补测'!A319" display="查看步骤/补测"/>
    <hyperlink ref="I66" location="'当前用例与补测'!A323" display="查看步骤/补测"/>
    <hyperlink ref="I67" location="'当前用例与补测'!A326" display="查看步骤/补测"/>
    <hyperlink ref="I68" location="'当前用例与补测'!A329" display="查看步骤/补测"/>
    <hyperlink ref="I69" location="'当前用例与补测'!A332" display="查看步骤/补测"/>
    <hyperlink ref="I70" location="'当前用例与补测'!A335" display="查看步骤/补测"/>
    <hyperlink ref="I71" location="'当前用例与补测'!A338" display="查看步骤/补测"/>
    <hyperlink ref="I72" location="'当前用例与补测'!A342" display="查看步骤/补测"/>
    <hyperlink ref="I73" location="'当前用例与补测'!A345" display="查看步骤/补测"/>
    <hyperlink ref="I74" location="'当前用例与补测'!A348" display="查看步骤/补测"/>
    <hyperlink ref="I75" location="'当前用例与补测'!A352" display="查看步骤/补测"/>
    <hyperlink ref="I76" location="'当前用例与补测'!A356" display="查看步骤/补测"/>
    <hyperlink ref="I77" location="'当前用例与补测'!A359" display="查看步骤/补测"/>
    <hyperlink ref="I78" location="'当前用例与补测'!A363" display="查看步骤/补测"/>
    <hyperlink ref="I79" location="'当前用例与补测'!A367" display="查看步骤/补测"/>
    <hyperlink ref="I80" location="'当前用例与补测'!A371" display="查看步骤/补测"/>
    <hyperlink ref="I81" location="'当前用例与补测'!A374" display="查看步骤/补测"/>
    <hyperlink ref="I82" location="'当前用例与补测'!A377" display="查看步骤/补测"/>
    <hyperlink ref="I83" location="'当前用例与补测'!A381" display="查看步骤/补测"/>
    <hyperlink ref="I84" location="'当前用例与补测'!A385" display="查看步骤/补测"/>
    <hyperlink ref="I85" location="'当前用例与补测'!A389" display="查看步骤/补测"/>
    <hyperlink ref="I86" location="'当前用例与补测'!A393" display="查看步骤/补测"/>
    <hyperlink ref="I87" location="'当前用例与补测'!A396" display="查看步骤/补测"/>
    <hyperlink ref="I88" location="'当前用例与补测'!A400" display="查看步骤/补测"/>
    <hyperlink ref="I89" location="'当前用例与补测'!A404" display="查看步骤/补测"/>
    <hyperlink ref="I90" location="'当前用例与补测'!A407" display="查看步骤/补测"/>
    <hyperlink ref="I91" location="'当前用例与补测'!A410" display="查看步骤/补测"/>
    <hyperlink ref="I92" location="'当前用例与补测'!A413" display="查看步骤/补测"/>
    <hyperlink ref="I93" location="'当前用例与补测'!A417" display="查看步骤/补测"/>
    <hyperlink ref="I94" location="'当前用例与补测'!A421" display="查看步骤/补测"/>
    <hyperlink ref="I95" location="'当前用例与补测'!A424" display="查看步骤/补测"/>
    <hyperlink ref="I96" location="'当前用例与补测'!A427" display="查看步骤/补测"/>
    <hyperlink ref="I97" location="'当前用例与补测'!A430" display="查看步骤/补测"/>
    <hyperlink ref="I98" location="'当前用例与补测'!A433" display="查看步骤/补测"/>
    <hyperlink ref="I99" location="'当前用例与补测'!A436" display="查看步骤/补测"/>
    <hyperlink ref="I100" location="'当前用例与补测'!A440" display="查看步骤/补测"/>
    <hyperlink ref="I101" location="'当前用例与补测'!A443" display="查看步骤/补测"/>
    <hyperlink ref="I102" location="'当前用例与补测'!A446" display="查看步骤/补测"/>
    <hyperlink ref="I103" location="'当前用例与补测'!A449" display="查看步骤/补测"/>
    <hyperlink ref="I104" location="'当前用例与补测'!A452" display="查看步骤/补测"/>
    <hyperlink ref="I105" location="'当前用例与补测'!A455" display="查看步骤/补测"/>
    <hyperlink ref="I106" location="'当前用例与补测'!A458" display="查看步骤/补测"/>
    <hyperlink ref="I107" location="'当前用例与补测'!A461" display="查看步骤/补测"/>
    <hyperlink ref="I108" location="'当前用例与补测'!A464" display="查看步骤/补测"/>
    <hyperlink ref="I109" location="'当前用例与补测'!A467" display="查看步骤/补测"/>
    <hyperlink ref="I110" location="'当前用例与补测'!A470" display="查看步骤/补测"/>
    <hyperlink ref="I111" location="'当前用例与补测'!A473" display="查看步骤/补测"/>
    <hyperlink ref="I112" location="'当前用例与补测'!A477" display="查看步骤/补测"/>
    <hyperlink ref="I113" location="'当前用例与补测'!A480" display="查看步骤/补测"/>
    <hyperlink ref="I114" location="'当前用例与补测'!A483" display="查看步骤/补测"/>
    <hyperlink ref="I115" location="'当前用例与补测'!A486" display="查看步骤/补测"/>
    <hyperlink ref="I116" location="'当前用例与补测'!A489" display="查看步骤/补测"/>
    <hyperlink ref="I117" location="'当前用例与补测'!A492" display="查看步骤/补测"/>
    <hyperlink ref="I118" location="'当前用例与补测'!A495" display="查看步骤/补测"/>
    <hyperlink ref="I119" location="'当前用例与补测'!A498" display="查看步骤/补测"/>
    <hyperlink ref="I120" location="'当前用例与补测'!A501" display="查看步骤/补测"/>
    <hyperlink ref="I121" location="'当前用例与补测'!A504" display="查看步骤/补测"/>
    <hyperlink ref="I122" location="'当前用例与补测'!A507" display="查看步骤/补测"/>
    <hyperlink ref="I123" location="'当前用例与补测'!A510" display="查看步骤/补测"/>
    <hyperlink ref="I124" location="'当前用例与补测'!A513" display="查看步骤/补测"/>
    <hyperlink ref="I125" location="'当前用例与补测'!A516" display="查看步骤/补测"/>
    <hyperlink ref="I126" location="'当前用例与补测'!A519" display="查看步骤/补测"/>
    <hyperlink ref="I127" location="'当前用例与补测'!A522" display="查看步骤/补测"/>
    <hyperlink ref="I128" location="'当前用例与补测'!A525" display="查看步骤/补测"/>
    <hyperlink ref="I129" location="'当前用例与补测'!A529" display="查看步骤/补测"/>
    <hyperlink ref="I130" location="'当前用例与补测'!A532" display="查看步骤/补测"/>
    <hyperlink ref="I131" location="'当前用例与补测'!A535" display="查看步骤/补测"/>
    <hyperlink ref="I132" location="'当前用例与补测'!A538" display="查看步骤/补测"/>
    <hyperlink ref="I133" location="'当前用例与补测'!A541" display="查看步骤/补测"/>
    <hyperlink ref="I134" location="'当前用例与补测'!A545" display="查看步骤/补测"/>
    <hyperlink ref="I135" location="'当前用例与补测'!A548" display="查看步骤/补测"/>
    <hyperlink ref="I136" location="'当前用例与补测'!A551" display="查看步骤/补测"/>
    <hyperlink ref="I137" location="'当前用例与补测'!A554" display="查看步骤/补测"/>
    <hyperlink ref="I138" location="'当前用例与补测'!A557" display="查看步骤/补测"/>
    <hyperlink ref="I139" location="'当前用例与补测'!A560" display="查看步骤/补测"/>
    <hyperlink ref="I140" location="'当前用例与补测'!A563" display="查看步骤/补测"/>
    <hyperlink ref="I141" location="'当前用例与补测'!A566" display="查看步骤/补测"/>
    <hyperlink ref="I142" location="'当前用例与补测'!A569" display="查看步骤/补测"/>
    <hyperlink ref="I143" location="'当前用例与补测'!A572" display="查看步骤/补测"/>
    <hyperlink ref="I144" location="'当前用例与补测'!A576" display="查看步骤/补测"/>
    <hyperlink ref="I145" location="'当前用例与补测'!A579" display="查看步骤/补测"/>
    <hyperlink ref="I146" location="'当前用例与补测'!A583" display="查看步骤/补测"/>
    <hyperlink ref="I147" location="'当前用例与补测'!A586" display="查看步骤/补测"/>
    <hyperlink ref="I148" location="'当前用例与补测'!A589" display="查看步骤/补测"/>
    <hyperlink ref="I149" location="'当前用例与补测'!A593" display="查看步骤/补测"/>
    <hyperlink ref="I150" location="'当前用例与补测'!A597" display="查看步骤/补测"/>
    <hyperlink ref="I151" location="'当前用例与补测'!A601" display="查看步骤/补测"/>
    <hyperlink ref="I152" location="'当前用例与补测'!A604" display="查看步骤/补测"/>
    <hyperlink ref="I153" location="'当前用例与补测'!A607" display="查看步骤/补测"/>
    <hyperlink ref="I154" location="'当前用例与补测'!A611" display="查看步骤/补测"/>
    <hyperlink ref="I155" location="'当前用例与补测'!A614" display="查看步骤/补测"/>
    <hyperlink ref="I156" location="'当前用例与补测'!A617" display="查看步骤/补测"/>
    <hyperlink ref="I157" location="'当前用例与补测'!A621" display="查看步骤/补测"/>
    <hyperlink ref="J166" r:id="rId4" display="查看 R18-loaded、C09-cards-and-tabs"/>
    <hyperlink ref="J167" r:id="rId4" display="查看 R18-loaded、F04-fee-create"/>
    <hyperlink ref="J168" r:id="rId5" display="查看 F04-fee-create、F08-fee-create-cancel"/>
    <hyperlink ref="J169" r:id="rId5" display="查看 F04-fee-create"/>
    <hyperlink ref="J170" r:id="rId6" display="查看 F07-fee-duplicate-result"/>
    <hyperlink ref="J171" r:id="rId6" display="查看 F07-fee-duplicate-result"/>
    <hyperlink ref="J172" r:id="rId7" display="查看 R19-loaded、C07-switch-currency"/>
    <hyperlink ref="J173" r:id="rId8" display="查看 C03-rate-metrics、C08-switch-rate"/>
    <hyperlink ref="J174" r:id="rId9" display="查看 C07-switch-currency、C08-switch-rate"/>
    <hyperlink ref="J175" r:id="rId10" display="查看 R20-loaded"/>
    <hyperlink ref="J176" r:id="rId10" display="查看 R20-loaded"/>
    <hyperlink ref="J177" r:id="rId10" display="查看 R20-loaded"/>
    <hyperlink ref="J178" r:id="rId11" display="查看 D01-dictionary-create、D02-dictionary-cancel"/>
    <hyperlink ref="J179" r:id="rId12" display="查看 R17-loaded、D01-dictionary-create"/>
    <hyperlink ref="J180" r:id="rId12" display="查看 R17-loaded、D01-dictionary-create"/>
    <hyperlink ref="J181" r:id="rId11" display="查看 D01-dictionary-create、D02-dictionary-cancel"/>
    <hyperlink ref="J182" r:id="rId13" display="查看 R13-loaded、R17-loaded"/>
    <hyperlink ref="J183" r:id="rId14" display="查看 R13-reset、R17-reset"/>
    <hyperlink ref="J184" r:id="rId15" display="查看 D02-dictionary-cancel"/>
    <hyperlink ref="J185" r:id="rId16" display="查看 M02-country-empty"/>
    <hyperlink ref="J186" r:id="rId16" display="查看 M02-country-empty"/>
    <hyperlink ref="J187" r:id="rId17" display="查看 M01-country-baseline、M03-country-reset"/>
    <hyperlink ref="J188" r:id="rId18" display="查看 R4-empty"/>
    <hyperlink ref="J189" r:id="rId18" display="查看 R4-empty"/>
    <hyperlink ref="J190" r:id="rId19" display="查看 R4-loaded、R4-reset"/>
    <hyperlink ref="J191" r:id="rId20" display="查看 R5-empty"/>
    <hyperlink ref="J192" r:id="rId20" display="查看 R5-empty"/>
    <hyperlink ref="J193" r:id="rId21" display="查看 R5-loaded、R5-reset"/>
    <hyperlink ref="J194" r:id="rId22" display="查看 R6-empty"/>
    <hyperlink ref="J195" r:id="rId22" display="查看 R6-empty"/>
    <hyperlink ref="J196" r:id="rId23" display="查看 R6-loaded、R6-reset"/>
    <hyperlink ref="J197" r:id="rId24" display="查看 R7-empty"/>
    <hyperlink ref="J198" r:id="rId24" display="查看 R7-empty"/>
    <hyperlink ref="J199" r:id="rId25" display="查看 R7-loaded、R7-reset"/>
    <hyperlink ref="J200" r:id="rId26" display="查看 R8-empty"/>
    <hyperlink ref="J201" r:id="rId26" display="查看 R8-empty"/>
    <hyperlink ref="J202" r:id="rId27" display="查看 R8-loaded、R8-reset"/>
    <hyperlink ref="J203" r:id="rId28" display="查看 R9-empty"/>
    <hyperlink ref="J204" r:id="rId28" display="查看 R9-empty"/>
    <hyperlink ref="J205" r:id="rId29" display="查看 R9-loaded、R9-reset"/>
    <hyperlink ref="J206" r:id="rId30" display="查看 R10-empty"/>
    <hyperlink ref="J207" r:id="rId30" display="查看 R10-empty"/>
    <hyperlink ref="J208" r:id="rId31" display="查看 R10-loaded、R10-reset"/>
    <hyperlink ref="J209" r:id="rId32" display="查看 R11-empty"/>
    <hyperlink ref="J210" r:id="rId32" display="查看 R11-empty"/>
    <hyperlink ref="J211" r:id="rId33" display="查看 R11-loaded、R11-reset"/>
    <hyperlink ref="J212" r:id="rId34" display="查看 R12-empty"/>
    <hyperlink ref="J213" r:id="rId34" display="查看 R12-empty"/>
    <hyperlink ref="J214" r:id="rId35" display="查看 R12-loaded、R12-reset"/>
    <hyperlink ref="J215" r:id="rId36" display="查看 R13-empty"/>
    <hyperlink ref="J216" r:id="rId36" display="查看 R13-empty"/>
    <hyperlink ref="J217" r:id="rId13" display="查看 R13-loaded、R13-reset"/>
    <hyperlink ref="J218" r:id="rId37" display="查看 R14-empty"/>
    <hyperlink ref="J219" r:id="rId37" display="查看 R14-empty"/>
    <hyperlink ref="J220" r:id="rId38" display="查看 R14-loaded、R14-reset"/>
    <hyperlink ref="J221" r:id="rId39" display="查看 R15-empty"/>
    <hyperlink ref="J222" r:id="rId39" display="查看 R15-empty"/>
    <hyperlink ref="J223" r:id="rId40" display="查看 R15-loaded、R15-reset"/>
    <hyperlink ref="J224" r:id="rId41" display="查看 R16-empty"/>
    <hyperlink ref="J225" r:id="rId41" display="查看 R16-empty"/>
    <hyperlink ref="J226" r:id="rId42" display="查看 R16-loaded、R16-reset"/>
    <hyperlink ref="J227" r:id="rId43" display="查看 R17-empty"/>
    <hyperlink ref="J228" r:id="rId43" display="查看 R17-empty"/>
    <hyperlink ref="J229" r:id="rId12" display="查看 R17-loaded、R17-reset"/>
    <hyperlink ref="J230" r:id="rId44" display="查看 R18-empty"/>
    <hyperlink ref="J231" r:id="rId44" display="查看 R18-empty"/>
    <hyperlink ref="J232" r:id="rId4" display="查看 R18-loaded、R18-reset"/>
    <hyperlink ref="J233" r:id="rId45" display="查看 R19-empty"/>
    <hyperlink ref="J234" r:id="rId45" display="查看 R19-empty"/>
    <hyperlink ref="J235" r:id="rId7" display="查看 R19-loaded、R19-reset"/>
    <hyperlink ref="J236" r:id="rId46" display="查看 R20-empty"/>
    <hyperlink ref="J237" r:id="rId46" display="查看 R20-empty"/>
    <hyperlink ref="J238" r:id="rId10" display="查看 R20-loaded、R20-reset"/>
    <hyperlink ref="J239" r:id="rId47" display="查看 S19-relation-empty"/>
    <hyperlink ref="J240" r:id="rId47" display="查看 S19-relation-empty"/>
    <hyperlink ref="J241" r:id="rId48" display="查看 S19-relation-loaded、S19-relation-reset"/>
    <hyperlink ref="J242" r:id="rId49" display="查看 S20-relation-empty"/>
    <hyperlink ref="J243" r:id="rId49" display="查看 S20-relation-empty"/>
    <hyperlink ref="J244" r:id="rId50" display="查看 S20-relation-loaded、S20-relation-reset"/>
    <hyperlink ref="J245" r:id="rId51" display="查看 F01-fee-edit"/>
    <hyperlink ref="J246" r:id="rId52" display="查看 F02-fee-edit-unsaved、F03-fee-edit-cancel"/>
    <hyperlink ref="J247" r:id="rId53" display="查看 F05-fee-empty-submit"/>
    <hyperlink ref="J248" r:id="rId54" display="查看 F06-fee-duplicate-ready、F07-fee-duplicate-result、F08-fee-create-cancel"/>
    <hyperlink ref="J249" r:id="rId55" display="查看 C01-currency-edit"/>
    <hyperlink ref="J250" r:id="rId56" display="查看 C04-rate-edit、C05-rate-end-unsaved、C06-rate-cancel"/>
    <hyperlink ref="J251" r:id="rId57" display="查看 C03-rate-visual"/>
    <hyperlink ref="J252" r:id="rId57" display="查看 C03-rate-visual、C03-rate-metrics"/>
    <hyperlink ref="J253" r:id="rId58" display="查看 C09-cards-and-tabs、C09-card-measurement"/>
    <hyperlink ref="J495" r:id="rId59" display="查看 T01-list-baseline"/>
    <hyperlink ref="J496" r:id="rId59" display="查看 T01-list-baseline"/>
    <hyperlink ref="J497" r:id="rId60" display="查看 T13-container-metrics"/>
    <hyperlink ref="J498" r:id="rId59" display="查看 T01-list-baseline"/>
    <hyperlink ref="J499" r:id="rId59" display="查看 T01-list-baseline、T13-container-metrics"/>
    <hyperlink ref="J500" r:id="rId59" display="查看 T01-list-baseline"/>
    <hyperlink ref="J501" r:id="rId59" display="查看 T01-list-baseline、T13-container-metrics"/>
    <hyperlink ref="J502" r:id="rId61" display="查看 T16-tablet-horizontal"/>
    <hyperlink ref="J503" r:id="rId62" display="查看 T14-list-1280、T15-list-1024、T16-tablet-horizontal"/>
    <hyperlink ref="J504" r:id="rId59" display="查看 T01-list-baseline"/>
    <hyperlink ref="J505" r:id="rId59" display="查看 T01-list-baseline"/>
    <hyperlink ref="J506" r:id="rId63" display="查看 T06-selected"/>
    <hyperlink ref="J507" r:id="rId59" display="查看 T01-list-baseline"/>
    <hyperlink ref="J508" r:id="rId59" display="查看 T01-list-baseline"/>
    <hyperlink ref="J509" r:id="rId59" display="查看 T01-list-baseline"/>
    <hyperlink ref="J510" r:id="rId64" display="查看 T03-query-empty"/>
    <hyperlink ref="J511" r:id="rId64" display="查看 T03-query-empty"/>
    <hyperlink ref="J512" r:id="rId65" display="查看 T04-reset-restored"/>
    <hyperlink ref="J513" r:id="rId65" display="查看 T04-reset-restored"/>
    <hyperlink ref="J514" r:id="rId65" display="查看 T04-reset-restored"/>
    <hyperlink ref="J515" r:id="rId66" display="查看 T05-valid-filter"/>
    <hyperlink ref="J516" r:id="rId63" display="查看 T06-selected"/>
    <hyperlink ref="J517" r:id="rId63" display="查看 T06-selected"/>
    <hyperlink ref="J518" r:id="rId67" display="查看 T08-selection-cleared"/>
    <hyperlink ref="J519" r:id="rId63" display="查看 T06-selected"/>
    <hyperlink ref="J520" r:id="rId61" display="查看 T16-tablet-horizontal"/>
    <hyperlink ref="J521" r:id="rId67" display="查看 T08-selection-cleared"/>
    <hyperlink ref="J522" r:id="rId68" display="查看 T07-delete-confirm"/>
    <hyperlink ref="J523" r:id="rId68" display="查看 T07-delete-confirm"/>
    <hyperlink ref="J524" r:id="rId67" display="查看 T08-selection-cleared"/>
    <hyperlink ref="J525" r:id="rId69" display="查看 T18-drawer-loaded"/>
    <hyperlink ref="J526" r:id="rId70" display="查看 T43-drawer-tablet"/>
    <hyperlink ref="J527" r:id="rId71" display="查看 T44-final-list"/>
    <hyperlink ref="J528" r:id="rId72" display="查看 T17-drawer-loading、T19-drawer-current"/>
    <hyperlink ref="J529" r:id="rId73" display="查看 T23-form-required"/>
    <hyperlink ref="J530" r:id="rId73" display="查看 T23-form-required、T27-form-tablet"/>
    <hyperlink ref="J531" r:id="rId74" display="查看 T24-field-corrected"/>
    <hyperlink ref="J532" r:id="rId75" display="查看 T25-form-association"/>
    <hyperlink ref="J533" r:id="rId75" display="查看 T25-form-association"/>
    <hyperlink ref="J538" r:id="rId76" display="查看 T26-note-199"/>
    <hyperlink ref="J539" r:id="rId77" display="查看 T26-note-200"/>
    <hyperlink ref="J540" r:id="rId78" display="查看 T26-note-201"/>
    <hyperlink ref="J541" r:id="rId79" display="查看 T28-form-cancel"/>
    <hyperlink ref="J542" r:id="rId79" display="查看 T28-form-cancel"/>
    <hyperlink ref="J545" r:id="rId80" display="查看 T29-step-validation"/>
    <hyperlink ref="J546" r:id="rId81" display="查看 T30-step-next"/>
    <hyperlink ref="J547" r:id="rId82" display="查看 T31-step-return"/>
    <hyperlink ref="J548" r:id="rId83" display="查看 T36-import-spec"/>
    <hyperlink ref="J549" r:id="rId84" display="查看 T37-import-empty"/>
    <hyperlink ref="J550" r:id="rId85" display="查看 T38-import-reopen"/>
    <hyperlink ref="J551" r:id="rId86" display="查看 T35-refresh-login"/>
    <hyperlink ref="J552" r:id="rId86" display="查看 T35-refresh-login"/>
    <hyperlink ref="J554" r:id="rId71" display="查看 T44-final-list"/>
    <hyperlink ref="J560" r:id="rId87" display="查看 T27-form-tablet"/>
    <hyperlink ref="J561" r:id="rId87" display="查看 T27-form-tablet"/>
    <hyperlink ref="J562" r:id="rId87" display="查看 T27-form-tablet"/>
    <hyperlink ref="J566" r:id="rId88" display="查看 E01-403-display"/>
    <hyperlink ref="J567" r:id="rId89" display="查看 E02-403-return"/>
    <hyperlink ref="J568" r:id="rId88" display="查看 E01-403-display、E02-403-return"/>
    <hyperlink ref="J569" r:id="rId90" display="查看 E03-500-display"/>
    <hyperlink ref="J570" r:id="rId91" display="查看 E04-500-retry"/>
    <hyperlink ref="J571" r:id="rId92" display="查看 E05-500-return"/>
    <hyperlink ref="J572" r:id="rId93" display="查看 C01-components-entry"/>
    <hyperlink ref="J576" r:id="rId71" display="查看 T44-final-list"/>
    <hyperlink ref="J579" r:id="rId94" display="查看 T02-query-loading"/>
    <hyperlink ref="J583" r:id="rId95" display="查看 T09-half-selected"/>
    <hyperlink ref="J584" r:id="rId96" display="查看 T11-page2-selection"/>
    <hyperlink ref="J585" r:id="rId97" display="查看 T10-confirm-19、T11-page2-selection"/>
    <hyperlink ref="J587" r:id="rId98" display="查看 T12-last-page"/>
    <hyperlink ref="J592" r:id="rId59" display="查看 T01-list-baseline、C02-button-metrics"/>
    <hyperlink ref="J593" r:id="rId99" display="查看 C02-button-metrics"/>
    <hyperlink ref="J595" r:id="rId99" display="查看 C02-button-metrics"/>
    <hyperlink ref="J596" r:id="rId99" display="查看 C02-button-metrics"/>
    <hyperlink ref="J597" r:id="rId100" display="查看 C03-input-default"/>
    <hyperlink ref="J598" r:id="rId101" display="查看 C04-input-filled"/>
    <hyperlink ref="J599" r:id="rId73" display="查看 T23-form-required、T24-field-corrected"/>
    <hyperlink ref="J600" r:id="rId100" display="查看 C03-input-default"/>
    <hyperlink ref="J602" r:id="rId64" display="查看 T03-query-empty、T04-reset-restored"/>
    <hyperlink ref="J607" r:id="rId102" display="查看 C05-modal-default、C07-modal-large-stable"/>
    <hyperlink ref="J611" r:id="rId103" display="查看 T39-list-1279、T40-form-1279、T14-list-1280、T27-form-tablet"/>
    <hyperlink ref="J612" r:id="rId104" display="查看 T41-form-768、T42-list-768、T43-drawer-tablet、T44-final-list"/>
    <hyperlink ref="J614" r:id="rId105" display="查看 C08-upload-file-selected、C10-upload-retry-progress"/>
    <hyperlink ref="J615" r:id="rId106" display="查看 C11-upload-cancel"/>
    <hyperlink ref="J616" r:id="rId107" display="查看 C09-upload-auto-error、C10-upload-retry-progress"/>
    <hyperlink ref="J618" r:id="rId88" display="查看 E01-403-display"/>
    <hyperlink ref="J621" r:id="rId108" display="查看 C12-preview-small、C13-preview-landscape、C14a-preview-portrait-stable"/>
    <hyperlink ref="J622" r:id="rId109" display="查看 C15-preview-tablet"/>
    <hyperlink ref="J623" r:id="rId110" display="查看 C16-preview-exit"/>
  </hyperlinks>
  <pageMargins left="0.7" right="0.7" top="0.75" bottom="0.75" header="0.3" footer="0.3"/>
  <headerFooter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</sheetPr>
  <dimension ref="A1:T29"/>
  <sheetViews>
    <sheetView showGridLines="0" workbookViewId="0">
      <pane xSplit="4" ySplit="10" topLeftCell="E11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5"/>
  <cols>
    <col min="1" max="1" width="17" customWidth="1"/>
    <col min="2" max="2" width="23" customWidth="1"/>
    <col min="3" max="3" width="9" customWidth="1"/>
    <col min="4" max="4" width="25" customWidth="1"/>
    <col min="5" max="5" width="17" customWidth="1"/>
    <col min="6" max="6" width="24" customWidth="1"/>
    <col min="7" max="7" width="48" customWidth="1"/>
    <col min="8" max="8" width="46" customWidth="1"/>
    <col min="9" max="9" width="48" customWidth="1"/>
    <col min="10" max="10" width="28" customWidth="1"/>
    <col min="11" max="11" width="25" customWidth="1"/>
    <col min="12" max="12" width="42" customWidth="1"/>
    <col min="13" max="13" width="32" customWidth="1"/>
    <col min="14" max="15" width="20" customWidth="1"/>
    <col min="16" max="16" width="26" customWidth="1"/>
    <col min="17" max="18" width="20" customWidth="1"/>
    <col min="19" max="19" width="30" customWidth="1"/>
    <col min="20" max="20" width="25" customWidth="1"/>
  </cols>
  <sheetData>
    <row r="1" spans="1:20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ht="27" customHeight="1" spans="1:20">
      <c r="A2" s="18" t="s">
        <v>2209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</row>
    <row r="4" ht="52" customHeight="1" spans="1:20">
      <c r="A4" s="17" t="s">
        <v>2210</v>
      </c>
      <c r="B4" s="17" t="s">
        <v>2211</v>
      </c>
      <c r="C4" s="17" t="s">
        <v>2212</v>
      </c>
      <c r="D4" s="17" t="s">
        <v>2213</v>
      </c>
      <c r="E4" s="17" t="s">
        <v>15</v>
      </c>
      <c r="F4" s="17" t="s">
        <v>2214</v>
      </c>
      <c r="G4" s="17" t="s">
        <v>2215</v>
      </c>
      <c r="H4" s="17" t="s">
        <v>2216</v>
      </c>
      <c r="I4" s="17" t="s">
        <v>2217</v>
      </c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</row>
    <row r="5" spans="1:20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</row>
    <row r="6" ht="45" customHeight="1" spans="1:20">
      <c r="A6" s="17" t="s">
        <v>2218</v>
      </c>
      <c r="B6" s="17" t="s">
        <v>2219</v>
      </c>
      <c r="C6" s="17" t="s">
        <v>2220</v>
      </c>
      <c r="D6" s="17" t="s">
        <v>2221</v>
      </c>
      <c r="E6" s="17" t="s">
        <v>2222</v>
      </c>
      <c r="F6" s="17" t="s">
        <v>2223</v>
      </c>
      <c r="G6" s="17" t="s">
        <v>2224</v>
      </c>
      <c r="H6" s="17" t="s">
        <v>2225</v>
      </c>
      <c r="I6" s="17" t="s">
        <v>2226</v>
      </c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</row>
    <row r="7" spans="1:20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</row>
    <row r="8" ht="40" customHeight="1" spans="1:20">
      <c r="A8" s="17" t="s">
        <v>2227</v>
      </c>
      <c r="B8" s="17" t="s">
        <v>2228</v>
      </c>
      <c r="C8" s="17" t="s">
        <v>2229</v>
      </c>
      <c r="D8" s="17" t="s">
        <v>2230</v>
      </c>
      <c r="E8" s="17" t="s">
        <v>2231</v>
      </c>
      <c r="F8" s="17" t="s">
        <v>2232</v>
      </c>
      <c r="G8" s="17" t="s">
        <v>2233</v>
      </c>
      <c r="H8" s="17" t="s">
        <v>2234</v>
      </c>
      <c r="I8" s="17" t="s">
        <v>2235</v>
      </c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</row>
    <row r="9" spans="1:20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</row>
    <row r="10" ht="32" customHeight="1" spans="1:20">
      <c r="A10" s="19" t="s">
        <v>2236</v>
      </c>
      <c r="B10" s="19" t="s">
        <v>2237</v>
      </c>
      <c r="C10" s="19" t="s">
        <v>2238</v>
      </c>
      <c r="D10" s="19" t="s">
        <v>2239</v>
      </c>
      <c r="E10" s="19" t="s">
        <v>2240</v>
      </c>
      <c r="F10" s="19" t="s">
        <v>2241</v>
      </c>
      <c r="G10" s="19" t="s">
        <v>2242</v>
      </c>
      <c r="H10" s="19" t="s">
        <v>2243</v>
      </c>
      <c r="I10" s="19" t="s">
        <v>2244</v>
      </c>
      <c r="J10" s="19" t="s">
        <v>2245</v>
      </c>
      <c r="K10" s="19" t="s">
        <v>444</v>
      </c>
      <c r="L10" s="19" t="s">
        <v>2246</v>
      </c>
      <c r="M10" s="19" t="s">
        <v>2247</v>
      </c>
      <c r="N10" s="19" t="s">
        <v>2248</v>
      </c>
      <c r="O10" s="19" t="s">
        <v>2249</v>
      </c>
      <c r="P10" s="19" t="s">
        <v>2250</v>
      </c>
      <c r="Q10" s="19" t="s">
        <v>2251</v>
      </c>
      <c r="R10" s="19" t="s">
        <v>2252</v>
      </c>
      <c r="S10" s="19" t="s">
        <v>2253</v>
      </c>
      <c r="T10" s="19" t="s">
        <v>2254</v>
      </c>
    </row>
    <row r="11" ht="52" customHeight="1" spans="1:20">
      <c r="A11" s="17" t="s">
        <v>343</v>
      </c>
      <c r="B11" s="17" t="s">
        <v>2255</v>
      </c>
      <c r="C11" s="17" t="s">
        <v>2256</v>
      </c>
      <c r="D11" s="17" t="s">
        <v>2257</v>
      </c>
      <c r="E11" s="17" t="s">
        <v>2258</v>
      </c>
      <c r="F11" s="17" t="s">
        <v>2259</v>
      </c>
      <c r="G11" s="17" t="s">
        <v>2260</v>
      </c>
      <c r="H11" s="17" t="s">
        <v>2261</v>
      </c>
      <c r="I11" s="17" t="s">
        <v>2262</v>
      </c>
      <c r="J11" s="17" t="s">
        <v>2263</v>
      </c>
      <c r="K11" s="20" t="s">
        <v>727</v>
      </c>
      <c r="L11" s="21" t="s">
        <v>54</v>
      </c>
      <c r="M11" s="17" t="s">
        <v>2264</v>
      </c>
      <c r="N11" s="21" t="s">
        <v>54</v>
      </c>
      <c r="O11" s="22" t="s">
        <v>54</v>
      </c>
      <c r="P11" s="21" t="s">
        <v>54</v>
      </c>
      <c r="Q11" s="22" t="s">
        <v>54</v>
      </c>
      <c r="R11" s="21" t="s">
        <v>54</v>
      </c>
      <c r="S11" s="21" t="s">
        <v>54</v>
      </c>
      <c r="T11" s="17" t="str">
        <f t="shared" ref="T11:T29" si="0">IF(E11&lt;&gt;"已关闭","未关闭",IF(L11&lt;&gt;"","仍有缺条件",IF(R11&lt;&gt;"通过","缺通过复测",IF(OR(P11="",Q11="",S11=""),"缺版本/日期/证据","关闭资料齐备"))))</f>
        <v>未关闭</v>
      </c>
    </row>
    <row r="12" ht="39" customHeight="1" spans="1:20">
      <c r="A12" s="17" t="s">
        <v>346</v>
      </c>
      <c r="B12" s="17" t="s">
        <v>2255</v>
      </c>
      <c r="C12" s="17" t="s">
        <v>2256</v>
      </c>
      <c r="D12" s="17" t="s">
        <v>2265</v>
      </c>
      <c r="E12" s="17" t="s">
        <v>2258</v>
      </c>
      <c r="F12" s="17" t="s">
        <v>162</v>
      </c>
      <c r="G12" s="17" t="s">
        <v>2266</v>
      </c>
      <c r="H12" s="17" t="s">
        <v>2267</v>
      </c>
      <c r="I12" s="17" t="s">
        <v>2268</v>
      </c>
      <c r="J12" s="17" t="s">
        <v>344</v>
      </c>
      <c r="K12" s="20" t="s">
        <v>1553</v>
      </c>
      <c r="L12" s="21" t="s">
        <v>54</v>
      </c>
      <c r="M12" s="17" t="s">
        <v>2264</v>
      </c>
      <c r="N12" s="21" t="s">
        <v>54</v>
      </c>
      <c r="O12" s="22" t="s">
        <v>54</v>
      </c>
      <c r="P12" s="21" t="s">
        <v>54</v>
      </c>
      <c r="Q12" s="22" t="s">
        <v>54</v>
      </c>
      <c r="R12" s="21" t="s">
        <v>54</v>
      </c>
      <c r="S12" s="21" t="s">
        <v>54</v>
      </c>
      <c r="T12" s="17" t="str">
        <f t="shared" si="0"/>
        <v>未关闭</v>
      </c>
    </row>
    <row r="13" ht="52" customHeight="1" spans="1:20">
      <c r="A13" s="17" t="s">
        <v>349</v>
      </c>
      <c r="B13" s="17" t="s">
        <v>2255</v>
      </c>
      <c r="C13" s="17" t="s">
        <v>2256</v>
      </c>
      <c r="D13" s="17" t="s">
        <v>2269</v>
      </c>
      <c r="E13" s="17" t="s">
        <v>2258</v>
      </c>
      <c r="F13" s="17" t="s">
        <v>2259</v>
      </c>
      <c r="G13" s="17" t="s">
        <v>2270</v>
      </c>
      <c r="H13" s="17" t="s">
        <v>2271</v>
      </c>
      <c r="I13" s="17" t="s">
        <v>2272</v>
      </c>
      <c r="J13" s="17" t="s">
        <v>2273</v>
      </c>
      <c r="K13" s="20" t="s">
        <v>2274</v>
      </c>
      <c r="L13" s="21" t="s">
        <v>54</v>
      </c>
      <c r="M13" s="17" t="s">
        <v>2264</v>
      </c>
      <c r="N13" s="21" t="s">
        <v>54</v>
      </c>
      <c r="O13" s="22" t="s">
        <v>54</v>
      </c>
      <c r="P13" s="21" t="s">
        <v>54</v>
      </c>
      <c r="Q13" s="22" t="s">
        <v>54</v>
      </c>
      <c r="R13" s="21" t="s">
        <v>54</v>
      </c>
      <c r="S13" s="21" t="s">
        <v>54</v>
      </c>
      <c r="T13" s="17" t="str">
        <f t="shared" si="0"/>
        <v>未关闭</v>
      </c>
    </row>
    <row r="14" ht="39" customHeight="1" spans="1:20">
      <c r="A14" s="17" t="s">
        <v>2275</v>
      </c>
      <c r="B14" s="17" t="s">
        <v>2255</v>
      </c>
      <c r="C14" s="17" t="s">
        <v>2256</v>
      </c>
      <c r="D14" s="17" t="s">
        <v>2276</v>
      </c>
      <c r="E14" s="17" t="s">
        <v>2258</v>
      </c>
      <c r="F14" s="17" t="s">
        <v>2259</v>
      </c>
      <c r="G14" s="17" t="s">
        <v>2277</v>
      </c>
      <c r="H14" s="17" t="s">
        <v>2278</v>
      </c>
      <c r="I14" s="17" t="s">
        <v>2279</v>
      </c>
      <c r="J14" s="17" t="s">
        <v>2280</v>
      </c>
      <c r="K14" s="20" t="s">
        <v>2274</v>
      </c>
      <c r="L14" s="21" t="s">
        <v>54</v>
      </c>
      <c r="M14" s="17" t="s">
        <v>2264</v>
      </c>
      <c r="N14" s="21" t="s">
        <v>54</v>
      </c>
      <c r="O14" s="22" t="s">
        <v>54</v>
      </c>
      <c r="P14" s="21" t="s">
        <v>54</v>
      </c>
      <c r="Q14" s="22" t="s">
        <v>54</v>
      </c>
      <c r="R14" s="21" t="s">
        <v>54</v>
      </c>
      <c r="S14" s="21" t="s">
        <v>54</v>
      </c>
      <c r="T14" s="17" t="str">
        <f t="shared" si="0"/>
        <v>未关闭</v>
      </c>
    </row>
    <row r="15" ht="39" customHeight="1" spans="1:20">
      <c r="A15" s="17" t="s">
        <v>2281</v>
      </c>
      <c r="B15" s="17" t="s">
        <v>2255</v>
      </c>
      <c r="C15" s="17" t="s">
        <v>2256</v>
      </c>
      <c r="D15" s="17" t="s">
        <v>2282</v>
      </c>
      <c r="E15" s="17" t="s">
        <v>2258</v>
      </c>
      <c r="F15" s="17" t="s">
        <v>162</v>
      </c>
      <c r="G15" s="17" t="s">
        <v>2266</v>
      </c>
      <c r="H15" s="17" t="s">
        <v>2283</v>
      </c>
      <c r="I15" s="17" t="s">
        <v>2284</v>
      </c>
      <c r="J15" s="17" t="s">
        <v>350</v>
      </c>
      <c r="K15" s="20" t="s">
        <v>1531</v>
      </c>
      <c r="L15" s="21" t="s">
        <v>54</v>
      </c>
      <c r="M15" s="17" t="s">
        <v>2264</v>
      </c>
      <c r="N15" s="21" t="s">
        <v>54</v>
      </c>
      <c r="O15" s="22" t="s">
        <v>54</v>
      </c>
      <c r="P15" s="21" t="s">
        <v>54</v>
      </c>
      <c r="Q15" s="22" t="s">
        <v>54</v>
      </c>
      <c r="R15" s="21" t="s">
        <v>54</v>
      </c>
      <c r="S15" s="21" t="s">
        <v>54</v>
      </c>
      <c r="T15" s="17" t="str">
        <f t="shared" si="0"/>
        <v>未关闭</v>
      </c>
    </row>
    <row r="16" ht="52" customHeight="1" spans="1:20">
      <c r="A16" s="17" t="s">
        <v>390</v>
      </c>
      <c r="B16" s="17" t="s">
        <v>2255</v>
      </c>
      <c r="C16" s="17" t="s">
        <v>2285</v>
      </c>
      <c r="D16" s="17" t="s">
        <v>2286</v>
      </c>
      <c r="E16" s="17" t="s">
        <v>2258</v>
      </c>
      <c r="F16" s="17" t="s">
        <v>162</v>
      </c>
      <c r="G16" s="17" t="s">
        <v>2266</v>
      </c>
      <c r="H16" s="17" t="s">
        <v>2287</v>
      </c>
      <c r="I16" s="17" t="s">
        <v>2288</v>
      </c>
      <c r="J16" s="17" t="s">
        <v>2289</v>
      </c>
      <c r="K16" s="20" t="s">
        <v>2290</v>
      </c>
      <c r="L16" s="21" t="s">
        <v>54</v>
      </c>
      <c r="M16" s="17" t="s">
        <v>2264</v>
      </c>
      <c r="N16" s="21" t="s">
        <v>54</v>
      </c>
      <c r="O16" s="22" t="s">
        <v>54</v>
      </c>
      <c r="P16" s="21" t="s">
        <v>54</v>
      </c>
      <c r="Q16" s="22" t="s">
        <v>54</v>
      </c>
      <c r="R16" s="21" t="s">
        <v>54</v>
      </c>
      <c r="S16" s="21" t="s">
        <v>54</v>
      </c>
      <c r="T16" s="17" t="str">
        <f t="shared" si="0"/>
        <v>未关闭</v>
      </c>
    </row>
    <row r="17" ht="39" customHeight="1" spans="1:20">
      <c r="A17" s="17" t="s">
        <v>2291</v>
      </c>
      <c r="B17" s="17" t="s">
        <v>2292</v>
      </c>
      <c r="C17" s="17" t="s">
        <v>2285</v>
      </c>
      <c r="D17" s="17" t="s">
        <v>2293</v>
      </c>
      <c r="E17" s="17" t="s">
        <v>2258</v>
      </c>
      <c r="F17" s="17" t="s">
        <v>162</v>
      </c>
      <c r="G17" s="17" t="s">
        <v>2266</v>
      </c>
      <c r="H17" s="17" t="s">
        <v>2294</v>
      </c>
      <c r="I17" s="17" t="s">
        <v>2295</v>
      </c>
      <c r="J17" s="17" t="s">
        <v>401</v>
      </c>
      <c r="K17" s="20" t="s">
        <v>1968</v>
      </c>
      <c r="L17" s="21" t="s">
        <v>2296</v>
      </c>
      <c r="M17" s="17" t="s">
        <v>2264</v>
      </c>
      <c r="N17" s="21" t="s">
        <v>54</v>
      </c>
      <c r="O17" s="22" t="s">
        <v>54</v>
      </c>
      <c r="P17" s="21" t="s">
        <v>54</v>
      </c>
      <c r="Q17" s="22" t="s">
        <v>54</v>
      </c>
      <c r="R17" s="21" t="s">
        <v>54</v>
      </c>
      <c r="S17" s="21" t="s">
        <v>54</v>
      </c>
      <c r="T17" s="17" t="str">
        <f t="shared" si="0"/>
        <v>未关闭</v>
      </c>
    </row>
    <row r="18" ht="52" customHeight="1" spans="1:20">
      <c r="A18" s="17" t="s">
        <v>383</v>
      </c>
      <c r="B18" s="17" t="s">
        <v>2297</v>
      </c>
      <c r="C18" s="17" t="s">
        <v>2285</v>
      </c>
      <c r="D18" s="17" t="s">
        <v>2298</v>
      </c>
      <c r="E18" s="17" t="s">
        <v>2258</v>
      </c>
      <c r="F18" s="17" t="s">
        <v>162</v>
      </c>
      <c r="G18" s="17" t="s">
        <v>2266</v>
      </c>
      <c r="H18" s="17" t="s">
        <v>2299</v>
      </c>
      <c r="I18" s="17" t="s">
        <v>2300</v>
      </c>
      <c r="J18" s="17" t="s">
        <v>381</v>
      </c>
      <c r="K18" s="20" t="s">
        <v>1819</v>
      </c>
      <c r="L18" s="21" t="s">
        <v>2301</v>
      </c>
      <c r="M18" s="17" t="s">
        <v>2264</v>
      </c>
      <c r="N18" s="21" t="s">
        <v>54</v>
      </c>
      <c r="O18" s="22" t="s">
        <v>54</v>
      </c>
      <c r="P18" s="21" t="s">
        <v>54</v>
      </c>
      <c r="Q18" s="22" t="s">
        <v>54</v>
      </c>
      <c r="R18" s="21" t="s">
        <v>54</v>
      </c>
      <c r="S18" s="21" t="s">
        <v>54</v>
      </c>
      <c r="T18" s="17" t="str">
        <f t="shared" si="0"/>
        <v>未关闭</v>
      </c>
    </row>
    <row r="19" ht="273" customHeight="1" spans="1:20">
      <c r="A19" s="17" t="s">
        <v>83</v>
      </c>
      <c r="B19" s="17" t="s">
        <v>2255</v>
      </c>
      <c r="C19" s="17" t="s">
        <v>2285</v>
      </c>
      <c r="D19" s="17" t="s">
        <v>2302</v>
      </c>
      <c r="E19" s="17" t="s">
        <v>2258</v>
      </c>
      <c r="F19" s="17" t="s">
        <v>2259</v>
      </c>
      <c r="G19" s="17" t="s">
        <v>2303</v>
      </c>
      <c r="H19" s="17" t="s">
        <v>2304</v>
      </c>
      <c r="I19" s="17" t="s">
        <v>2305</v>
      </c>
      <c r="J19" s="17" t="s">
        <v>2306</v>
      </c>
      <c r="K19" s="20" t="s">
        <v>2307</v>
      </c>
      <c r="L19" s="21" t="s">
        <v>54</v>
      </c>
      <c r="M19" s="17" t="s">
        <v>2264</v>
      </c>
      <c r="N19" s="21" t="s">
        <v>54</v>
      </c>
      <c r="O19" s="22" t="s">
        <v>54</v>
      </c>
      <c r="P19" s="21" t="s">
        <v>54</v>
      </c>
      <c r="Q19" s="22" t="s">
        <v>54</v>
      </c>
      <c r="R19" s="21" t="s">
        <v>54</v>
      </c>
      <c r="S19" s="21" t="s">
        <v>54</v>
      </c>
      <c r="T19" s="17" t="str">
        <f t="shared" si="0"/>
        <v>未关闭</v>
      </c>
    </row>
    <row r="20" ht="91" customHeight="1" spans="1:20">
      <c r="A20" s="17" t="s">
        <v>2308</v>
      </c>
      <c r="B20" s="17" t="s">
        <v>2309</v>
      </c>
      <c r="C20" s="17" t="s">
        <v>2256</v>
      </c>
      <c r="D20" s="17" t="s">
        <v>2310</v>
      </c>
      <c r="E20" s="17" t="s">
        <v>2258</v>
      </c>
      <c r="F20" s="17" t="s">
        <v>162</v>
      </c>
      <c r="G20" s="17" t="s">
        <v>2266</v>
      </c>
      <c r="H20" s="17" t="s">
        <v>2311</v>
      </c>
      <c r="I20" s="17" t="s">
        <v>2312</v>
      </c>
      <c r="J20" s="17" t="s">
        <v>424</v>
      </c>
      <c r="K20" s="20" t="s">
        <v>2313</v>
      </c>
      <c r="L20" s="21" t="s">
        <v>2314</v>
      </c>
      <c r="M20" s="17" t="s">
        <v>2264</v>
      </c>
      <c r="N20" s="21" t="s">
        <v>54</v>
      </c>
      <c r="O20" s="22" t="s">
        <v>54</v>
      </c>
      <c r="P20" s="21" t="s">
        <v>54</v>
      </c>
      <c r="Q20" s="22" t="s">
        <v>54</v>
      </c>
      <c r="R20" s="21" t="s">
        <v>54</v>
      </c>
      <c r="S20" s="21" t="s">
        <v>54</v>
      </c>
      <c r="T20" s="17" t="str">
        <f t="shared" si="0"/>
        <v>未关闭</v>
      </c>
    </row>
    <row r="21" ht="39" customHeight="1" spans="1:20">
      <c r="A21" s="17" t="s">
        <v>65</v>
      </c>
      <c r="B21" s="17" t="s">
        <v>2255</v>
      </c>
      <c r="C21" s="17" t="s">
        <v>2256</v>
      </c>
      <c r="D21" s="17" t="s">
        <v>2315</v>
      </c>
      <c r="E21" s="17" t="s">
        <v>2258</v>
      </c>
      <c r="F21" s="17" t="s">
        <v>2259</v>
      </c>
      <c r="G21" s="17" t="s">
        <v>2316</v>
      </c>
      <c r="H21" s="17" t="s">
        <v>2317</v>
      </c>
      <c r="I21" s="17" t="s">
        <v>2318</v>
      </c>
      <c r="J21" s="17" t="s">
        <v>2319</v>
      </c>
      <c r="K21" s="20" t="s">
        <v>2274</v>
      </c>
      <c r="L21" s="21" t="s">
        <v>54</v>
      </c>
      <c r="M21" s="17" t="s">
        <v>2264</v>
      </c>
      <c r="N21" s="21" t="s">
        <v>54</v>
      </c>
      <c r="O21" s="22" t="s">
        <v>54</v>
      </c>
      <c r="P21" s="21" t="s">
        <v>54</v>
      </c>
      <c r="Q21" s="22" t="s">
        <v>54</v>
      </c>
      <c r="R21" s="21" t="s">
        <v>54</v>
      </c>
      <c r="S21" s="21" t="s">
        <v>54</v>
      </c>
      <c r="T21" s="17" t="str">
        <f t="shared" si="0"/>
        <v>未关闭</v>
      </c>
    </row>
    <row r="22" ht="52" customHeight="1" spans="1:20">
      <c r="A22" s="17" t="s">
        <v>52</v>
      </c>
      <c r="B22" s="17" t="s">
        <v>2320</v>
      </c>
      <c r="C22" s="17" t="s">
        <v>2285</v>
      </c>
      <c r="D22" s="17" t="s">
        <v>2321</v>
      </c>
      <c r="E22" s="17" t="s">
        <v>2322</v>
      </c>
      <c r="F22" s="17" t="s">
        <v>2259</v>
      </c>
      <c r="G22" s="17" t="s">
        <v>2323</v>
      </c>
      <c r="H22" s="17" t="s">
        <v>2324</v>
      </c>
      <c r="I22" s="17" t="s">
        <v>2325</v>
      </c>
      <c r="J22" s="17" t="s">
        <v>2326</v>
      </c>
      <c r="K22" s="20" t="s">
        <v>2327</v>
      </c>
      <c r="L22" s="21" t="s">
        <v>2328</v>
      </c>
      <c r="M22" s="17" t="s">
        <v>2329</v>
      </c>
      <c r="N22" s="21" t="s">
        <v>54</v>
      </c>
      <c r="O22" s="22" t="s">
        <v>54</v>
      </c>
      <c r="P22" s="21" t="s">
        <v>54</v>
      </c>
      <c r="Q22" s="22" t="s">
        <v>54</v>
      </c>
      <c r="R22" s="21" t="s">
        <v>54</v>
      </c>
      <c r="S22" s="21" t="s">
        <v>54</v>
      </c>
      <c r="T22" s="17" t="str">
        <f t="shared" si="0"/>
        <v>未关闭</v>
      </c>
    </row>
    <row r="23" ht="52" customHeight="1" spans="1:20">
      <c r="A23" s="17" t="s">
        <v>153</v>
      </c>
      <c r="B23" s="17" t="s">
        <v>2320</v>
      </c>
      <c r="C23" s="17" t="s">
        <v>2285</v>
      </c>
      <c r="D23" s="17" t="s">
        <v>2330</v>
      </c>
      <c r="E23" s="17" t="s">
        <v>2322</v>
      </c>
      <c r="F23" s="17" t="s">
        <v>2259</v>
      </c>
      <c r="G23" s="17" t="s">
        <v>2331</v>
      </c>
      <c r="H23" s="17" t="s">
        <v>2332</v>
      </c>
      <c r="I23" s="17" t="s">
        <v>2333</v>
      </c>
      <c r="J23" s="17" t="s">
        <v>2334</v>
      </c>
      <c r="K23" s="20" t="s">
        <v>720</v>
      </c>
      <c r="L23" s="21" t="s">
        <v>2335</v>
      </c>
      <c r="M23" s="17" t="s">
        <v>2329</v>
      </c>
      <c r="N23" s="21" t="s">
        <v>54</v>
      </c>
      <c r="O23" s="22" t="s">
        <v>54</v>
      </c>
      <c r="P23" s="21" t="s">
        <v>54</v>
      </c>
      <c r="Q23" s="22" t="s">
        <v>54</v>
      </c>
      <c r="R23" s="21" t="s">
        <v>54</v>
      </c>
      <c r="S23" s="21" t="s">
        <v>54</v>
      </c>
      <c r="T23" s="17" t="str">
        <f t="shared" si="0"/>
        <v>未关闭</v>
      </c>
    </row>
    <row r="24" ht="39" customHeight="1" spans="1:20">
      <c r="A24" s="17" t="s">
        <v>2336</v>
      </c>
      <c r="B24" s="17" t="s">
        <v>2337</v>
      </c>
      <c r="C24" s="17" t="s">
        <v>2256</v>
      </c>
      <c r="D24" s="17" t="s">
        <v>2338</v>
      </c>
      <c r="E24" s="17" t="s">
        <v>2322</v>
      </c>
      <c r="F24" s="17" t="s">
        <v>2259</v>
      </c>
      <c r="G24" s="17" t="s">
        <v>2339</v>
      </c>
      <c r="H24" s="17" t="s">
        <v>2340</v>
      </c>
      <c r="I24" s="17" t="s">
        <v>2341</v>
      </c>
      <c r="J24" s="17" t="s">
        <v>154</v>
      </c>
      <c r="K24" s="20" t="s">
        <v>2342</v>
      </c>
      <c r="L24" s="21" t="s">
        <v>2343</v>
      </c>
      <c r="M24" s="17" t="s">
        <v>2329</v>
      </c>
      <c r="N24" s="21" t="s">
        <v>54</v>
      </c>
      <c r="O24" s="22" t="s">
        <v>54</v>
      </c>
      <c r="P24" s="21" t="s">
        <v>54</v>
      </c>
      <c r="Q24" s="22" t="s">
        <v>54</v>
      </c>
      <c r="R24" s="21" t="s">
        <v>54</v>
      </c>
      <c r="S24" s="21" t="s">
        <v>54</v>
      </c>
      <c r="T24" s="17" t="str">
        <f t="shared" si="0"/>
        <v>未关闭</v>
      </c>
    </row>
    <row r="25" ht="52" customHeight="1" spans="1:20">
      <c r="A25" s="17" t="s">
        <v>419</v>
      </c>
      <c r="B25" s="17" t="s">
        <v>2344</v>
      </c>
      <c r="C25" s="17" t="s">
        <v>2285</v>
      </c>
      <c r="D25" s="17" t="s">
        <v>2345</v>
      </c>
      <c r="E25" s="17" t="s">
        <v>2346</v>
      </c>
      <c r="F25" s="17" t="s">
        <v>162</v>
      </c>
      <c r="G25" s="17" t="s">
        <v>2266</v>
      </c>
      <c r="H25" s="17" t="s">
        <v>2347</v>
      </c>
      <c r="I25" s="17" t="s">
        <v>2348</v>
      </c>
      <c r="J25" s="17" t="s">
        <v>2349</v>
      </c>
      <c r="K25" s="20" t="s">
        <v>2350</v>
      </c>
      <c r="L25" s="21" t="s">
        <v>2351</v>
      </c>
      <c r="M25" s="17" t="s">
        <v>515</v>
      </c>
      <c r="N25" s="21" t="s">
        <v>54</v>
      </c>
      <c r="O25" s="22" t="s">
        <v>54</v>
      </c>
      <c r="P25" s="21" t="s">
        <v>54</v>
      </c>
      <c r="Q25" s="22" t="s">
        <v>54</v>
      </c>
      <c r="R25" s="21" t="s">
        <v>54</v>
      </c>
      <c r="S25" s="21" t="s">
        <v>54</v>
      </c>
      <c r="T25" s="17" t="str">
        <f t="shared" si="0"/>
        <v>未关闭</v>
      </c>
    </row>
    <row r="26" ht="247" customHeight="1" spans="1:20">
      <c r="A26" s="17" t="s">
        <v>78</v>
      </c>
      <c r="B26" s="17" t="s">
        <v>2344</v>
      </c>
      <c r="C26" s="17" t="s">
        <v>2256</v>
      </c>
      <c r="D26" s="17" t="s">
        <v>2352</v>
      </c>
      <c r="E26" s="17" t="s">
        <v>2346</v>
      </c>
      <c r="F26" s="17" t="s">
        <v>2259</v>
      </c>
      <c r="G26" s="17" t="s">
        <v>2353</v>
      </c>
      <c r="H26" s="17" t="s">
        <v>2354</v>
      </c>
      <c r="I26" s="17" t="s">
        <v>2355</v>
      </c>
      <c r="J26" s="17" t="s">
        <v>2356</v>
      </c>
      <c r="K26" s="20" t="s">
        <v>2357</v>
      </c>
      <c r="L26" s="21" t="s">
        <v>2358</v>
      </c>
      <c r="M26" s="17" t="s">
        <v>515</v>
      </c>
      <c r="N26" s="21" t="s">
        <v>54</v>
      </c>
      <c r="O26" s="22" t="s">
        <v>54</v>
      </c>
      <c r="P26" s="21" t="s">
        <v>54</v>
      </c>
      <c r="Q26" s="22" t="s">
        <v>54</v>
      </c>
      <c r="R26" s="21" t="s">
        <v>54</v>
      </c>
      <c r="S26" s="21" t="s">
        <v>54</v>
      </c>
      <c r="T26" s="17" t="str">
        <f t="shared" si="0"/>
        <v>未关闭</v>
      </c>
    </row>
    <row r="27" ht="39" customHeight="1" spans="1:20">
      <c r="A27" s="17" t="s">
        <v>2359</v>
      </c>
      <c r="B27" s="17" t="s">
        <v>2297</v>
      </c>
      <c r="C27" s="17" t="s">
        <v>2256</v>
      </c>
      <c r="D27" s="17" t="s">
        <v>2360</v>
      </c>
      <c r="E27" s="17" t="s">
        <v>2258</v>
      </c>
      <c r="F27" s="17" t="s">
        <v>2259</v>
      </c>
      <c r="G27" s="17" t="s">
        <v>2361</v>
      </c>
      <c r="H27" s="17" t="s">
        <v>2362</v>
      </c>
      <c r="I27" s="17" t="s">
        <v>2363</v>
      </c>
      <c r="J27" s="17" t="s">
        <v>56</v>
      </c>
      <c r="K27" s="20" t="s">
        <v>483</v>
      </c>
      <c r="L27" s="21" t="s">
        <v>2364</v>
      </c>
      <c r="M27" s="17" t="s">
        <v>2264</v>
      </c>
      <c r="N27" s="21" t="s">
        <v>54</v>
      </c>
      <c r="O27" s="22" t="s">
        <v>54</v>
      </c>
      <c r="P27" s="21" t="s">
        <v>54</v>
      </c>
      <c r="Q27" s="22" t="s">
        <v>54</v>
      </c>
      <c r="R27" s="21" t="s">
        <v>54</v>
      </c>
      <c r="S27" s="21" t="s">
        <v>54</v>
      </c>
      <c r="T27" s="17" t="str">
        <f t="shared" si="0"/>
        <v>未关闭</v>
      </c>
    </row>
    <row r="28" ht="39" customHeight="1" spans="1:20">
      <c r="A28" s="17" t="s">
        <v>74</v>
      </c>
      <c r="B28" s="17" t="s">
        <v>2365</v>
      </c>
      <c r="C28" s="17" t="s">
        <v>2285</v>
      </c>
      <c r="D28" s="17" t="s">
        <v>2366</v>
      </c>
      <c r="E28" s="17" t="s">
        <v>2346</v>
      </c>
      <c r="F28" s="17" t="s">
        <v>2259</v>
      </c>
      <c r="G28" s="17" t="s">
        <v>2367</v>
      </c>
      <c r="H28" s="17" t="s">
        <v>2368</v>
      </c>
      <c r="I28" s="17" t="s">
        <v>2369</v>
      </c>
      <c r="J28" s="17" t="s">
        <v>70</v>
      </c>
      <c r="K28" s="20" t="s">
        <v>534</v>
      </c>
      <c r="L28" s="21" t="s">
        <v>2367</v>
      </c>
      <c r="M28" s="17" t="s">
        <v>515</v>
      </c>
      <c r="N28" s="21" t="s">
        <v>54</v>
      </c>
      <c r="O28" s="22" t="s">
        <v>54</v>
      </c>
      <c r="P28" s="21" t="s">
        <v>54</v>
      </c>
      <c r="Q28" s="22" t="s">
        <v>54</v>
      </c>
      <c r="R28" s="21" t="s">
        <v>54</v>
      </c>
      <c r="S28" s="21" t="s">
        <v>54</v>
      </c>
      <c r="T28" s="17" t="str">
        <f t="shared" si="0"/>
        <v>未关闭</v>
      </c>
    </row>
    <row r="29" ht="52" customHeight="1" spans="1:20">
      <c r="A29" s="17" t="s">
        <v>2370</v>
      </c>
      <c r="B29" s="17" t="s">
        <v>2365</v>
      </c>
      <c r="C29" s="17" t="s">
        <v>2256</v>
      </c>
      <c r="D29" s="17" t="s">
        <v>2371</v>
      </c>
      <c r="E29" s="17" t="s">
        <v>2346</v>
      </c>
      <c r="F29" s="17" t="s">
        <v>2259</v>
      </c>
      <c r="G29" s="17" t="s">
        <v>2372</v>
      </c>
      <c r="H29" s="17" t="s">
        <v>2373</v>
      </c>
      <c r="I29" s="17" t="s">
        <v>2374</v>
      </c>
      <c r="J29" s="17" t="s">
        <v>56</v>
      </c>
      <c r="K29" s="20" t="s">
        <v>2327</v>
      </c>
      <c r="L29" s="21" t="s">
        <v>2372</v>
      </c>
      <c r="M29" s="17" t="s">
        <v>515</v>
      </c>
      <c r="N29" s="21" t="s">
        <v>54</v>
      </c>
      <c r="O29" s="22" t="s">
        <v>54</v>
      </c>
      <c r="P29" s="21" t="s">
        <v>54</v>
      </c>
      <c r="Q29" s="22" t="s">
        <v>54</v>
      </c>
      <c r="R29" s="21" t="s">
        <v>54</v>
      </c>
      <c r="S29" s="21" t="s">
        <v>54</v>
      </c>
      <c r="T29" s="17" t="str">
        <f t="shared" si="0"/>
        <v>未关闭</v>
      </c>
    </row>
  </sheetData>
  <conditionalFormatting sqref="E11:E29">
    <cfRule type="cellIs" dxfId="0" priority="1" operator="equal">
      <formula>"已关闭"</formula>
    </cfRule>
  </conditionalFormatting>
  <conditionalFormatting sqref="T11:T29">
    <cfRule type="beginsWith" dxfId="4" priority="2" operator="equal" text="缺">
      <formula>LEFT(T11,LEN("缺"))="缺"</formula>
    </cfRule>
    <cfRule type="cellIs" dxfId="2" priority="3" operator="equal">
      <formula>"仍有缺条件"</formula>
    </cfRule>
  </conditionalFormatting>
  <dataValidations count="2">
    <dataValidation type="list" sqref="E11:E29">
      <formula1>"待整改复测,待确认,待补齐,整改中,待复测,复测不通过,已关闭"</formula1>
    </dataValidation>
    <dataValidation type="list" sqref="R11:R29">
      <formula1>"通过,不通过,受阻,未执行,不适用"</formula1>
    </dataValidation>
  </dataValidations>
  <hyperlinks>
    <hyperlink ref="K11" r:id="rId2" display="查看 C03-rate-visual"/>
    <hyperlink ref="K12" r:id="rId3" display="查看 T01-list-baseline、T13-container-metrics"/>
    <hyperlink ref="K13" r:id="rId4" display="查看 C03-rate-metrics"/>
    <hyperlink ref="K14" r:id="rId4" display="查看 C03-rate-metrics"/>
    <hyperlink ref="K15" r:id="rId3" display="查看 T01-list-baseline"/>
    <hyperlink ref="K16" r:id="rId5" display="查看 T27-form-tablet、T40-form-1279、T41-form-768"/>
    <hyperlink ref="K17" r:id="rId6" display="查看 T02-query-loading"/>
    <hyperlink ref="K18" r:id="rId7" display="查看 T35-refresh-login"/>
    <hyperlink ref="K19" r:id="rId8" display="查看 M02-country-empty、R10-empty、R11-empty、R12-empty、R13-empty、R14-empty、R15-empty、R16-empty、R17-empty、R18-empty、R19-empty、R20-empty、R4-empty、R5-empty、R6-empty、R7-empty、R8-empty、R9-empty、S19-relation-empty、S20-relation-empty"/>
    <hyperlink ref="K20" r:id="rId9" display="查看 C08-upload-file-selected、C09-upload-auto-error、C10-upload-retry-progress、C11-upload-cancel"/>
    <hyperlink ref="K21" r:id="rId4" display="查看 C03-rate-metrics"/>
    <hyperlink ref="K22" r:id="rId10" display="查看 F04-fee-create、F07-fee-duplicate-result"/>
    <hyperlink ref="K23" r:id="rId11" display="查看 C04-rate-edit、C05-rate-end-unsaved、C06-rate-cancel"/>
    <hyperlink ref="K24" r:id="rId12" display="查看 R18-loaded"/>
    <hyperlink ref="K25" r:id="rId13" display="查看 E01-403-display、E03-500-display"/>
    <hyperlink ref="K26" r:id="rId14" display="查看 R17-loaded、R20-loaded"/>
    <hyperlink ref="K27" r:id="rId15" display="查看 F07-fee-duplicate-result"/>
    <hyperlink ref="K28" r:id="rId16" display="查看 D01-dictionary-create、D02-dictionary-cancel"/>
    <hyperlink ref="K29" r:id="rId10" display="查看 F04-fee-create、F07-fee-duplicate-result"/>
  </hyperlink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2"/>
  <sheetViews>
    <sheetView showGridLines="0" workbookViewId="0">
      <pane xSplit="2" ySplit="1" topLeftCell="C2" activePane="bottomRight" state="frozen"/>
      <selection/>
      <selection pane="topRight"/>
      <selection pane="bottomLeft"/>
      <selection pane="bottomRight" activeCell="G15" sqref="G15"/>
    </sheetView>
  </sheetViews>
  <sheetFormatPr defaultColWidth="9" defaultRowHeight="15"/>
  <cols>
    <col min="1" max="1" width="12.5" customWidth="1"/>
    <col min="2" max="2" width="15.375" customWidth="1"/>
    <col min="3" max="3" width="20.625" customWidth="1"/>
    <col min="4" max="4" width="20.375" customWidth="1"/>
    <col min="5" max="5" width="26.375" customWidth="1"/>
    <col min="6" max="6" width="6.125" customWidth="1"/>
    <col min="7" max="7" width="30.625" customWidth="1"/>
    <col min="8" max="8" width="12.5" customWidth="1"/>
    <col min="9" max="9" width="41.8833333333333" customWidth="1"/>
    <col min="10" max="10" width="26" customWidth="1"/>
    <col min="11" max="11" width="20" customWidth="1"/>
    <col min="12" max="12" width="85" customWidth="1"/>
    <col min="13" max="13" width="44" customWidth="1"/>
    <col min="14" max="14" width="19" customWidth="1"/>
    <col min="15" max="15" width="82" customWidth="1"/>
    <col min="16" max="16" width="35" customWidth="1"/>
    <col min="17" max="17" width="43" customWidth="1"/>
  </cols>
  <sheetData>
    <row r="1" ht="38" customHeight="1" spans="1:17">
      <c r="A1" s="1" t="s">
        <v>35</v>
      </c>
      <c r="B1" s="1" t="s">
        <v>2375</v>
      </c>
      <c r="C1" s="1" t="s">
        <v>432</v>
      </c>
      <c r="D1" s="1" t="s">
        <v>2376</v>
      </c>
      <c r="E1" s="1" t="s">
        <v>439</v>
      </c>
      <c r="F1" s="1" t="s">
        <v>2377</v>
      </c>
      <c r="G1" s="1" t="s">
        <v>2378</v>
      </c>
      <c r="H1" s="1" t="s">
        <v>2379</v>
      </c>
      <c r="I1" s="1" t="s">
        <v>2380</v>
      </c>
      <c r="J1" s="5" t="s">
        <v>2381</v>
      </c>
      <c r="K1" s="5" t="s">
        <v>2382</v>
      </c>
      <c r="L1" s="5" t="s">
        <v>2383</v>
      </c>
      <c r="M1" s="5" t="s">
        <v>2384</v>
      </c>
      <c r="N1" s="5" t="s">
        <v>2385</v>
      </c>
      <c r="O1" s="5" t="s">
        <v>2386</v>
      </c>
      <c r="P1" s="5" t="s">
        <v>2387</v>
      </c>
      <c r="Q1" s="5" t="s">
        <v>2388</v>
      </c>
    </row>
    <row r="2" ht="284.25" customHeight="1" spans="1:17">
      <c r="A2" s="2" t="s">
        <v>160</v>
      </c>
      <c r="B2" s="2" t="s">
        <v>2389</v>
      </c>
      <c r="C2" s="2" t="s">
        <v>2390</v>
      </c>
      <c r="D2" s="2" t="s">
        <v>2391</v>
      </c>
      <c r="E2" s="2" t="s">
        <v>2392</v>
      </c>
      <c r="F2" s="15" t="s">
        <v>2393</v>
      </c>
      <c r="G2" s="2" t="s">
        <v>2394</v>
      </c>
      <c r="H2" s="14" t="s">
        <v>161</v>
      </c>
      <c r="I2" s="2" t="s">
        <v>54</v>
      </c>
      <c r="J2" s="2" t="s">
        <v>54</v>
      </c>
      <c r="K2" s="2" t="s">
        <v>161</v>
      </c>
      <c r="L2" s="2" t="s">
        <v>2395</v>
      </c>
      <c r="M2" s="2" t="s">
        <v>2396</v>
      </c>
      <c r="N2" s="2" t="s">
        <v>161</v>
      </c>
      <c r="O2" s="2" t="s">
        <v>2397</v>
      </c>
      <c r="P2" s="2" t="s">
        <v>2398</v>
      </c>
      <c r="Q2" s="2" t="s">
        <v>2399</v>
      </c>
    </row>
    <row r="3" ht="284.25" customHeight="1" spans="1:17">
      <c r="A3" s="4" t="s">
        <v>167</v>
      </c>
      <c r="B3" s="4" t="s">
        <v>2400</v>
      </c>
      <c r="C3" s="4" t="s">
        <v>2401</v>
      </c>
      <c r="D3" s="4" t="s">
        <v>2402</v>
      </c>
      <c r="E3" s="4" t="s">
        <v>2403</v>
      </c>
      <c r="F3" s="16" t="s">
        <v>2393</v>
      </c>
      <c r="G3" s="4" t="s">
        <v>2404</v>
      </c>
      <c r="H3" s="14" t="s">
        <v>161</v>
      </c>
      <c r="I3" s="4" t="s">
        <v>54</v>
      </c>
      <c r="J3" s="2" t="s">
        <v>54</v>
      </c>
      <c r="K3" s="2" t="s">
        <v>161</v>
      </c>
      <c r="L3" s="2" t="s">
        <v>2395</v>
      </c>
      <c r="M3" s="2" t="s">
        <v>2396</v>
      </c>
      <c r="N3" s="2" t="s">
        <v>161</v>
      </c>
      <c r="O3" s="2" t="s">
        <v>2397</v>
      </c>
      <c r="P3" s="2" t="s">
        <v>2398</v>
      </c>
      <c r="Q3" s="2" t="s">
        <v>2399</v>
      </c>
    </row>
    <row r="4" ht="284.25" customHeight="1" spans="1:17">
      <c r="A4" s="2" t="s">
        <v>170</v>
      </c>
      <c r="B4" s="2" t="s">
        <v>2405</v>
      </c>
      <c r="C4" s="2" t="s">
        <v>2406</v>
      </c>
      <c r="D4" s="2" t="s">
        <v>2407</v>
      </c>
      <c r="E4" s="2" t="s">
        <v>2408</v>
      </c>
      <c r="F4" s="15" t="s">
        <v>2393</v>
      </c>
      <c r="G4" s="2" t="s">
        <v>2409</v>
      </c>
      <c r="H4" s="14" t="s">
        <v>161</v>
      </c>
      <c r="I4" s="2" t="s">
        <v>54</v>
      </c>
      <c r="J4" s="2" t="s">
        <v>54</v>
      </c>
      <c r="K4" s="2" t="s">
        <v>161</v>
      </c>
      <c r="L4" s="2" t="s">
        <v>2395</v>
      </c>
      <c r="M4" s="2" t="s">
        <v>2396</v>
      </c>
      <c r="N4" s="2" t="s">
        <v>161</v>
      </c>
      <c r="O4" s="2" t="s">
        <v>2397</v>
      </c>
      <c r="P4" s="2" t="s">
        <v>2398</v>
      </c>
      <c r="Q4" s="2" t="s">
        <v>2399</v>
      </c>
    </row>
    <row r="5" ht="312.75" customHeight="1" spans="1:17">
      <c r="A5" s="4" t="s">
        <v>172</v>
      </c>
      <c r="B5" s="4" t="s">
        <v>2410</v>
      </c>
      <c r="C5" s="4" t="s">
        <v>2411</v>
      </c>
      <c r="D5" s="4" t="s">
        <v>2412</v>
      </c>
      <c r="E5" s="4" t="s">
        <v>2413</v>
      </c>
      <c r="F5" s="16" t="s">
        <v>2393</v>
      </c>
      <c r="G5" s="4" t="s">
        <v>2414</v>
      </c>
      <c r="H5" s="14" t="s">
        <v>161</v>
      </c>
      <c r="I5" s="4" t="s">
        <v>54</v>
      </c>
      <c r="J5" s="2" t="s">
        <v>54</v>
      </c>
      <c r="K5" s="2" t="s">
        <v>161</v>
      </c>
      <c r="L5" s="2" t="s">
        <v>2395</v>
      </c>
      <c r="M5" s="2" t="s">
        <v>2396</v>
      </c>
      <c r="N5" s="2" t="s">
        <v>161</v>
      </c>
      <c r="O5" s="2" t="s">
        <v>2397</v>
      </c>
      <c r="P5" s="2" t="s">
        <v>2398</v>
      </c>
      <c r="Q5" s="2" t="s">
        <v>2399</v>
      </c>
    </row>
    <row r="6" ht="284.25" customHeight="1" spans="1:17">
      <c r="A6" s="2" t="s">
        <v>175</v>
      </c>
      <c r="B6" s="2" t="s">
        <v>2415</v>
      </c>
      <c r="C6" s="2" t="s">
        <v>2416</v>
      </c>
      <c r="D6" s="2" t="s">
        <v>2417</v>
      </c>
      <c r="E6" s="2" t="s">
        <v>2418</v>
      </c>
      <c r="F6" s="15" t="s">
        <v>2393</v>
      </c>
      <c r="G6" s="2" t="s">
        <v>2419</v>
      </c>
      <c r="H6" s="14" t="s">
        <v>161</v>
      </c>
      <c r="I6" s="2" t="s">
        <v>54</v>
      </c>
      <c r="J6" s="2" t="s">
        <v>54</v>
      </c>
      <c r="K6" s="2" t="s">
        <v>161</v>
      </c>
      <c r="L6" s="2" t="s">
        <v>2395</v>
      </c>
      <c r="M6" s="2" t="s">
        <v>2396</v>
      </c>
      <c r="N6" s="2" t="s">
        <v>161</v>
      </c>
      <c r="O6" s="2" t="s">
        <v>2397</v>
      </c>
      <c r="P6" s="2" t="s">
        <v>2398</v>
      </c>
      <c r="Q6" s="2" t="s">
        <v>2399</v>
      </c>
    </row>
    <row r="7" ht="284.25" customHeight="1" spans="1:17">
      <c r="A7" s="4" t="s">
        <v>177</v>
      </c>
      <c r="B7" s="4" t="s">
        <v>2420</v>
      </c>
      <c r="C7" s="4" t="s">
        <v>2421</v>
      </c>
      <c r="D7" s="4" t="s">
        <v>2422</v>
      </c>
      <c r="E7" s="4" t="s">
        <v>2423</v>
      </c>
      <c r="F7" s="16" t="s">
        <v>2393</v>
      </c>
      <c r="G7" s="4" t="s">
        <v>2424</v>
      </c>
      <c r="H7" s="14" t="s">
        <v>161</v>
      </c>
      <c r="I7" s="4" t="s">
        <v>54</v>
      </c>
      <c r="J7" s="2" t="s">
        <v>54</v>
      </c>
      <c r="K7" s="2" t="s">
        <v>161</v>
      </c>
      <c r="L7" s="2" t="s">
        <v>2395</v>
      </c>
      <c r="M7" s="2" t="s">
        <v>2396</v>
      </c>
      <c r="N7" s="2" t="s">
        <v>161</v>
      </c>
      <c r="O7" s="2" t="s">
        <v>2397</v>
      </c>
      <c r="P7" s="2" t="s">
        <v>2398</v>
      </c>
      <c r="Q7" s="2" t="s">
        <v>2399</v>
      </c>
    </row>
    <row r="8" ht="284.25" customHeight="1" spans="1:17">
      <c r="A8" s="2" t="s">
        <v>180</v>
      </c>
      <c r="B8" s="2" t="s">
        <v>2425</v>
      </c>
      <c r="C8" s="2" t="s">
        <v>2426</v>
      </c>
      <c r="D8" s="2" t="s">
        <v>2427</v>
      </c>
      <c r="E8" s="2" t="s">
        <v>2428</v>
      </c>
      <c r="F8" s="15" t="s">
        <v>2285</v>
      </c>
      <c r="G8" s="2" t="s">
        <v>2429</v>
      </c>
      <c r="H8" s="14" t="s">
        <v>161</v>
      </c>
      <c r="I8" s="2" t="s">
        <v>54</v>
      </c>
      <c r="J8" s="2" t="s">
        <v>54</v>
      </c>
      <c r="K8" s="2" t="s">
        <v>161</v>
      </c>
      <c r="L8" s="2" t="s">
        <v>2395</v>
      </c>
      <c r="M8" s="2" t="s">
        <v>2396</v>
      </c>
      <c r="N8" s="2" t="s">
        <v>161</v>
      </c>
      <c r="O8" s="2" t="s">
        <v>2397</v>
      </c>
      <c r="P8" s="2" t="s">
        <v>2398</v>
      </c>
      <c r="Q8" s="2" t="s">
        <v>2399</v>
      </c>
    </row>
    <row r="9" ht="284.25" customHeight="1" spans="1:17">
      <c r="A9" s="4" t="s">
        <v>182</v>
      </c>
      <c r="B9" s="4" t="s">
        <v>2430</v>
      </c>
      <c r="C9" s="4" t="s">
        <v>2431</v>
      </c>
      <c r="D9" s="4" t="s">
        <v>2432</v>
      </c>
      <c r="E9" s="4" t="s">
        <v>2433</v>
      </c>
      <c r="F9" s="16" t="s">
        <v>2285</v>
      </c>
      <c r="G9" s="4" t="s">
        <v>2434</v>
      </c>
      <c r="H9" s="14" t="s">
        <v>161</v>
      </c>
      <c r="I9" s="4" t="s">
        <v>54</v>
      </c>
      <c r="J9" s="2" t="s">
        <v>54</v>
      </c>
      <c r="K9" s="2" t="s">
        <v>161</v>
      </c>
      <c r="L9" s="2" t="s">
        <v>2395</v>
      </c>
      <c r="M9" s="2" t="s">
        <v>2396</v>
      </c>
      <c r="N9" s="2" t="s">
        <v>161</v>
      </c>
      <c r="O9" s="2" t="s">
        <v>2397</v>
      </c>
      <c r="P9" s="2" t="s">
        <v>2398</v>
      </c>
      <c r="Q9" s="2" t="s">
        <v>2399</v>
      </c>
    </row>
    <row r="10" ht="284.25" customHeight="1" spans="1:17">
      <c r="A10" s="2" t="s">
        <v>185</v>
      </c>
      <c r="B10" s="2" t="s">
        <v>2435</v>
      </c>
      <c r="C10" s="2" t="s">
        <v>2436</v>
      </c>
      <c r="D10" s="2" t="s">
        <v>2437</v>
      </c>
      <c r="E10" s="2" t="s">
        <v>2438</v>
      </c>
      <c r="F10" s="15" t="s">
        <v>2393</v>
      </c>
      <c r="G10" s="2" t="s">
        <v>2439</v>
      </c>
      <c r="H10" s="14" t="s">
        <v>161</v>
      </c>
      <c r="I10" s="2" t="s">
        <v>54</v>
      </c>
      <c r="J10" s="2" t="s">
        <v>54</v>
      </c>
      <c r="K10" s="2" t="s">
        <v>161</v>
      </c>
      <c r="L10" s="2" t="s">
        <v>2395</v>
      </c>
      <c r="M10" s="2" t="s">
        <v>2396</v>
      </c>
      <c r="N10" s="2" t="s">
        <v>161</v>
      </c>
      <c r="O10" s="2" t="s">
        <v>2397</v>
      </c>
      <c r="P10" s="2" t="s">
        <v>2398</v>
      </c>
      <c r="Q10" s="2" t="s">
        <v>2399</v>
      </c>
    </row>
    <row r="11" ht="312.75" customHeight="1" spans="1:17">
      <c r="A11" s="4" t="s">
        <v>187</v>
      </c>
      <c r="B11" s="4" t="s">
        <v>2440</v>
      </c>
      <c r="C11" s="4" t="s">
        <v>2441</v>
      </c>
      <c r="D11" s="4" t="s">
        <v>2442</v>
      </c>
      <c r="E11" s="4" t="s">
        <v>2443</v>
      </c>
      <c r="F11" s="16" t="s">
        <v>2393</v>
      </c>
      <c r="G11" s="4" t="s">
        <v>2444</v>
      </c>
      <c r="H11" s="14" t="s">
        <v>161</v>
      </c>
      <c r="I11" s="4" t="s">
        <v>54</v>
      </c>
      <c r="J11" s="2" t="s">
        <v>54</v>
      </c>
      <c r="K11" s="2" t="s">
        <v>161</v>
      </c>
      <c r="L11" s="2" t="s">
        <v>2395</v>
      </c>
      <c r="M11" s="2" t="s">
        <v>2396</v>
      </c>
      <c r="N11" s="2" t="s">
        <v>161</v>
      </c>
      <c r="O11" s="2" t="s">
        <v>2397</v>
      </c>
      <c r="P11" s="2" t="s">
        <v>2398</v>
      </c>
      <c r="Q11" s="2" t="s">
        <v>2399</v>
      </c>
    </row>
    <row r="12" ht="270" customHeight="1" spans="1:17">
      <c r="A12" s="2" t="s">
        <v>190</v>
      </c>
      <c r="B12" s="2" t="s">
        <v>2445</v>
      </c>
      <c r="C12" s="2" t="s">
        <v>2446</v>
      </c>
      <c r="D12" s="2" t="s">
        <v>2447</v>
      </c>
      <c r="E12" s="2" t="s">
        <v>2448</v>
      </c>
      <c r="F12" s="15" t="s">
        <v>2393</v>
      </c>
      <c r="G12" s="2" t="s">
        <v>2449</v>
      </c>
      <c r="H12" s="14" t="s">
        <v>161</v>
      </c>
      <c r="I12" s="2" t="s">
        <v>54</v>
      </c>
      <c r="J12" s="2" t="s">
        <v>54</v>
      </c>
      <c r="K12" s="2" t="s">
        <v>161</v>
      </c>
      <c r="L12" s="2" t="s">
        <v>2395</v>
      </c>
      <c r="M12" s="2" t="s">
        <v>2396</v>
      </c>
      <c r="N12" s="2" t="s">
        <v>161</v>
      </c>
      <c r="O12" s="2" t="s">
        <v>2397</v>
      </c>
      <c r="P12" s="2" t="s">
        <v>2398</v>
      </c>
      <c r="Q12" s="2" t="s">
        <v>2399</v>
      </c>
    </row>
    <row r="13" ht="270" customHeight="1" spans="1:17">
      <c r="A13" s="4" t="s">
        <v>192</v>
      </c>
      <c r="B13" s="4" t="s">
        <v>2450</v>
      </c>
      <c r="C13" s="4" t="s">
        <v>2451</v>
      </c>
      <c r="D13" s="4" t="s">
        <v>2452</v>
      </c>
      <c r="E13" s="4" t="s">
        <v>2453</v>
      </c>
      <c r="F13" s="16" t="s">
        <v>2393</v>
      </c>
      <c r="G13" s="4" t="s">
        <v>2454</v>
      </c>
      <c r="H13" s="14" t="s">
        <v>161</v>
      </c>
      <c r="I13" s="4" t="s">
        <v>54</v>
      </c>
      <c r="J13" s="2" t="s">
        <v>54</v>
      </c>
      <c r="K13" s="2" t="s">
        <v>161</v>
      </c>
      <c r="L13" s="2" t="s">
        <v>2395</v>
      </c>
      <c r="M13" s="2" t="s">
        <v>2396</v>
      </c>
      <c r="N13" s="2" t="s">
        <v>161</v>
      </c>
      <c r="O13" s="2" t="s">
        <v>2397</v>
      </c>
      <c r="P13" s="2" t="s">
        <v>2398</v>
      </c>
      <c r="Q13" s="2" t="s">
        <v>2399</v>
      </c>
    </row>
    <row r="14" ht="270" customHeight="1" spans="1:17">
      <c r="A14" s="2" t="s">
        <v>195</v>
      </c>
      <c r="B14" s="2" t="s">
        <v>2455</v>
      </c>
      <c r="C14" s="2" t="s">
        <v>2456</v>
      </c>
      <c r="D14" s="2" t="s">
        <v>2457</v>
      </c>
      <c r="E14" s="2" t="s">
        <v>2458</v>
      </c>
      <c r="F14" s="15" t="s">
        <v>2393</v>
      </c>
      <c r="G14" s="2" t="s">
        <v>2459</v>
      </c>
      <c r="H14" s="14" t="s">
        <v>161</v>
      </c>
      <c r="I14" s="2" t="s">
        <v>54</v>
      </c>
      <c r="J14" s="2" t="s">
        <v>54</v>
      </c>
      <c r="K14" s="2" t="s">
        <v>161</v>
      </c>
      <c r="L14" s="2" t="s">
        <v>2395</v>
      </c>
      <c r="M14" s="2" t="s">
        <v>2396</v>
      </c>
      <c r="N14" s="2" t="s">
        <v>161</v>
      </c>
      <c r="O14" s="2" t="s">
        <v>2397</v>
      </c>
      <c r="P14" s="2" t="s">
        <v>2398</v>
      </c>
      <c r="Q14" s="2" t="s">
        <v>2399</v>
      </c>
    </row>
    <row r="15" ht="298.5" customHeight="1" spans="1:17">
      <c r="A15" s="4" t="s">
        <v>197</v>
      </c>
      <c r="B15" s="4" t="s">
        <v>2460</v>
      </c>
      <c r="C15" s="4" t="s">
        <v>2461</v>
      </c>
      <c r="D15" s="4" t="s">
        <v>2462</v>
      </c>
      <c r="E15" s="4" t="s">
        <v>2463</v>
      </c>
      <c r="F15" s="16" t="s">
        <v>2393</v>
      </c>
      <c r="G15" s="4" t="s">
        <v>2464</v>
      </c>
      <c r="H15" s="14" t="s">
        <v>161</v>
      </c>
      <c r="I15" s="4" t="s">
        <v>54</v>
      </c>
      <c r="J15" s="2" t="s">
        <v>54</v>
      </c>
      <c r="K15" s="2" t="s">
        <v>161</v>
      </c>
      <c r="L15" s="2" t="s">
        <v>2395</v>
      </c>
      <c r="M15" s="2" t="s">
        <v>2396</v>
      </c>
      <c r="N15" s="2" t="s">
        <v>161</v>
      </c>
      <c r="O15" s="2" t="s">
        <v>2397</v>
      </c>
      <c r="P15" s="2" t="s">
        <v>2398</v>
      </c>
      <c r="Q15" s="2" t="s">
        <v>2399</v>
      </c>
    </row>
    <row r="16" ht="270" customHeight="1" spans="1:17">
      <c r="A16" s="2" t="s">
        <v>200</v>
      </c>
      <c r="B16" s="2" t="s">
        <v>2465</v>
      </c>
      <c r="C16" s="2" t="s">
        <v>2466</v>
      </c>
      <c r="D16" s="2" t="s">
        <v>2467</v>
      </c>
      <c r="E16" s="2" t="s">
        <v>2468</v>
      </c>
      <c r="F16" s="15" t="s">
        <v>2285</v>
      </c>
      <c r="G16" s="2" t="s">
        <v>2469</v>
      </c>
      <c r="H16" s="14" t="s">
        <v>161</v>
      </c>
      <c r="I16" s="2" t="s">
        <v>54</v>
      </c>
      <c r="J16" s="2" t="s">
        <v>54</v>
      </c>
      <c r="K16" s="2" t="s">
        <v>161</v>
      </c>
      <c r="L16" s="2" t="s">
        <v>2395</v>
      </c>
      <c r="M16" s="2" t="s">
        <v>2396</v>
      </c>
      <c r="N16" s="2" t="s">
        <v>161</v>
      </c>
      <c r="O16" s="2" t="s">
        <v>2397</v>
      </c>
      <c r="P16" s="2" t="s">
        <v>2398</v>
      </c>
      <c r="Q16" s="2" t="s">
        <v>2399</v>
      </c>
    </row>
    <row r="17" ht="270" customHeight="1" spans="1:17">
      <c r="A17" s="4" t="s">
        <v>202</v>
      </c>
      <c r="B17" s="4" t="s">
        <v>2470</v>
      </c>
      <c r="C17" s="4" t="s">
        <v>2471</v>
      </c>
      <c r="D17" s="4" t="s">
        <v>2472</v>
      </c>
      <c r="E17" s="4" t="s">
        <v>2473</v>
      </c>
      <c r="F17" s="16" t="s">
        <v>2285</v>
      </c>
      <c r="G17" s="4" t="s">
        <v>2474</v>
      </c>
      <c r="H17" s="14" t="s">
        <v>161</v>
      </c>
      <c r="I17" s="4" t="s">
        <v>54</v>
      </c>
      <c r="J17" s="2" t="s">
        <v>54</v>
      </c>
      <c r="K17" s="2" t="s">
        <v>161</v>
      </c>
      <c r="L17" s="2" t="s">
        <v>2395</v>
      </c>
      <c r="M17" s="2" t="s">
        <v>2396</v>
      </c>
      <c r="N17" s="2" t="s">
        <v>161</v>
      </c>
      <c r="O17" s="2" t="s">
        <v>2397</v>
      </c>
      <c r="P17" s="2" t="s">
        <v>2398</v>
      </c>
      <c r="Q17" s="2" t="s">
        <v>2399</v>
      </c>
    </row>
    <row r="18" ht="270" customHeight="1" spans="1:17">
      <c r="A18" s="2" t="s">
        <v>205</v>
      </c>
      <c r="B18" s="2" t="s">
        <v>2475</v>
      </c>
      <c r="C18" s="2" t="s">
        <v>2476</v>
      </c>
      <c r="D18" s="2" t="s">
        <v>2477</v>
      </c>
      <c r="E18" s="2" t="s">
        <v>2478</v>
      </c>
      <c r="F18" s="15" t="s">
        <v>2285</v>
      </c>
      <c r="G18" s="2" t="s">
        <v>2479</v>
      </c>
      <c r="H18" s="14" t="s">
        <v>161</v>
      </c>
      <c r="I18" s="2" t="s">
        <v>54</v>
      </c>
      <c r="J18" s="2" t="s">
        <v>54</v>
      </c>
      <c r="K18" s="2" t="s">
        <v>161</v>
      </c>
      <c r="L18" s="2" t="s">
        <v>2395</v>
      </c>
      <c r="M18" s="2" t="s">
        <v>2396</v>
      </c>
      <c r="N18" s="2" t="s">
        <v>161</v>
      </c>
      <c r="O18" s="2" t="s">
        <v>2397</v>
      </c>
      <c r="P18" s="2" t="s">
        <v>2398</v>
      </c>
      <c r="Q18" s="2" t="s">
        <v>2399</v>
      </c>
    </row>
    <row r="19" ht="298.5" customHeight="1" spans="1:17">
      <c r="A19" s="4" t="s">
        <v>207</v>
      </c>
      <c r="B19" s="4" t="s">
        <v>2480</v>
      </c>
      <c r="C19" s="4" t="s">
        <v>2481</v>
      </c>
      <c r="D19" s="4" t="s">
        <v>2482</v>
      </c>
      <c r="E19" s="4" t="s">
        <v>2483</v>
      </c>
      <c r="F19" s="16" t="s">
        <v>2285</v>
      </c>
      <c r="G19" s="4" t="s">
        <v>2484</v>
      </c>
      <c r="H19" s="14" t="s">
        <v>161</v>
      </c>
      <c r="I19" s="4" t="s">
        <v>54</v>
      </c>
      <c r="J19" s="2" t="s">
        <v>54</v>
      </c>
      <c r="K19" s="2" t="s">
        <v>161</v>
      </c>
      <c r="L19" s="2" t="s">
        <v>2395</v>
      </c>
      <c r="M19" s="2" t="s">
        <v>2396</v>
      </c>
      <c r="N19" s="2" t="s">
        <v>161</v>
      </c>
      <c r="O19" s="2" t="s">
        <v>2397</v>
      </c>
      <c r="P19" s="2" t="s">
        <v>2398</v>
      </c>
      <c r="Q19" s="2" t="s">
        <v>2399</v>
      </c>
    </row>
    <row r="20" ht="270" customHeight="1" spans="1:17">
      <c r="A20" s="2" t="s">
        <v>210</v>
      </c>
      <c r="B20" s="2" t="s">
        <v>2485</v>
      </c>
      <c r="C20" s="2" t="s">
        <v>2486</v>
      </c>
      <c r="D20" s="2" t="s">
        <v>2487</v>
      </c>
      <c r="E20" s="2" t="s">
        <v>2488</v>
      </c>
      <c r="F20" s="15" t="s">
        <v>2393</v>
      </c>
      <c r="G20" s="2" t="s">
        <v>2489</v>
      </c>
      <c r="H20" s="14" t="s">
        <v>161</v>
      </c>
      <c r="I20" s="2" t="s">
        <v>54</v>
      </c>
      <c r="J20" s="2" t="s">
        <v>54</v>
      </c>
      <c r="K20" s="2" t="s">
        <v>161</v>
      </c>
      <c r="L20" s="2" t="s">
        <v>2395</v>
      </c>
      <c r="M20" s="2" t="s">
        <v>2396</v>
      </c>
      <c r="N20" s="2" t="s">
        <v>161</v>
      </c>
      <c r="O20" s="2" t="s">
        <v>2397</v>
      </c>
      <c r="P20" s="2" t="s">
        <v>2398</v>
      </c>
      <c r="Q20" s="2" t="s">
        <v>2399</v>
      </c>
    </row>
    <row r="21" ht="270" customHeight="1" spans="1:17">
      <c r="A21" s="4" t="s">
        <v>212</v>
      </c>
      <c r="B21" s="4" t="s">
        <v>2490</v>
      </c>
      <c r="C21" s="4" t="s">
        <v>2491</v>
      </c>
      <c r="D21" s="4" t="s">
        <v>2492</v>
      </c>
      <c r="E21" s="4" t="s">
        <v>2493</v>
      </c>
      <c r="F21" s="16" t="s">
        <v>2393</v>
      </c>
      <c r="G21" s="4" t="s">
        <v>2494</v>
      </c>
      <c r="H21" s="14" t="s">
        <v>161</v>
      </c>
      <c r="I21" s="4" t="s">
        <v>54</v>
      </c>
      <c r="J21" s="2" t="s">
        <v>54</v>
      </c>
      <c r="K21" s="2" t="s">
        <v>161</v>
      </c>
      <c r="L21" s="2" t="s">
        <v>2395</v>
      </c>
      <c r="M21" s="2" t="s">
        <v>2396</v>
      </c>
      <c r="N21" s="2" t="s">
        <v>161</v>
      </c>
      <c r="O21" s="2" t="s">
        <v>2397</v>
      </c>
      <c r="P21" s="2" t="s">
        <v>2398</v>
      </c>
      <c r="Q21" s="2" t="s">
        <v>2399</v>
      </c>
    </row>
    <row r="22" ht="270" customHeight="1" spans="1:17">
      <c r="A22" s="2" t="s">
        <v>215</v>
      </c>
      <c r="B22" s="2" t="s">
        <v>2495</v>
      </c>
      <c r="C22" s="2" t="s">
        <v>2496</v>
      </c>
      <c r="D22" s="2" t="s">
        <v>2497</v>
      </c>
      <c r="E22" s="2" t="s">
        <v>2498</v>
      </c>
      <c r="F22" s="15" t="s">
        <v>2393</v>
      </c>
      <c r="G22" s="2" t="s">
        <v>2499</v>
      </c>
      <c r="H22" s="14" t="s">
        <v>161</v>
      </c>
      <c r="I22" s="2" t="s">
        <v>54</v>
      </c>
      <c r="J22" s="2" t="s">
        <v>54</v>
      </c>
      <c r="K22" s="2" t="s">
        <v>161</v>
      </c>
      <c r="L22" s="2" t="s">
        <v>2395</v>
      </c>
      <c r="M22" s="2" t="s">
        <v>2396</v>
      </c>
      <c r="N22" s="2" t="s">
        <v>161</v>
      </c>
      <c r="O22" s="2" t="s">
        <v>2397</v>
      </c>
      <c r="P22" s="2" t="s">
        <v>2398</v>
      </c>
      <c r="Q22" s="2" t="s">
        <v>2399</v>
      </c>
    </row>
    <row r="23" ht="270" customHeight="1" spans="1:17">
      <c r="A23" s="4" t="s">
        <v>217</v>
      </c>
      <c r="B23" s="4" t="s">
        <v>2500</v>
      </c>
      <c r="C23" s="4" t="s">
        <v>2501</v>
      </c>
      <c r="D23" s="4" t="s">
        <v>2502</v>
      </c>
      <c r="E23" s="4" t="s">
        <v>2503</v>
      </c>
      <c r="F23" s="16" t="s">
        <v>2393</v>
      </c>
      <c r="G23" s="4" t="s">
        <v>2504</v>
      </c>
      <c r="H23" s="14" t="s">
        <v>161</v>
      </c>
      <c r="I23" s="4" t="s">
        <v>54</v>
      </c>
      <c r="J23" s="2" t="s">
        <v>54</v>
      </c>
      <c r="K23" s="2" t="s">
        <v>161</v>
      </c>
      <c r="L23" s="2" t="s">
        <v>2395</v>
      </c>
      <c r="M23" s="2" t="s">
        <v>2396</v>
      </c>
      <c r="N23" s="2" t="s">
        <v>161</v>
      </c>
      <c r="O23" s="2" t="s">
        <v>2397</v>
      </c>
      <c r="P23" s="2" t="s">
        <v>2398</v>
      </c>
      <c r="Q23" s="2" t="s">
        <v>2399</v>
      </c>
    </row>
    <row r="24" ht="284.25" customHeight="1" spans="1:17">
      <c r="A24" s="2" t="s">
        <v>220</v>
      </c>
      <c r="B24" s="2" t="s">
        <v>2505</v>
      </c>
      <c r="C24" s="2" t="s">
        <v>2506</v>
      </c>
      <c r="D24" s="2" t="s">
        <v>2507</v>
      </c>
      <c r="E24" s="2" t="s">
        <v>2508</v>
      </c>
      <c r="F24" s="15" t="s">
        <v>2393</v>
      </c>
      <c r="G24" s="2" t="s">
        <v>2509</v>
      </c>
      <c r="H24" s="14" t="s">
        <v>161</v>
      </c>
      <c r="I24" s="2" t="s">
        <v>54</v>
      </c>
      <c r="J24" s="2" t="s">
        <v>54</v>
      </c>
      <c r="K24" s="2" t="s">
        <v>161</v>
      </c>
      <c r="L24" s="2" t="s">
        <v>2395</v>
      </c>
      <c r="M24" s="2" t="s">
        <v>2396</v>
      </c>
      <c r="N24" s="2" t="s">
        <v>161</v>
      </c>
      <c r="O24" s="2" t="s">
        <v>2397</v>
      </c>
      <c r="P24" s="2" t="s">
        <v>2398</v>
      </c>
      <c r="Q24" s="2" t="s">
        <v>2399</v>
      </c>
    </row>
    <row r="25" ht="312.75" customHeight="1" spans="1:17">
      <c r="A25" s="4" t="s">
        <v>222</v>
      </c>
      <c r="B25" s="4" t="s">
        <v>2510</v>
      </c>
      <c r="C25" s="4" t="s">
        <v>2511</v>
      </c>
      <c r="D25" s="4" t="s">
        <v>2512</v>
      </c>
      <c r="E25" s="4" t="s">
        <v>2513</v>
      </c>
      <c r="F25" s="16" t="s">
        <v>2393</v>
      </c>
      <c r="G25" s="4" t="s">
        <v>2514</v>
      </c>
      <c r="H25" s="14" t="s">
        <v>161</v>
      </c>
      <c r="I25" s="4" t="s">
        <v>54</v>
      </c>
      <c r="J25" s="2" t="s">
        <v>54</v>
      </c>
      <c r="K25" s="2" t="s">
        <v>161</v>
      </c>
      <c r="L25" s="2" t="s">
        <v>2395</v>
      </c>
      <c r="M25" s="2" t="s">
        <v>2396</v>
      </c>
      <c r="N25" s="2" t="s">
        <v>161</v>
      </c>
      <c r="O25" s="2" t="s">
        <v>2397</v>
      </c>
      <c r="P25" s="2" t="s">
        <v>2398</v>
      </c>
      <c r="Q25" s="2" t="s">
        <v>2399</v>
      </c>
    </row>
    <row r="26" ht="284.25" customHeight="1" spans="1:17">
      <c r="A26" s="2" t="s">
        <v>225</v>
      </c>
      <c r="B26" s="2" t="s">
        <v>2515</v>
      </c>
      <c r="C26" s="2" t="s">
        <v>2516</v>
      </c>
      <c r="D26" s="2" t="s">
        <v>2517</v>
      </c>
      <c r="E26" s="2" t="s">
        <v>2518</v>
      </c>
      <c r="F26" s="15" t="s">
        <v>2393</v>
      </c>
      <c r="G26" s="2" t="s">
        <v>2519</v>
      </c>
      <c r="H26" s="14" t="s">
        <v>161</v>
      </c>
      <c r="I26" s="2" t="s">
        <v>54</v>
      </c>
      <c r="J26" s="2" t="s">
        <v>54</v>
      </c>
      <c r="K26" s="2" t="s">
        <v>161</v>
      </c>
      <c r="L26" s="2" t="s">
        <v>2395</v>
      </c>
      <c r="M26" s="2" t="s">
        <v>2396</v>
      </c>
      <c r="N26" s="2" t="s">
        <v>161</v>
      </c>
      <c r="O26" s="2" t="s">
        <v>2397</v>
      </c>
      <c r="P26" s="2" t="s">
        <v>2398</v>
      </c>
      <c r="Q26" s="2" t="s">
        <v>2399</v>
      </c>
    </row>
    <row r="27" ht="284.25" customHeight="1" spans="1:17">
      <c r="A27" s="4" t="s">
        <v>227</v>
      </c>
      <c r="B27" s="4" t="s">
        <v>2520</v>
      </c>
      <c r="C27" s="4" t="s">
        <v>2521</v>
      </c>
      <c r="D27" s="4" t="s">
        <v>2522</v>
      </c>
      <c r="E27" s="4" t="s">
        <v>2523</v>
      </c>
      <c r="F27" s="16" t="s">
        <v>2393</v>
      </c>
      <c r="G27" s="4" t="s">
        <v>2524</v>
      </c>
      <c r="H27" s="14" t="s">
        <v>161</v>
      </c>
      <c r="I27" s="4" t="s">
        <v>54</v>
      </c>
      <c r="J27" s="2" t="s">
        <v>54</v>
      </c>
      <c r="K27" s="2" t="s">
        <v>161</v>
      </c>
      <c r="L27" s="2" t="s">
        <v>2395</v>
      </c>
      <c r="M27" s="2" t="s">
        <v>2396</v>
      </c>
      <c r="N27" s="2" t="s">
        <v>161</v>
      </c>
      <c r="O27" s="2" t="s">
        <v>2397</v>
      </c>
      <c r="P27" s="2" t="s">
        <v>2398</v>
      </c>
      <c r="Q27" s="2" t="s">
        <v>2399</v>
      </c>
    </row>
    <row r="28" ht="284.25" customHeight="1" spans="1:17">
      <c r="A28" s="2" t="s">
        <v>230</v>
      </c>
      <c r="B28" s="2" t="s">
        <v>2525</v>
      </c>
      <c r="C28" s="2" t="s">
        <v>2526</v>
      </c>
      <c r="D28" s="2" t="s">
        <v>2527</v>
      </c>
      <c r="E28" s="2" t="s">
        <v>2528</v>
      </c>
      <c r="F28" s="15" t="s">
        <v>2393</v>
      </c>
      <c r="G28" s="2" t="s">
        <v>2529</v>
      </c>
      <c r="H28" s="14" t="s">
        <v>161</v>
      </c>
      <c r="I28" s="2" t="s">
        <v>54</v>
      </c>
      <c r="J28" s="2" t="s">
        <v>54</v>
      </c>
      <c r="K28" s="2" t="s">
        <v>161</v>
      </c>
      <c r="L28" s="2" t="s">
        <v>2395</v>
      </c>
      <c r="M28" s="2" t="s">
        <v>2396</v>
      </c>
      <c r="N28" s="2" t="s">
        <v>161</v>
      </c>
      <c r="O28" s="2" t="s">
        <v>2397</v>
      </c>
      <c r="P28" s="2" t="s">
        <v>2398</v>
      </c>
      <c r="Q28" s="2" t="s">
        <v>2399</v>
      </c>
    </row>
    <row r="29" ht="312.75" customHeight="1" spans="1:17">
      <c r="A29" s="4" t="s">
        <v>232</v>
      </c>
      <c r="B29" s="4" t="s">
        <v>2530</v>
      </c>
      <c r="C29" s="4" t="s">
        <v>2531</v>
      </c>
      <c r="D29" s="4" t="s">
        <v>2532</v>
      </c>
      <c r="E29" s="4" t="s">
        <v>2533</v>
      </c>
      <c r="F29" s="16" t="s">
        <v>2393</v>
      </c>
      <c r="G29" s="4" t="s">
        <v>2534</v>
      </c>
      <c r="H29" s="14" t="s">
        <v>161</v>
      </c>
      <c r="I29" s="4" t="s">
        <v>54</v>
      </c>
      <c r="J29" s="2" t="s">
        <v>54</v>
      </c>
      <c r="K29" s="2" t="s">
        <v>161</v>
      </c>
      <c r="L29" s="2" t="s">
        <v>2395</v>
      </c>
      <c r="M29" s="2" t="s">
        <v>2396</v>
      </c>
      <c r="N29" s="2" t="s">
        <v>161</v>
      </c>
      <c r="O29" s="2" t="s">
        <v>2397</v>
      </c>
      <c r="P29" s="2" t="s">
        <v>2398</v>
      </c>
      <c r="Q29" s="2" t="s">
        <v>2399</v>
      </c>
    </row>
    <row r="30" ht="270" customHeight="1" spans="1:17">
      <c r="A30" s="2" t="s">
        <v>235</v>
      </c>
      <c r="B30" s="2" t="s">
        <v>2535</v>
      </c>
      <c r="C30" s="2" t="s">
        <v>2536</v>
      </c>
      <c r="D30" s="2" t="s">
        <v>2537</v>
      </c>
      <c r="E30" s="2" t="s">
        <v>2538</v>
      </c>
      <c r="F30" s="15" t="s">
        <v>2393</v>
      </c>
      <c r="G30" s="2" t="s">
        <v>2539</v>
      </c>
      <c r="H30" s="14" t="s">
        <v>161</v>
      </c>
      <c r="I30" s="2" t="s">
        <v>54</v>
      </c>
      <c r="J30" s="2" t="s">
        <v>54</v>
      </c>
      <c r="K30" s="2" t="s">
        <v>161</v>
      </c>
      <c r="L30" s="2" t="s">
        <v>2395</v>
      </c>
      <c r="M30" s="2" t="s">
        <v>2396</v>
      </c>
      <c r="N30" s="2" t="s">
        <v>161</v>
      </c>
      <c r="O30" s="2" t="s">
        <v>2397</v>
      </c>
      <c r="P30" s="2" t="s">
        <v>2398</v>
      </c>
      <c r="Q30" s="2" t="s">
        <v>2399</v>
      </c>
    </row>
    <row r="31" ht="298.5" customHeight="1" spans="1:17">
      <c r="A31" s="4" t="s">
        <v>237</v>
      </c>
      <c r="B31" s="4" t="s">
        <v>2540</v>
      </c>
      <c r="C31" s="4" t="s">
        <v>2541</v>
      </c>
      <c r="D31" s="4" t="s">
        <v>2542</v>
      </c>
      <c r="E31" s="4" t="s">
        <v>2543</v>
      </c>
      <c r="F31" s="16" t="s">
        <v>2393</v>
      </c>
      <c r="G31" s="4" t="s">
        <v>2544</v>
      </c>
      <c r="H31" s="14" t="s">
        <v>161</v>
      </c>
      <c r="I31" s="4" t="s">
        <v>54</v>
      </c>
      <c r="J31" s="2" t="s">
        <v>54</v>
      </c>
      <c r="K31" s="2" t="s">
        <v>161</v>
      </c>
      <c r="L31" s="2" t="s">
        <v>2395</v>
      </c>
      <c r="M31" s="2" t="s">
        <v>2396</v>
      </c>
      <c r="N31" s="2" t="s">
        <v>161</v>
      </c>
      <c r="O31" s="2" t="s">
        <v>2397</v>
      </c>
      <c r="P31" s="2" t="s">
        <v>2398</v>
      </c>
      <c r="Q31" s="2" t="s">
        <v>2399</v>
      </c>
    </row>
    <row r="32" ht="284.25" customHeight="1" spans="1:17">
      <c r="A32" s="2" t="s">
        <v>240</v>
      </c>
      <c r="B32" s="2" t="s">
        <v>2545</v>
      </c>
      <c r="C32" s="2" t="s">
        <v>2546</v>
      </c>
      <c r="D32" s="2" t="s">
        <v>2547</v>
      </c>
      <c r="E32" s="2" t="s">
        <v>2548</v>
      </c>
      <c r="F32" s="15" t="s">
        <v>2285</v>
      </c>
      <c r="G32" s="2" t="s">
        <v>2549</v>
      </c>
      <c r="H32" s="14" t="s">
        <v>161</v>
      </c>
      <c r="I32" s="2" t="s">
        <v>54</v>
      </c>
      <c r="J32" s="2" t="s">
        <v>54</v>
      </c>
      <c r="K32" s="2" t="s">
        <v>161</v>
      </c>
      <c r="L32" s="2" t="s">
        <v>2395</v>
      </c>
      <c r="M32" s="2" t="s">
        <v>2396</v>
      </c>
      <c r="N32" s="2" t="s">
        <v>161</v>
      </c>
      <c r="O32" s="2" t="s">
        <v>2397</v>
      </c>
      <c r="P32" s="2" t="s">
        <v>2398</v>
      </c>
      <c r="Q32" s="2" t="s">
        <v>2399</v>
      </c>
    </row>
    <row r="33" ht="312.75" customHeight="1" spans="1:17">
      <c r="A33" s="4" t="s">
        <v>242</v>
      </c>
      <c r="B33" s="4" t="s">
        <v>2550</v>
      </c>
      <c r="C33" s="4" t="s">
        <v>2551</v>
      </c>
      <c r="D33" s="4" t="s">
        <v>2552</v>
      </c>
      <c r="E33" s="4" t="s">
        <v>2553</v>
      </c>
      <c r="F33" s="16" t="s">
        <v>2285</v>
      </c>
      <c r="G33" s="4" t="s">
        <v>2554</v>
      </c>
      <c r="H33" s="14" t="s">
        <v>161</v>
      </c>
      <c r="I33" s="4" t="s">
        <v>54</v>
      </c>
      <c r="J33" s="2" t="s">
        <v>54</v>
      </c>
      <c r="K33" s="2" t="s">
        <v>161</v>
      </c>
      <c r="L33" s="2" t="s">
        <v>2395</v>
      </c>
      <c r="M33" s="2" t="s">
        <v>2396</v>
      </c>
      <c r="N33" s="2" t="s">
        <v>161</v>
      </c>
      <c r="O33" s="2" t="s">
        <v>2397</v>
      </c>
      <c r="P33" s="2" t="s">
        <v>2398</v>
      </c>
      <c r="Q33" s="2" t="s">
        <v>2399</v>
      </c>
    </row>
    <row r="34" ht="270" customHeight="1" spans="1:17">
      <c r="A34" s="2" t="s">
        <v>245</v>
      </c>
      <c r="B34" s="2" t="s">
        <v>2555</v>
      </c>
      <c r="C34" s="2" t="s">
        <v>2556</v>
      </c>
      <c r="D34" s="2" t="s">
        <v>2557</v>
      </c>
      <c r="E34" s="2" t="s">
        <v>2558</v>
      </c>
      <c r="F34" s="15" t="s">
        <v>2285</v>
      </c>
      <c r="G34" s="2" t="s">
        <v>2559</v>
      </c>
      <c r="H34" s="14" t="s">
        <v>161</v>
      </c>
      <c r="I34" s="2" t="s">
        <v>54</v>
      </c>
      <c r="J34" s="2" t="s">
        <v>54</v>
      </c>
      <c r="K34" s="2" t="s">
        <v>161</v>
      </c>
      <c r="L34" s="2" t="s">
        <v>2395</v>
      </c>
      <c r="M34" s="2" t="s">
        <v>2396</v>
      </c>
      <c r="N34" s="2" t="s">
        <v>161</v>
      </c>
      <c r="O34" s="2" t="s">
        <v>2397</v>
      </c>
      <c r="P34" s="2" t="s">
        <v>2398</v>
      </c>
      <c r="Q34" s="2" t="s">
        <v>2399</v>
      </c>
    </row>
    <row r="35" ht="298.5" customHeight="1" spans="1:17">
      <c r="A35" s="4" t="s">
        <v>247</v>
      </c>
      <c r="B35" s="4" t="s">
        <v>2560</v>
      </c>
      <c r="C35" s="4" t="s">
        <v>2561</v>
      </c>
      <c r="D35" s="4" t="s">
        <v>2562</v>
      </c>
      <c r="E35" s="4" t="s">
        <v>2563</v>
      </c>
      <c r="F35" s="16" t="s">
        <v>2285</v>
      </c>
      <c r="G35" s="4" t="s">
        <v>2564</v>
      </c>
      <c r="H35" s="14" t="s">
        <v>161</v>
      </c>
      <c r="I35" s="4" t="s">
        <v>54</v>
      </c>
      <c r="J35" s="2" t="s">
        <v>54</v>
      </c>
      <c r="K35" s="2" t="s">
        <v>161</v>
      </c>
      <c r="L35" s="2" t="s">
        <v>2395</v>
      </c>
      <c r="M35" s="2" t="s">
        <v>2396</v>
      </c>
      <c r="N35" s="2" t="s">
        <v>161</v>
      </c>
      <c r="O35" s="2" t="s">
        <v>2397</v>
      </c>
      <c r="P35" s="2" t="s">
        <v>2398</v>
      </c>
      <c r="Q35" s="2" t="s">
        <v>2399</v>
      </c>
    </row>
    <row r="36" ht="284.25" customHeight="1" spans="1:17">
      <c r="A36" s="2" t="s">
        <v>250</v>
      </c>
      <c r="B36" s="2" t="s">
        <v>2565</v>
      </c>
      <c r="C36" s="2" t="s">
        <v>2566</v>
      </c>
      <c r="D36" s="2" t="s">
        <v>2567</v>
      </c>
      <c r="E36" s="2" t="s">
        <v>2568</v>
      </c>
      <c r="F36" s="15" t="s">
        <v>2393</v>
      </c>
      <c r="G36" s="2" t="s">
        <v>2569</v>
      </c>
      <c r="H36" s="14" t="s">
        <v>161</v>
      </c>
      <c r="I36" s="2" t="s">
        <v>54</v>
      </c>
      <c r="J36" s="2" t="s">
        <v>54</v>
      </c>
      <c r="K36" s="2" t="s">
        <v>161</v>
      </c>
      <c r="L36" s="2" t="s">
        <v>2395</v>
      </c>
      <c r="M36" s="2" t="s">
        <v>2396</v>
      </c>
      <c r="N36" s="2" t="s">
        <v>161</v>
      </c>
      <c r="O36" s="2" t="s">
        <v>2397</v>
      </c>
      <c r="P36" s="2" t="s">
        <v>2398</v>
      </c>
      <c r="Q36" s="2" t="s">
        <v>2399</v>
      </c>
    </row>
    <row r="37" ht="312.75" customHeight="1" spans="1:17">
      <c r="A37" s="4" t="s">
        <v>252</v>
      </c>
      <c r="B37" s="4" t="s">
        <v>2570</v>
      </c>
      <c r="C37" s="4" t="s">
        <v>2571</v>
      </c>
      <c r="D37" s="4" t="s">
        <v>2572</v>
      </c>
      <c r="E37" s="4" t="s">
        <v>2573</v>
      </c>
      <c r="F37" s="16" t="s">
        <v>2393</v>
      </c>
      <c r="G37" s="4" t="s">
        <v>2574</v>
      </c>
      <c r="H37" s="14" t="s">
        <v>161</v>
      </c>
      <c r="I37" s="4" t="s">
        <v>54</v>
      </c>
      <c r="J37" s="2" t="s">
        <v>54</v>
      </c>
      <c r="K37" s="2" t="s">
        <v>161</v>
      </c>
      <c r="L37" s="2" t="s">
        <v>2395</v>
      </c>
      <c r="M37" s="2" t="s">
        <v>2396</v>
      </c>
      <c r="N37" s="2" t="s">
        <v>161</v>
      </c>
      <c r="O37" s="2" t="s">
        <v>2397</v>
      </c>
      <c r="P37" s="2" t="s">
        <v>2398</v>
      </c>
      <c r="Q37" s="2" t="s">
        <v>2399</v>
      </c>
    </row>
    <row r="38" ht="270" customHeight="1" spans="1:17">
      <c r="A38" s="2" t="s">
        <v>255</v>
      </c>
      <c r="B38" s="2" t="s">
        <v>2575</v>
      </c>
      <c r="C38" s="2" t="s">
        <v>2576</v>
      </c>
      <c r="D38" s="2" t="s">
        <v>2577</v>
      </c>
      <c r="E38" s="2" t="s">
        <v>2578</v>
      </c>
      <c r="F38" s="15" t="s">
        <v>2285</v>
      </c>
      <c r="G38" s="2" t="s">
        <v>2579</v>
      </c>
      <c r="H38" s="14" t="s">
        <v>161</v>
      </c>
      <c r="I38" s="2" t="s">
        <v>54</v>
      </c>
      <c r="J38" s="2" t="s">
        <v>54</v>
      </c>
      <c r="K38" s="2" t="s">
        <v>161</v>
      </c>
      <c r="L38" s="2" t="s">
        <v>2395</v>
      </c>
      <c r="M38" s="2" t="s">
        <v>2396</v>
      </c>
      <c r="N38" s="2" t="s">
        <v>161</v>
      </c>
      <c r="O38" s="2" t="s">
        <v>2397</v>
      </c>
      <c r="P38" s="2" t="s">
        <v>2398</v>
      </c>
      <c r="Q38" s="2" t="s">
        <v>2399</v>
      </c>
    </row>
    <row r="39" ht="298.5" customHeight="1" spans="1:17">
      <c r="A39" s="4" t="s">
        <v>257</v>
      </c>
      <c r="B39" s="4" t="s">
        <v>2580</v>
      </c>
      <c r="C39" s="4" t="s">
        <v>2581</v>
      </c>
      <c r="D39" s="4" t="s">
        <v>2582</v>
      </c>
      <c r="E39" s="4" t="s">
        <v>2583</v>
      </c>
      <c r="F39" s="16" t="s">
        <v>2285</v>
      </c>
      <c r="G39" s="4" t="s">
        <v>2584</v>
      </c>
      <c r="H39" s="14" t="s">
        <v>161</v>
      </c>
      <c r="I39" s="4" t="s">
        <v>54</v>
      </c>
      <c r="J39" s="2" t="s">
        <v>54</v>
      </c>
      <c r="K39" s="2" t="s">
        <v>161</v>
      </c>
      <c r="L39" s="2" t="s">
        <v>2395</v>
      </c>
      <c r="M39" s="2" t="s">
        <v>2396</v>
      </c>
      <c r="N39" s="2" t="s">
        <v>161</v>
      </c>
      <c r="O39" s="2" t="s">
        <v>2397</v>
      </c>
      <c r="P39" s="2" t="s">
        <v>2398</v>
      </c>
      <c r="Q39" s="2" t="s">
        <v>2399</v>
      </c>
    </row>
    <row r="40" ht="284.25" customHeight="1" spans="1:17">
      <c r="A40" s="2" t="s">
        <v>260</v>
      </c>
      <c r="B40" s="2" t="s">
        <v>2585</v>
      </c>
      <c r="C40" s="2" t="s">
        <v>2586</v>
      </c>
      <c r="D40" s="2" t="s">
        <v>2587</v>
      </c>
      <c r="E40" s="2" t="s">
        <v>2588</v>
      </c>
      <c r="F40" s="15" t="s">
        <v>2285</v>
      </c>
      <c r="G40" s="2" t="s">
        <v>2589</v>
      </c>
      <c r="H40" s="14" t="s">
        <v>161</v>
      </c>
      <c r="I40" s="2" t="s">
        <v>54</v>
      </c>
      <c r="J40" s="2" t="s">
        <v>54</v>
      </c>
      <c r="K40" s="2" t="s">
        <v>161</v>
      </c>
      <c r="L40" s="2" t="s">
        <v>2395</v>
      </c>
      <c r="M40" s="2" t="s">
        <v>2396</v>
      </c>
      <c r="N40" s="2" t="s">
        <v>161</v>
      </c>
      <c r="O40" s="2" t="s">
        <v>2397</v>
      </c>
      <c r="P40" s="2" t="s">
        <v>2398</v>
      </c>
      <c r="Q40" s="2" t="s">
        <v>2399</v>
      </c>
    </row>
    <row r="41" ht="312.75" customHeight="1" spans="1:17">
      <c r="A41" s="4" t="s">
        <v>262</v>
      </c>
      <c r="B41" s="4" t="s">
        <v>2590</v>
      </c>
      <c r="C41" s="4" t="s">
        <v>2591</v>
      </c>
      <c r="D41" s="4" t="s">
        <v>2592</v>
      </c>
      <c r="E41" s="4" t="s">
        <v>2593</v>
      </c>
      <c r="F41" s="16" t="s">
        <v>2285</v>
      </c>
      <c r="G41" s="4" t="s">
        <v>2594</v>
      </c>
      <c r="H41" s="14" t="s">
        <v>161</v>
      </c>
      <c r="I41" s="4" t="s">
        <v>54</v>
      </c>
      <c r="J41" s="2" t="s">
        <v>54</v>
      </c>
      <c r="K41" s="2" t="s">
        <v>161</v>
      </c>
      <c r="L41" s="2" t="s">
        <v>2395</v>
      </c>
      <c r="M41" s="2" t="s">
        <v>2396</v>
      </c>
      <c r="N41" s="2" t="s">
        <v>161</v>
      </c>
      <c r="O41" s="2" t="s">
        <v>2397</v>
      </c>
      <c r="P41" s="2" t="s">
        <v>2398</v>
      </c>
      <c r="Q41" s="2" t="s">
        <v>2399</v>
      </c>
    </row>
    <row r="42" ht="270" customHeight="1" spans="1:17">
      <c r="A42" s="2" t="s">
        <v>265</v>
      </c>
      <c r="B42" s="2" t="s">
        <v>2595</v>
      </c>
      <c r="C42" s="2" t="s">
        <v>2596</v>
      </c>
      <c r="D42" s="2" t="s">
        <v>2597</v>
      </c>
      <c r="E42" s="2" t="s">
        <v>2598</v>
      </c>
      <c r="F42" s="15" t="s">
        <v>2393</v>
      </c>
      <c r="G42" s="2" t="s">
        <v>2599</v>
      </c>
      <c r="H42" s="14" t="s">
        <v>161</v>
      </c>
      <c r="I42" s="2" t="s">
        <v>54</v>
      </c>
      <c r="J42" s="2" t="s">
        <v>54</v>
      </c>
      <c r="K42" s="2" t="s">
        <v>161</v>
      </c>
      <c r="L42" s="2" t="s">
        <v>2395</v>
      </c>
      <c r="M42" s="2" t="s">
        <v>2396</v>
      </c>
      <c r="N42" s="2" t="s">
        <v>161</v>
      </c>
      <c r="O42" s="2" t="s">
        <v>2397</v>
      </c>
      <c r="P42" s="2" t="s">
        <v>2398</v>
      </c>
      <c r="Q42" s="2" t="s">
        <v>2399</v>
      </c>
    </row>
    <row r="43" ht="270" customHeight="1" spans="1:17">
      <c r="A43" s="4" t="s">
        <v>267</v>
      </c>
      <c r="B43" s="4" t="s">
        <v>2600</v>
      </c>
      <c r="C43" s="4" t="s">
        <v>2601</v>
      </c>
      <c r="D43" s="4" t="s">
        <v>2602</v>
      </c>
      <c r="E43" s="4" t="s">
        <v>2603</v>
      </c>
      <c r="F43" s="16" t="s">
        <v>2393</v>
      </c>
      <c r="G43" s="4" t="s">
        <v>2604</v>
      </c>
      <c r="H43" s="14" t="s">
        <v>161</v>
      </c>
      <c r="I43" s="4" t="s">
        <v>54</v>
      </c>
      <c r="J43" s="2" t="s">
        <v>54</v>
      </c>
      <c r="K43" s="2" t="s">
        <v>161</v>
      </c>
      <c r="L43" s="2" t="s">
        <v>2395</v>
      </c>
      <c r="M43" s="2" t="s">
        <v>2396</v>
      </c>
      <c r="N43" s="2" t="s">
        <v>161</v>
      </c>
      <c r="O43" s="2" t="s">
        <v>2397</v>
      </c>
      <c r="P43" s="2" t="s">
        <v>2398</v>
      </c>
      <c r="Q43" s="2" t="s">
        <v>2399</v>
      </c>
    </row>
    <row r="44" ht="270" customHeight="1" spans="1:17">
      <c r="A44" s="2" t="s">
        <v>270</v>
      </c>
      <c r="B44" s="2" t="s">
        <v>2605</v>
      </c>
      <c r="C44" s="2" t="s">
        <v>2606</v>
      </c>
      <c r="D44" s="2" t="s">
        <v>2607</v>
      </c>
      <c r="E44" s="2" t="s">
        <v>2608</v>
      </c>
      <c r="F44" s="15" t="s">
        <v>2393</v>
      </c>
      <c r="G44" s="2" t="s">
        <v>2609</v>
      </c>
      <c r="H44" s="14" t="s">
        <v>161</v>
      </c>
      <c r="I44" s="2" t="s">
        <v>54</v>
      </c>
      <c r="J44" s="2" t="s">
        <v>54</v>
      </c>
      <c r="K44" s="2" t="s">
        <v>161</v>
      </c>
      <c r="L44" s="2" t="s">
        <v>2395</v>
      </c>
      <c r="M44" s="2" t="s">
        <v>2396</v>
      </c>
      <c r="N44" s="2" t="s">
        <v>161</v>
      </c>
      <c r="O44" s="2" t="s">
        <v>2397</v>
      </c>
      <c r="P44" s="2" t="s">
        <v>2398</v>
      </c>
      <c r="Q44" s="2" t="s">
        <v>2399</v>
      </c>
    </row>
    <row r="45" ht="298.5" customHeight="1" spans="1:17">
      <c r="A45" s="4" t="s">
        <v>272</v>
      </c>
      <c r="B45" s="4" t="s">
        <v>2610</v>
      </c>
      <c r="C45" s="4" t="s">
        <v>2611</v>
      </c>
      <c r="D45" s="4" t="s">
        <v>2612</v>
      </c>
      <c r="E45" s="4" t="s">
        <v>2613</v>
      </c>
      <c r="F45" s="16" t="s">
        <v>2393</v>
      </c>
      <c r="G45" s="4" t="s">
        <v>2614</v>
      </c>
      <c r="H45" s="14" t="s">
        <v>161</v>
      </c>
      <c r="I45" s="4" t="s">
        <v>54</v>
      </c>
      <c r="J45" s="2" t="s">
        <v>54</v>
      </c>
      <c r="K45" s="2" t="s">
        <v>161</v>
      </c>
      <c r="L45" s="2" t="s">
        <v>2395</v>
      </c>
      <c r="M45" s="2" t="s">
        <v>2396</v>
      </c>
      <c r="N45" s="2" t="s">
        <v>161</v>
      </c>
      <c r="O45" s="2" t="s">
        <v>2397</v>
      </c>
      <c r="P45" s="2" t="s">
        <v>2398</v>
      </c>
      <c r="Q45" s="2" t="s">
        <v>2399</v>
      </c>
    </row>
    <row r="46" ht="270" customHeight="1" spans="1:17">
      <c r="A46" s="2" t="s">
        <v>275</v>
      </c>
      <c r="B46" s="2" t="s">
        <v>2615</v>
      </c>
      <c r="C46" s="2" t="s">
        <v>2616</v>
      </c>
      <c r="D46" s="2" t="s">
        <v>2617</v>
      </c>
      <c r="E46" s="2" t="s">
        <v>2618</v>
      </c>
      <c r="F46" s="15" t="s">
        <v>2285</v>
      </c>
      <c r="G46" s="2" t="s">
        <v>2619</v>
      </c>
      <c r="H46" s="14" t="s">
        <v>161</v>
      </c>
      <c r="I46" s="2" t="s">
        <v>54</v>
      </c>
      <c r="J46" s="2" t="s">
        <v>54</v>
      </c>
      <c r="K46" s="2" t="s">
        <v>161</v>
      </c>
      <c r="L46" s="2" t="s">
        <v>2395</v>
      </c>
      <c r="M46" s="2" t="s">
        <v>2396</v>
      </c>
      <c r="N46" s="2" t="s">
        <v>161</v>
      </c>
      <c r="O46" s="2" t="s">
        <v>2397</v>
      </c>
      <c r="P46" s="2" t="s">
        <v>2398</v>
      </c>
      <c r="Q46" s="2" t="s">
        <v>2399</v>
      </c>
    </row>
    <row r="47" ht="298.5" customHeight="1" spans="1:17">
      <c r="A47" s="4" t="s">
        <v>277</v>
      </c>
      <c r="B47" s="4" t="s">
        <v>2620</v>
      </c>
      <c r="C47" s="4" t="s">
        <v>2621</v>
      </c>
      <c r="D47" s="4" t="s">
        <v>2622</v>
      </c>
      <c r="E47" s="4" t="s">
        <v>2623</v>
      </c>
      <c r="F47" s="16" t="s">
        <v>2285</v>
      </c>
      <c r="G47" s="4" t="s">
        <v>2624</v>
      </c>
      <c r="H47" s="14" t="s">
        <v>161</v>
      </c>
      <c r="I47" s="4" t="s">
        <v>54</v>
      </c>
      <c r="J47" s="2" t="s">
        <v>54</v>
      </c>
      <c r="K47" s="2" t="s">
        <v>161</v>
      </c>
      <c r="L47" s="2" t="s">
        <v>2395</v>
      </c>
      <c r="M47" s="2" t="s">
        <v>2396</v>
      </c>
      <c r="N47" s="2" t="s">
        <v>161</v>
      </c>
      <c r="O47" s="2" t="s">
        <v>2397</v>
      </c>
      <c r="P47" s="2" t="s">
        <v>2398</v>
      </c>
      <c r="Q47" s="2" t="s">
        <v>2399</v>
      </c>
    </row>
    <row r="48" ht="270" customHeight="1" spans="1:17">
      <c r="A48" s="2" t="s">
        <v>280</v>
      </c>
      <c r="B48" s="2" t="s">
        <v>2625</v>
      </c>
      <c r="C48" s="2" t="s">
        <v>2626</v>
      </c>
      <c r="D48" s="2" t="s">
        <v>2627</v>
      </c>
      <c r="E48" s="2" t="s">
        <v>2628</v>
      </c>
      <c r="F48" s="15" t="s">
        <v>2285</v>
      </c>
      <c r="G48" s="2" t="s">
        <v>2629</v>
      </c>
      <c r="H48" s="14" t="s">
        <v>161</v>
      </c>
      <c r="I48" s="2" t="s">
        <v>54</v>
      </c>
      <c r="J48" s="2" t="s">
        <v>54</v>
      </c>
      <c r="K48" s="2" t="s">
        <v>161</v>
      </c>
      <c r="L48" s="2" t="s">
        <v>2395</v>
      </c>
      <c r="M48" s="2" t="s">
        <v>2396</v>
      </c>
      <c r="N48" s="2" t="s">
        <v>161</v>
      </c>
      <c r="O48" s="2" t="s">
        <v>2397</v>
      </c>
      <c r="P48" s="2" t="s">
        <v>2398</v>
      </c>
      <c r="Q48" s="2" t="s">
        <v>2399</v>
      </c>
    </row>
    <row r="49" ht="270" customHeight="1" spans="1:17">
      <c r="A49" s="4" t="s">
        <v>282</v>
      </c>
      <c r="B49" s="4" t="s">
        <v>2630</v>
      </c>
      <c r="C49" s="4" t="s">
        <v>2631</v>
      </c>
      <c r="D49" s="4" t="s">
        <v>2632</v>
      </c>
      <c r="E49" s="4" t="s">
        <v>2633</v>
      </c>
      <c r="F49" s="16" t="s">
        <v>2285</v>
      </c>
      <c r="G49" s="4" t="s">
        <v>2634</v>
      </c>
      <c r="H49" s="14" t="s">
        <v>161</v>
      </c>
      <c r="I49" s="4" t="s">
        <v>54</v>
      </c>
      <c r="J49" s="2" t="s">
        <v>54</v>
      </c>
      <c r="K49" s="2" t="s">
        <v>161</v>
      </c>
      <c r="L49" s="2" t="s">
        <v>2395</v>
      </c>
      <c r="M49" s="2" t="s">
        <v>2396</v>
      </c>
      <c r="N49" s="2" t="s">
        <v>161</v>
      </c>
      <c r="O49" s="2" t="s">
        <v>2397</v>
      </c>
      <c r="P49" s="2" t="s">
        <v>2398</v>
      </c>
      <c r="Q49" s="2" t="s">
        <v>2399</v>
      </c>
    </row>
    <row r="50" ht="270" customHeight="1" spans="1:17">
      <c r="A50" s="2" t="s">
        <v>285</v>
      </c>
      <c r="B50" s="2" t="s">
        <v>2635</v>
      </c>
      <c r="C50" s="2" t="s">
        <v>2636</v>
      </c>
      <c r="D50" s="2" t="s">
        <v>2637</v>
      </c>
      <c r="E50" s="2" t="s">
        <v>2638</v>
      </c>
      <c r="F50" s="15" t="s">
        <v>2393</v>
      </c>
      <c r="G50" s="2" t="s">
        <v>2639</v>
      </c>
      <c r="H50" s="14" t="s">
        <v>161</v>
      </c>
      <c r="I50" s="2" t="s">
        <v>54</v>
      </c>
      <c r="J50" s="2" t="s">
        <v>54</v>
      </c>
      <c r="K50" s="2" t="s">
        <v>161</v>
      </c>
      <c r="L50" s="2" t="s">
        <v>2395</v>
      </c>
      <c r="M50" s="2" t="s">
        <v>2396</v>
      </c>
      <c r="N50" s="2" t="s">
        <v>161</v>
      </c>
      <c r="O50" s="2" t="s">
        <v>2397</v>
      </c>
      <c r="P50" s="2" t="s">
        <v>2398</v>
      </c>
      <c r="Q50" s="2" t="s">
        <v>2399</v>
      </c>
    </row>
    <row r="51" ht="270" customHeight="1" spans="1:17">
      <c r="A51" s="4" t="s">
        <v>287</v>
      </c>
      <c r="B51" s="4" t="s">
        <v>2640</v>
      </c>
      <c r="C51" s="4" t="s">
        <v>2641</v>
      </c>
      <c r="D51" s="4" t="s">
        <v>2642</v>
      </c>
      <c r="E51" s="4" t="s">
        <v>2643</v>
      </c>
      <c r="F51" s="16" t="s">
        <v>2393</v>
      </c>
      <c r="G51" s="4" t="s">
        <v>2644</v>
      </c>
      <c r="H51" s="14" t="s">
        <v>161</v>
      </c>
      <c r="I51" s="4" t="s">
        <v>54</v>
      </c>
      <c r="J51" s="2" t="s">
        <v>54</v>
      </c>
      <c r="K51" s="2" t="s">
        <v>161</v>
      </c>
      <c r="L51" s="2" t="s">
        <v>2395</v>
      </c>
      <c r="M51" s="2" t="s">
        <v>2396</v>
      </c>
      <c r="N51" s="2" t="s">
        <v>161</v>
      </c>
      <c r="O51" s="2" t="s">
        <v>2397</v>
      </c>
      <c r="P51" s="2" t="s">
        <v>2398</v>
      </c>
      <c r="Q51" s="2" t="s">
        <v>2399</v>
      </c>
    </row>
    <row r="52" ht="270" customHeight="1" spans="1:17">
      <c r="A52" s="2" t="s">
        <v>290</v>
      </c>
      <c r="B52" s="2" t="s">
        <v>2645</v>
      </c>
      <c r="C52" s="2" t="s">
        <v>2646</v>
      </c>
      <c r="D52" s="2" t="s">
        <v>2647</v>
      </c>
      <c r="E52" s="2" t="s">
        <v>2648</v>
      </c>
      <c r="F52" s="15" t="s">
        <v>2393</v>
      </c>
      <c r="G52" s="2" t="s">
        <v>2649</v>
      </c>
      <c r="H52" s="14" t="s">
        <v>161</v>
      </c>
      <c r="I52" s="2" t="s">
        <v>54</v>
      </c>
      <c r="J52" s="2" t="s">
        <v>54</v>
      </c>
      <c r="K52" s="2" t="s">
        <v>161</v>
      </c>
      <c r="L52" s="2" t="s">
        <v>2395</v>
      </c>
      <c r="M52" s="2" t="s">
        <v>2396</v>
      </c>
      <c r="N52" s="2" t="s">
        <v>161</v>
      </c>
      <c r="O52" s="2" t="s">
        <v>2397</v>
      </c>
      <c r="P52" s="2" t="s">
        <v>2398</v>
      </c>
      <c r="Q52" s="2" t="s">
        <v>2399</v>
      </c>
    </row>
    <row r="53" ht="298.5" customHeight="1" spans="1:17">
      <c r="A53" s="4" t="s">
        <v>292</v>
      </c>
      <c r="B53" s="4" t="s">
        <v>2650</v>
      </c>
      <c r="C53" s="4" t="s">
        <v>2651</v>
      </c>
      <c r="D53" s="4" t="s">
        <v>2652</v>
      </c>
      <c r="E53" s="4" t="s">
        <v>2653</v>
      </c>
      <c r="F53" s="16" t="s">
        <v>2393</v>
      </c>
      <c r="G53" s="4" t="s">
        <v>2654</v>
      </c>
      <c r="H53" s="14" t="s">
        <v>161</v>
      </c>
      <c r="I53" s="4" t="s">
        <v>54</v>
      </c>
      <c r="J53" s="2" t="s">
        <v>54</v>
      </c>
      <c r="K53" s="2" t="s">
        <v>161</v>
      </c>
      <c r="L53" s="2" t="s">
        <v>2395</v>
      </c>
      <c r="M53" s="2" t="s">
        <v>2396</v>
      </c>
      <c r="N53" s="2" t="s">
        <v>161</v>
      </c>
      <c r="O53" s="2" t="s">
        <v>2397</v>
      </c>
      <c r="P53" s="2" t="s">
        <v>2398</v>
      </c>
      <c r="Q53" s="2" t="s">
        <v>2399</v>
      </c>
    </row>
    <row r="54" ht="270" customHeight="1" spans="1:17">
      <c r="A54" s="2" t="s">
        <v>295</v>
      </c>
      <c r="B54" s="2" t="s">
        <v>2655</v>
      </c>
      <c r="C54" s="2" t="s">
        <v>2656</v>
      </c>
      <c r="D54" s="2" t="s">
        <v>2657</v>
      </c>
      <c r="E54" s="2" t="s">
        <v>2658</v>
      </c>
      <c r="F54" s="15" t="s">
        <v>2393</v>
      </c>
      <c r="G54" s="2" t="s">
        <v>2659</v>
      </c>
      <c r="H54" s="14" t="s">
        <v>161</v>
      </c>
      <c r="I54" s="2" t="s">
        <v>54</v>
      </c>
      <c r="J54" s="2" t="s">
        <v>54</v>
      </c>
      <c r="K54" s="2" t="s">
        <v>161</v>
      </c>
      <c r="L54" s="2" t="s">
        <v>2395</v>
      </c>
      <c r="M54" s="2" t="s">
        <v>2396</v>
      </c>
      <c r="N54" s="2" t="s">
        <v>161</v>
      </c>
      <c r="O54" s="2" t="s">
        <v>2397</v>
      </c>
      <c r="P54" s="2" t="s">
        <v>2398</v>
      </c>
      <c r="Q54" s="2" t="s">
        <v>2399</v>
      </c>
    </row>
    <row r="55" ht="298.5" customHeight="1" spans="1:17">
      <c r="A55" s="4" t="s">
        <v>297</v>
      </c>
      <c r="B55" s="4" t="s">
        <v>2660</v>
      </c>
      <c r="C55" s="4" t="s">
        <v>2661</v>
      </c>
      <c r="D55" s="4" t="s">
        <v>2662</v>
      </c>
      <c r="E55" s="4" t="s">
        <v>2663</v>
      </c>
      <c r="F55" s="16" t="s">
        <v>2393</v>
      </c>
      <c r="G55" s="4" t="s">
        <v>2664</v>
      </c>
      <c r="H55" s="14" t="s">
        <v>161</v>
      </c>
      <c r="I55" s="4" t="s">
        <v>54</v>
      </c>
      <c r="J55" s="2" t="s">
        <v>54</v>
      </c>
      <c r="K55" s="2" t="s">
        <v>161</v>
      </c>
      <c r="L55" s="2" t="s">
        <v>2395</v>
      </c>
      <c r="M55" s="2" t="s">
        <v>2396</v>
      </c>
      <c r="N55" s="2" t="s">
        <v>161</v>
      </c>
      <c r="O55" s="2" t="s">
        <v>2397</v>
      </c>
      <c r="P55" s="2" t="s">
        <v>2398</v>
      </c>
      <c r="Q55" s="2" t="s">
        <v>2399</v>
      </c>
    </row>
    <row r="56" ht="270" customHeight="1" spans="1:17">
      <c r="A56" s="2" t="s">
        <v>300</v>
      </c>
      <c r="B56" s="2" t="s">
        <v>2665</v>
      </c>
      <c r="C56" s="2" t="s">
        <v>2666</v>
      </c>
      <c r="D56" s="2" t="s">
        <v>2667</v>
      </c>
      <c r="E56" s="2" t="s">
        <v>2668</v>
      </c>
      <c r="F56" s="15" t="s">
        <v>2285</v>
      </c>
      <c r="G56" s="2" t="s">
        <v>2669</v>
      </c>
      <c r="H56" s="14" t="s">
        <v>161</v>
      </c>
      <c r="I56" s="2" t="s">
        <v>54</v>
      </c>
      <c r="J56" s="2" t="s">
        <v>54</v>
      </c>
      <c r="K56" s="2" t="s">
        <v>161</v>
      </c>
      <c r="L56" s="2" t="s">
        <v>2395</v>
      </c>
      <c r="M56" s="2" t="s">
        <v>2396</v>
      </c>
      <c r="N56" s="2" t="s">
        <v>161</v>
      </c>
      <c r="O56" s="2" t="s">
        <v>2397</v>
      </c>
      <c r="P56" s="2" t="s">
        <v>2398</v>
      </c>
      <c r="Q56" s="2" t="s">
        <v>2399</v>
      </c>
    </row>
    <row r="57" ht="298.5" customHeight="1" spans="1:17">
      <c r="A57" s="4" t="s">
        <v>302</v>
      </c>
      <c r="B57" s="4" t="s">
        <v>2670</v>
      </c>
      <c r="C57" s="4" t="s">
        <v>2671</v>
      </c>
      <c r="D57" s="4" t="s">
        <v>2672</v>
      </c>
      <c r="E57" s="4" t="s">
        <v>2673</v>
      </c>
      <c r="F57" s="16" t="s">
        <v>2285</v>
      </c>
      <c r="G57" s="4" t="s">
        <v>2674</v>
      </c>
      <c r="H57" s="14" t="s">
        <v>161</v>
      </c>
      <c r="I57" s="4" t="s">
        <v>54</v>
      </c>
      <c r="J57" s="2" t="s">
        <v>54</v>
      </c>
      <c r="K57" s="2" t="s">
        <v>161</v>
      </c>
      <c r="L57" s="2" t="s">
        <v>2395</v>
      </c>
      <c r="M57" s="2" t="s">
        <v>2396</v>
      </c>
      <c r="N57" s="2" t="s">
        <v>161</v>
      </c>
      <c r="O57" s="2" t="s">
        <v>2397</v>
      </c>
      <c r="P57" s="2" t="s">
        <v>2398</v>
      </c>
      <c r="Q57" s="2" t="s">
        <v>2399</v>
      </c>
    </row>
    <row r="58" ht="270" customHeight="1" spans="1:17">
      <c r="A58" s="2" t="s">
        <v>49</v>
      </c>
      <c r="B58" s="2" t="s">
        <v>2675</v>
      </c>
      <c r="C58" s="2" t="s">
        <v>2676</v>
      </c>
      <c r="D58" s="2" t="s">
        <v>2677</v>
      </c>
      <c r="E58" s="2" t="s">
        <v>2678</v>
      </c>
      <c r="F58" s="15" t="s">
        <v>2393</v>
      </c>
      <c r="G58" s="2" t="s">
        <v>2679</v>
      </c>
      <c r="H58" s="14" t="s">
        <v>161</v>
      </c>
      <c r="I58" s="2" t="s">
        <v>54</v>
      </c>
      <c r="J58" s="2" t="s">
        <v>54</v>
      </c>
      <c r="K58" s="2" t="s">
        <v>161</v>
      </c>
      <c r="L58" s="2" t="s">
        <v>2395</v>
      </c>
      <c r="M58" s="2" t="s">
        <v>2396</v>
      </c>
      <c r="N58" s="14" t="s">
        <v>11</v>
      </c>
      <c r="O58" s="2" t="s">
        <v>2680</v>
      </c>
      <c r="P58" s="2" t="s">
        <v>2681</v>
      </c>
      <c r="Q58" s="2" t="s">
        <v>2682</v>
      </c>
    </row>
    <row r="59" ht="312.75" customHeight="1" spans="1:17">
      <c r="A59" s="4" t="s">
        <v>57</v>
      </c>
      <c r="B59" s="4" t="s">
        <v>2683</v>
      </c>
      <c r="C59" s="4" t="s">
        <v>2684</v>
      </c>
      <c r="D59" s="4" t="s">
        <v>2685</v>
      </c>
      <c r="E59" s="4" t="s">
        <v>2686</v>
      </c>
      <c r="F59" s="16" t="s">
        <v>2393</v>
      </c>
      <c r="G59" s="4" t="s">
        <v>2687</v>
      </c>
      <c r="H59" s="14" t="s">
        <v>161</v>
      </c>
      <c r="I59" s="4" t="s">
        <v>54</v>
      </c>
      <c r="J59" s="2" t="s">
        <v>54</v>
      </c>
      <c r="K59" s="2" t="s">
        <v>161</v>
      </c>
      <c r="L59" s="2" t="s">
        <v>2395</v>
      </c>
      <c r="M59" s="2" t="s">
        <v>2396</v>
      </c>
      <c r="N59" s="14" t="s">
        <v>8</v>
      </c>
      <c r="O59" s="2" t="s">
        <v>2688</v>
      </c>
      <c r="P59" s="2" t="s">
        <v>2681</v>
      </c>
      <c r="Q59" s="2" t="s">
        <v>2689</v>
      </c>
    </row>
    <row r="60" ht="270" customHeight="1" spans="1:17">
      <c r="A60" s="2" t="s">
        <v>63</v>
      </c>
      <c r="B60" s="2" t="s">
        <v>2690</v>
      </c>
      <c r="C60" s="2" t="s">
        <v>2691</v>
      </c>
      <c r="D60" s="2" t="s">
        <v>2692</v>
      </c>
      <c r="E60" s="2" t="s">
        <v>2693</v>
      </c>
      <c r="F60" s="15" t="s">
        <v>2393</v>
      </c>
      <c r="G60" s="2" t="s">
        <v>2694</v>
      </c>
      <c r="H60" s="14" t="s">
        <v>161</v>
      </c>
      <c r="I60" s="2" t="s">
        <v>54</v>
      </c>
      <c r="J60" s="2" t="s">
        <v>54</v>
      </c>
      <c r="K60" s="2" t="s">
        <v>161</v>
      </c>
      <c r="L60" s="2" t="s">
        <v>2395</v>
      </c>
      <c r="M60" s="2" t="s">
        <v>2396</v>
      </c>
      <c r="N60" s="14" t="s">
        <v>8</v>
      </c>
      <c r="O60" s="2" t="s">
        <v>2695</v>
      </c>
      <c r="P60" s="2" t="s">
        <v>2681</v>
      </c>
      <c r="Q60" s="2" t="s">
        <v>2689</v>
      </c>
    </row>
    <row r="61" ht="270" customHeight="1" spans="1:17">
      <c r="A61" s="4" t="s">
        <v>67</v>
      </c>
      <c r="B61" s="4" t="s">
        <v>2696</v>
      </c>
      <c r="C61" s="4" t="s">
        <v>2697</v>
      </c>
      <c r="D61" s="4" t="s">
        <v>2698</v>
      </c>
      <c r="E61" s="4" t="s">
        <v>2699</v>
      </c>
      <c r="F61" s="16" t="s">
        <v>2393</v>
      </c>
      <c r="G61" s="4" t="s">
        <v>2700</v>
      </c>
      <c r="H61" s="14" t="s">
        <v>161</v>
      </c>
      <c r="I61" s="4" t="s">
        <v>54</v>
      </c>
      <c r="J61" s="2" t="s">
        <v>54</v>
      </c>
      <c r="K61" s="2" t="s">
        <v>161</v>
      </c>
      <c r="L61" s="2" t="s">
        <v>2395</v>
      </c>
      <c r="M61" s="2" t="s">
        <v>2396</v>
      </c>
      <c r="N61" s="14" t="s">
        <v>11</v>
      </c>
      <c r="O61" s="2" t="s">
        <v>2701</v>
      </c>
      <c r="P61" s="2" t="s">
        <v>2681</v>
      </c>
      <c r="Q61" s="2" t="s">
        <v>2682</v>
      </c>
    </row>
    <row r="62" ht="270" customHeight="1" spans="1:17">
      <c r="A62" s="2" t="s">
        <v>305</v>
      </c>
      <c r="B62" s="2" t="s">
        <v>2702</v>
      </c>
      <c r="C62" s="2" t="s">
        <v>2703</v>
      </c>
      <c r="D62" s="2" t="s">
        <v>2704</v>
      </c>
      <c r="E62" s="2" t="s">
        <v>2705</v>
      </c>
      <c r="F62" s="15" t="s">
        <v>2285</v>
      </c>
      <c r="G62" s="2" t="s">
        <v>2706</v>
      </c>
      <c r="H62" s="14" t="s">
        <v>161</v>
      </c>
      <c r="I62" s="2" t="s">
        <v>54</v>
      </c>
      <c r="J62" s="2" t="s">
        <v>54</v>
      </c>
      <c r="K62" s="2" t="s">
        <v>161</v>
      </c>
      <c r="L62" s="2" t="s">
        <v>2395</v>
      </c>
      <c r="M62" s="2" t="s">
        <v>2396</v>
      </c>
      <c r="N62" s="2" t="s">
        <v>161</v>
      </c>
      <c r="O62" s="2" t="s">
        <v>2397</v>
      </c>
      <c r="P62" s="2" t="s">
        <v>2398</v>
      </c>
      <c r="Q62" s="2" t="s">
        <v>2399</v>
      </c>
    </row>
    <row r="63" ht="298.5" customHeight="1" spans="1:17">
      <c r="A63" s="4" t="s">
        <v>307</v>
      </c>
      <c r="B63" s="4" t="s">
        <v>2707</v>
      </c>
      <c r="C63" s="4" t="s">
        <v>2708</v>
      </c>
      <c r="D63" s="4" t="s">
        <v>2709</v>
      </c>
      <c r="E63" s="4" t="s">
        <v>2710</v>
      </c>
      <c r="F63" s="16" t="s">
        <v>2285</v>
      </c>
      <c r="G63" s="4" t="s">
        <v>2711</v>
      </c>
      <c r="H63" s="14" t="s">
        <v>161</v>
      </c>
      <c r="I63" s="4" t="s">
        <v>54</v>
      </c>
      <c r="J63" s="2" t="s">
        <v>54</v>
      </c>
      <c r="K63" s="2" t="s">
        <v>161</v>
      </c>
      <c r="L63" s="2" t="s">
        <v>2395</v>
      </c>
      <c r="M63" s="2" t="s">
        <v>2396</v>
      </c>
      <c r="N63" s="2" t="s">
        <v>161</v>
      </c>
      <c r="O63" s="2" t="s">
        <v>2397</v>
      </c>
      <c r="P63" s="2" t="s">
        <v>2398</v>
      </c>
      <c r="Q63" s="2" t="s">
        <v>2399</v>
      </c>
    </row>
    <row r="64" ht="270" customHeight="1" spans="1:17">
      <c r="A64" s="2" t="s">
        <v>310</v>
      </c>
      <c r="B64" s="2" t="s">
        <v>2712</v>
      </c>
      <c r="C64" s="2" t="s">
        <v>2713</v>
      </c>
      <c r="D64" s="2" t="s">
        <v>2714</v>
      </c>
      <c r="E64" s="2" t="s">
        <v>2715</v>
      </c>
      <c r="F64" s="15" t="s">
        <v>2393</v>
      </c>
      <c r="G64" s="2" t="s">
        <v>2716</v>
      </c>
      <c r="H64" s="14" t="s">
        <v>161</v>
      </c>
      <c r="I64" s="2" t="s">
        <v>54</v>
      </c>
      <c r="J64" s="2" t="s">
        <v>54</v>
      </c>
      <c r="K64" s="2" t="s">
        <v>161</v>
      </c>
      <c r="L64" s="2" t="s">
        <v>2395</v>
      </c>
      <c r="M64" s="2" t="s">
        <v>2396</v>
      </c>
      <c r="N64" s="2" t="s">
        <v>161</v>
      </c>
      <c r="O64" s="2" t="s">
        <v>2397</v>
      </c>
      <c r="P64" s="2" t="s">
        <v>2398</v>
      </c>
      <c r="Q64" s="2" t="s">
        <v>2399</v>
      </c>
    </row>
    <row r="65" ht="298.5" customHeight="1" spans="1:17">
      <c r="A65" s="4" t="s">
        <v>312</v>
      </c>
      <c r="B65" s="4" t="s">
        <v>2717</v>
      </c>
      <c r="C65" s="4" t="s">
        <v>2718</v>
      </c>
      <c r="D65" s="4" t="s">
        <v>2719</v>
      </c>
      <c r="E65" s="4" t="s">
        <v>2720</v>
      </c>
      <c r="F65" s="16" t="s">
        <v>2393</v>
      </c>
      <c r="G65" s="4" t="s">
        <v>2721</v>
      </c>
      <c r="H65" s="14" t="s">
        <v>161</v>
      </c>
      <c r="I65" s="4" t="s">
        <v>54</v>
      </c>
      <c r="J65" s="2" t="s">
        <v>54</v>
      </c>
      <c r="K65" s="2" t="s">
        <v>161</v>
      </c>
      <c r="L65" s="2" t="s">
        <v>2395</v>
      </c>
      <c r="M65" s="2" t="s">
        <v>2396</v>
      </c>
      <c r="N65" s="2" t="s">
        <v>161</v>
      </c>
      <c r="O65" s="2" t="s">
        <v>2397</v>
      </c>
      <c r="P65" s="2" t="s">
        <v>2398</v>
      </c>
      <c r="Q65" s="2" t="s">
        <v>2399</v>
      </c>
    </row>
    <row r="66" ht="270" customHeight="1" spans="1:17">
      <c r="A66" s="2" t="s">
        <v>315</v>
      </c>
      <c r="B66" s="2" t="s">
        <v>2722</v>
      </c>
      <c r="C66" s="2" t="s">
        <v>2723</v>
      </c>
      <c r="D66" s="2" t="s">
        <v>2724</v>
      </c>
      <c r="E66" s="2" t="s">
        <v>2725</v>
      </c>
      <c r="F66" s="15" t="s">
        <v>2393</v>
      </c>
      <c r="G66" s="2" t="s">
        <v>2726</v>
      </c>
      <c r="H66" s="14" t="s">
        <v>161</v>
      </c>
      <c r="I66" s="2" t="s">
        <v>54</v>
      </c>
      <c r="J66" s="2" t="s">
        <v>54</v>
      </c>
      <c r="K66" s="2" t="s">
        <v>161</v>
      </c>
      <c r="L66" s="2" t="s">
        <v>2395</v>
      </c>
      <c r="M66" s="2" t="s">
        <v>2396</v>
      </c>
      <c r="N66" s="2" t="s">
        <v>161</v>
      </c>
      <c r="O66" s="2" t="s">
        <v>2397</v>
      </c>
      <c r="P66" s="2" t="s">
        <v>2398</v>
      </c>
      <c r="Q66" s="2" t="s">
        <v>2399</v>
      </c>
    </row>
    <row r="67" ht="298.5" customHeight="1" spans="1:17">
      <c r="A67" s="4" t="s">
        <v>317</v>
      </c>
      <c r="B67" s="4" t="s">
        <v>2727</v>
      </c>
      <c r="C67" s="4" t="s">
        <v>2728</v>
      </c>
      <c r="D67" s="4" t="s">
        <v>2729</v>
      </c>
      <c r="E67" s="4" t="s">
        <v>2730</v>
      </c>
      <c r="F67" s="16" t="s">
        <v>2393</v>
      </c>
      <c r="G67" s="4" t="s">
        <v>2731</v>
      </c>
      <c r="H67" s="14" t="s">
        <v>161</v>
      </c>
      <c r="I67" s="4" t="s">
        <v>54</v>
      </c>
      <c r="J67" s="2" t="s">
        <v>54</v>
      </c>
      <c r="K67" s="2" t="s">
        <v>161</v>
      </c>
      <c r="L67" s="2" t="s">
        <v>2395</v>
      </c>
      <c r="M67" s="2" t="s">
        <v>2396</v>
      </c>
      <c r="N67" s="2" t="s">
        <v>161</v>
      </c>
      <c r="O67" s="2" t="s">
        <v>2397</v>
      </c>
      <c r="P67" s="2" t="s">
        <v>2398</v>
      </c>
      <c r="Q67" s="2" t="s">
        <v>2399</v>
      </c>
    </row>
    <row r="68" ht="270" customHeight="1" spans="1:17">
      <c r="A68" s="2" t="s">
        <v>320</v>
      </c>
      <c r="B68" s="2" t="s">
        <v>2732</v>
      </c>
      <c r="C68" s="2" t="s">
        <v>2733</v>
      </c>
      <c r="D68" s="2" t="s">
        <v>2734</v>
      </c>
      <c r="E68" s="2" t="s">
        <v>2735</v>
      </c>
      <c r="F68" s="15" t="s">
        <v>2393</v>
      </c>
      <c r="G68" s="2" t="s">
        <v>2736</v>
      </c>
      <c r="H68" s="14" t="s">
        <v>161</v>
      </c>
      <c r="I68" s="2" t="s">
        <v>54</v>
      </c>
      <c r="J68" s="2" t="s">
        <v>54</v>
      </c>
      <c r="K68" s="2" t="s">
        <v>161</v>
      </c>
      <c r="L68" s="2" t="s">
        <v>2395</v>
      </c>
      <c r="M68" s="2" t="s">
        <v>2396</v>
      </c>
      <c r="N68" s="2" t="s">
        <v>161</v>
      </c>
      <c r="O68" s="2" t="s">
        <v>2397</v>
      </c>
      <c r="P68" s="2" t="s">
        <v>2398</v>
      </c>
      <c r="Q68" s="2" t="s">
        <v>2399</v>
      </c>
    </row>
    <row r="69" ht="284.25" customHeight="1" spans="1:17">
      <c r="A69" s="4" t="s">
        <v>322</v>
      </c>
      <c r="B69" s="4" t="s">
        <v>2737</v>
      </c>
      <c r="C69" s="4" t="s">
        <v>2738</v>
      </c>
      <c r="D69" s="4" t="s">
        <v>2739</v>
      </c>
      <c r="E69" s="4" t="s">
        <v>2740</v>
      </c>
      <c r="F69" s="16" t="s">
        <v>2393</v>
      </c>
      <c r="G69" s="4" t="s">
        <v>2741</v>
      </c>
      <c r="H69" s="14" t="s">
        <v>161</v>
      </c>
      <c r="I69" s="4" t="s">
        <v>54</v>
      </c>
      <c r="J69" s="2" t="s">
        <v>54</v>
      </c>
      <c r="K69" s="2" t="s">
        <v>161</v>
      </c>
      <c r="L69" s="2" t="s">
        <v>2395</v>
      </c>
      <c r="M69" s="2" t="s">
        <v>2396</v>
      </c>
      <c r="N69" s="2" t="s">
        <v>161</v>
      </c>
      <c r="O69" s="2" t="s">
        <v>2397</v>
      </c>
      <c r="P69" s="2" t="s">
        <v>2398</v>
      </c>
      <c r="Q69" s="2" t="s">
        <v>2399</v>
      </c>
    </row>
    <row r="70" ht="270" customHeight="1" spans="1:17">
      <c r="A70" s="2" t="s">
        <v>72</v>
      </c>
      <c r="B70" s="2" t="s">
        <v>2742</v>
      </c>
      <c r="C70" s="2" t="s">
        <v>2743</v>
      </c>
      <c r="D70" s="2" t="s">
        <v>2744</v>
      </c>
      <c r="E70" s="2" t="s">
        <v>2745</v>
      </c>
      <c r="F70" s="15" t="s">
        <v>2393</v>
      </c>
      <c r="G70" s="2" t="s">
        <v>2746</v>
      </c>
      <c r="H70" s="14" t="s">
        <v>161</v>
      </c>
      <c r="I70" s="2" t="s">
        <v>54</v>
      </c>
      <c r="J70" s="2" t="s">
        <v>54</v>
      </c>
      <c r="K70" s="2" t="s">
        <v>161</v>
      </c>
      <c r="L70" s="2" t="s">
        <v>2395</v>
      </c>
      <c r="M70" s="2" t="s">
        <v>2396</v>
      </c>
      <c r="N70" s="14" t="s">
        <v>11</v>
      </c>
      <c r="O70" s="2" t="s">
        <v>2747</v>
      </c>
      <c r="P70" s="2" t="s">
        <v>2681</v>
      </c>
      <c r="Q70" s="2" t="s">
        <v>2682</v>
      </c>
    </row>
    <row r="71" ht="270" customHeight="1" spans="1:17">
      <c r="A71" s="4" t="s">
        <v>76</v>
      </c>
      <c r="B71" s="4" t="s">
        <v>2748</v>
      </c>
      <c r="C71" s="4" t="s">
        <v>2749</v>
      </c>
      <c r="D71" s="4" t="s">
        <v>2750</v>
      </c>
      <c r="E71" s="4" t="s">
        <v>2751</v>
      </c>
      <c r="F71" s="16" t="s">
        <v>2393</v>
      </c>
      <c r="G71" s="4" t="s">
        <v>2752</v>
      </c>
      <c r="H71" s="14" t="s">
        <v>161</v>
      </c>
      <c r="I71" s="4" t="s">
        <v>54</v>
      </c>
      <c r="J71" s="2" t="s">
        <v>54</v>
      </c>
      <c r="K71" s="2" t="s">
        <v>161</v>
      </c>
      <c r="L71" s="2" t="s">
        <v>2395</v>
      </c>
      <c r="M71" s="2" t="s">
        <v>2396</v>
      </c>
      <c r="N71" s="14" t="s">
        <v>11</v>
      </c>
      <c r="O71" s="2" t="s">
        <v>2753</v>
      </c>
      <c r="P71" s="2" t="s">
        <v>2681</v>
      </c>
      <c r="Q71" s="2" t="s">
        <v>2682</v>
      </c>
    </row>
    <row r="72" ht="270" customHeight="1" spans="1:17">
      <c r="A72" s="2" t="s">
        <v>325</v>
      </c>
      <c r="B72" s="2" t="s">
        <v>2754</v>
      </c>
      <c r="C72" s="2" t="s">
        <v>2755</v>
      </c>
      <c r="D72" s="2" t="s">
        <v>2756</v>
      </c>
      <c r="E72" s="2" t="s">
        <v>2757</v>
      </c>
      <c r="F72" s="15" t="s">
        <v>2285</v>
      </c>
      <c r="G72" s="2" t="s">
        <v>2758</v>
      </c>
      <c r="H72" s="14" t="s">
        <v>161</v>
      </c>
      <c r="I72" s="2" t="s">
        <v>54</v>
      </c>
      <c r="J72" s="2" t="s">
        <v>54</v>
      </c>
      <c r="K72" s="2" t="s">
        <v>161</v>
      </c>
      <c r="L72" s="2" t="s">
        <v>2395</v>
      </c>
      <c r="M72" s="2" t="s">
        <v>2396</v>
      </c>
      <c r="N72" s="2" t="s">
        <v>161</v>
      </c>
      <c r="O72" s="2" t="s">
        <v>2397</v>
      </c>
      <c r="P72" s="2" t="s">
        <v>2398</v>
      </c>
      <c r="Q72" s="2" t="s">
        <v>2399</v>
      </c>
    </row>
    <row r="73" ht="298.5" customHeight="1" spans="1:17">
      <c r="A73" s="4" t="s">
        <v>327</v>
      </c>
      <c r="B73" s="4" t="s">
        <v>2759</v>
      </c>
      <c r="C73" s="4" t="s">
        <v>2760</v>
      </c>
      <c r="D73" s="4" t="s">
        <v>2761</v>
      </c>
      <c r="E73" s="4" t="s">
        <v>2762</v>
      </c>
      <c r="F73" s="16" t="s">
        <v>2285</v>
      </c>
      <c r="G73" s="4" t="s">
        <v>2763</v>
      </c>
      <c r="H73" s="14" t="s">
        <v>161</v>
      </c>
      <c r="I73" s="4" t="s">
        <v>54</v>
      </c>
      <c r="J73" s="2" t="s">
        <v>54</v>
      </c>
      <c r="K73" s="2" t="s">
        <v>161</v>
      </c>
      <c r="L73" s="2" t="s">
        <v>2395</v>
      </c>
      <c r="M73" s="2" t="s">
        <v>2396</v>
      </c>
      <c r="N73" s="2" t="s">
        <v>161</v>
      </c>
      <c r="O73" s="2" t="s">
        <v>2397</v>
      </c>
      <c r="P73" s="2" t="s">
        <v>2398</v>
      </c>
      <c r="Q73" s="2" t="s">
        <v>2399</v>
      </c>
    </row>
    <row r="74" ht="284.25" customHeight="1" spans="1:17">
      <c r="A74" s="2" t="s">
        <v>330</v>
      </c>
      <c r="B74" s="2" t="s">
        <v>2764</v>
      </c>
      <c r="C74" s="2" t="s">
        <v>2765</v>
      </c>
      <c r="D74" s="2" t="s">
        <v>2766</v>
      </c>
      <c r="E74" s="2" t="s">
        <v>2767</v>
      </c>
      <c r="F74" s="15" t="s">
        <v>2285</v>
      </c>
      <c r="G74" s="2" t="s">
        <v>2768</v>
      </c>
      <c r="H74" s="14" t="s">
        <v>161</v>
      </c>
      <c r="I74" s="2" t="s">
        <v>54</v>
      </c>
      <c r="J74" s="2" t="s">
        <v>54</v>
      </c>
      <c r="K74" s="2" t="s">
        <v>161</v>
      </c>
      <c r="L74" s="2" t="s">
        <v>2395</v>
      </c>
      <c r="M74" s="2" t="s">
        <v>2396</v>
      </c>
      <c r="N74" s="2" t="s">
        <v>161</v>
      </c>
      <c r="O74" s="2" t="s">
        <v>2397</v>
      </c>
      <c r="P74" s="2" t="s">
        <v>2398</v>
      </c>
      <c r="Q74" s="2" t="s">
        <v>2399</v>
      </c>
    </row>
    <row r="75" ht="327" customHeight="1" spans="1:17">
      <c r="A75" s="4" t="s">
        <v>332</v>
      </c>
      <c r="B75" s="4" t="s">
        <v>2769</v>
      </c>
      <c r="C75" s="4" t="s">
        <v>2770</v>
      </c>
      <c r="D75" s="4" t="s">
        <v>2771</v>
      </c>
      <c r="E75" s="4" t="s">
        <v>2772</v>
      </c>
      <c r="F75" s="16" t="s">
        <v>2285</v>
      </c>
      <c r="G75" s="4" t="s">
        <v>2773</v>
      </c>
      <c r="H75" s="14" t="s">
        <v>161</v>
      </c>
      <c r="I75" s="4" t="s">
        <v>54</v>
      </c>
      <c r="J75" s="2" t="s">
        <v>54</v>
      </c>
      <c r="K75" s="2" t="s">
        <v>161</v>
      </c>
      <c r="L75" s="2" t="s">
        <v>2395</v>
      </c>
      <c r="M75" s="2" t="s">
        <v>2396</v>
      </c>
      <c r="N75" s="2" t="s">
        <v>161</v>
      </c>
      <c r="O75" s="2" t="s">
        <v>2397</v>
      </c>
      <c r="P75" s="2" t="s">
        <v>2398</v>
      </c>
      <c r="Q75" s="2" t="s">
        <v>2399</v>
      </c>
    </row>
    <row r="76" ht="284.25" customHeight="1" spans="1:17">
      <c r="A76" s="2" t="s">
        <v>335</v>
      </c>
      <c r="B76" s="2" t="s">
        <v>2774</v>
      </c>
      <c r="C76" s="2" t="s">
        <v>2775</v>
      </c>
      <c r="D76" s="2" t="s">
        <v>2776</v>
      </c>
      <c r="E76" s="2" t="s">
        <v>2777</v>
      </c>
      <c r="F76" s="15" t="s">
        <v>2285</v>
      </c>
      <c r="G76" s="2" t="s">
        <v>2778</v>
      </c>
      <c r="H76" s="14" t="s">
        <v>161</v>
      </c>
      <c r="I76" s="2" t="s">
        <v>54</v>
      </c>
      <c r="J76" s="2" t="s">
        <v>54</v>
      </c>
      <c r="K76" s="2" t="s">
        <v>161</v>
      </c>
      <c r="L76" s="2" t="s">
        <v>2395</v>
      </c>
      <c r="M76" s="2" t="s">
        <v>2396</v>
      </c>
      <c r="N76" s="2" t="s">
        <v>161</v>
      </c>
      <c r="O76" s="2" t="s">
        <v>2397</v>
      </c>
      <c r="P76" s="2" t="s">
        <v>2398</v>
      </c>
      <c r="Q76" s="2" t="s">
        <v>2399</v>
      </c>
    </row>
    <row r="77" ht="312.75" customHeight="1" spans="1:17">
      <c r="A77" s="4" t="s">
        <v>337</v>
      </c>
      <c r="B77" s="4" t="s">
        <v>2779</v>
      </c>
      <c r="C77" s="4" t="s">
        <v>2780</v>
      </c>
      <c r="D77" s="4" t="s">
        <v>2781</v>
      </c>
      <c r="E77" s="4" t="s">
        <v>2782</v>
      </c>
      <c r="F77" s="16" t="s">
        <v>2285</v>
      </c>
      <c r="G77" s="4" t="s">
        <v>2783</v>
      </c>
      <c r="H77" s="14" t="s">
        <v>161</v>
      </c>
      <c r="I77" s="4" t="s">
        <v>54</v>
      </c>
      <c r="J77" s="2" t="s">
        <v>54</v>
      </c>
      <c r="K77" s="2" t="s">
        <v>161</v>
      </c>
      <c r="L77" s="2" t="s">
        <v>2395</v>
      </c>
      <c r="M77" s="2" t="s">
        <v>2396</v>
      </c>
      <c r="N77" s="2" t="s">
        <v>161</v>
      </c>
      <c r="O77" s="2" t="s">
        <v>2397</v>
      </c>
      <c r="P77" s="2" t="s">
        <v>2398</v>
      </c>
      <c r="Q77" s="2" t="s">
        <v>2399</v>
      </c>
    </row>
    <row r="78" ht="116" customHeight="1" spans="1:17">
      <c r="A78" s="2" t="s">
        <v>81</v>
      </c>
      <c r="B78" s="2" t="s">
        <v>2784</v>
      </c>
      <c r="C78" s="2" t="s">
        <v>2785</v>
      </c>
      <c r="D78" s="2" t="s">
        <v>2786</v>
      </c>
      <c r="E78" s="2" t="s">
        <v>2787</v>
      </c>
      <c r="F78" s="15" t="s">
        <v>2285</v>
      </c>
      <c r="G78" s="2" t="s">
        <v>2788</v>
      </c>
      <c r="H78" s="14" t="s">
        <v>2789</v>
      </c>
      <c r="I78" s="2" t="s">
        <v>54</v>
      </c>
      <c r="J78" s="2" t="s">
        <v>54</v>
      </c>
      <c r="K78" s="2" t="s">
        <v>8</v>
      </c>
      <c r="L78" s="2" t="s">
        <v>2790</v>
      </c>
      <c r="M78" s="2" t="s">
        <v>2396</v>
      </c>
      <c r="N78" s="14" t="s">
        <v>8</v>
      </c>
      <c r="O78" s="2" t="s">
        <v>2791</v>
      </c>
      <c r="P78" s="2" t="s">
        <v>2681</v>
      </c>
      <c r="Q78" s="2" t="s">
        <v>2792</v>
      </c>
    </row>
    <row r="79" ht="116" customHeight="1" spans="1:17">
      <c r="A79" s="2" t="s">
        <v>85</v>
      </c>
      <c r="B79" s="2" t="s">
        <v>2784</v>
      </c>
      <c r="C79" s="2" t="s">
        <v>2785</v>
      </c>
      <c r="D79" s="2" t="s">
        <v>2786</v>
      </c>
      <c r="E79" s="2" t="s">
        <v>2787</v>
      </c>
      <c r="F79" s="15" t="s">
        <v>2285</v>
      </c>
      <c r="G79" s="2" t="s">
        <v>2793</v>
      </c>
      <c r="H79" s="14" t="s">
        <v>2789</v>
      </c>
      <c r="I79" s="2" t="s">
        <v>54</v>
      </c>
      <c r="J79" s="2" t="s">
        <v>54</v>
      </c>
      <c r="K79" s="2" t="s">
        <v>8</v>
      </c>
      <c r="L79" s="2" t="s">
        <v>2794</v>
      </c>
      <c r="M79" s="2" t="s">
        <v>2396</v>
      </c>
      <c r="N79" s="14" t="s">
        <v>8</v>
      </c>
      <c r="O79" s="2" t="s">
        <v>2795</v>
      </c>
      <c r="P79" s="2" t="s">
        <v>2681</v>
      </c>
      <c r="Q79" s="2" t="s">
        <v>2792</v>
      </c>
    </row>
    <row r="80" ht="116" customHeight="1" spans="1:17">
      <c r="A80" s="2" t="s">
        <v>88</v>
      </c>
      <c r="B80" s="2" t="s">
        <v>2784</v>
      </c>
      <c r="C80" s="2" t="s">
        <v>2785</v>
      </c>
      <c r="D80" s="2" t="s">
        <v>2786</v>
      </c>
      <c r="E80" s="2" t="s">
        <v>2787</v>
      </c>
      <c r="F80" s="15" t="s">
        <v>2285</v>
      </c>
      <c r="G80" s="2" t="s">
        <v>2796</v>
      </c>
      <c r="H80" s="14" t="s">
        <v>2789</v>
      </c>
      <c r="I80" s="2" t="s">
        <v>54</v>
      </c>
      <c r="J80" s="2" t="s">
        <v>54</v>
      </c>
      <c r="K80" s="2" t="s">
        <v>8</v>
      </c>
      <c r="L80" s="2" t="s">
        <v>2797</v>
      </c>
      <c r="M80" s="2" t="s">
        <v>2396</v>
      </c>
      <c r="N80" s="14" t="s">
        <v>8</v>
      </c>
      <c r="O80" s="2" t="s">
        <v>2798</v>
      </c>
      <c r="P80" s="2" t="s">
        <v>2681</v>
      </c>
      <c r="Q80" s="2" t="s">
        <v>2792</v>
      </c>
    </row>
    <row r="81" ht="116" customHeight="1" spans="1:17">
      <c r="A81" s="2" t="s">
        <v>91</v>
      </c>
      <c r="B81" s="2" t="s">
        <v>2784</v>
      </c>
      <c r="C81" s="2" t="s">
        <v>2785</v>
      </c>
      <c r="D81" s="2" t="s">
        <v>2786</v>
      </c>
      <c r="E81" s="2" t="s">
        <v>2787</v>
      </c>
      <c r="F81" s="15" t="s">
        <v>2285</v>
      </c>
      <c r="G81" s="2" t="s">
        <v>2799</v>
      </c>
      <c r="H81" s="14" t="s">
        <v>2789</v>
      </c>
      <c r="I81" s="2" t="s">
        <v>54</v>
      </c>
      <c r="J81" s="2" t="s">
        <v>54</v>
      </c>
      <c r="K81" s="2" t="s">
        <v>8</v>
      </c>
      <c r="L81" s="2" t="s">
        <v>2800</v>
      </c>
      <c r="M81" s="2" t="s">
        <v>2396</v>
      </c>
      <c r="N81" s="14" t="s">
        <v>8</v>
      </c>
      <c r="O81" s="2" t="s">
        <v>2801</v>
      </c>
      <c r="P81" s="2" t="s">
        <v>2681</v>
      </c>
      <c r="Q81" s="2" t="s">
        <v>2792</v>
      </c>
    </row>
    <row r="82" ht="116" customHeight="1" spans="1:17">
      <c r="A82" s="2" t="s">
        <v>94</v>
      </c>
      <c r="B82" s="2" t="s">
        <v>2784</v>
      </c>
      <c r="C82" s="2" t="s">
        <v>2785</v>
      </c>
      <c r="D82" s="2" t="s">
        <v>2786</v>
      </c>
      <c r="E82" s="2" t="s">
        <v>2787</v>
      </c>
      <c r="F82" s="15" t="s">
        <v>2285</v>
      </c>
      <c r="G82" s="2" t="s">
        <v>2802</v>
      </c>
      <c r="H82" s="14" t="s">
        <v>2789</v>
      </c>
      <c r="I82" s="2" t="s">
        <v>54</v>
      </c>
      <c r="J82" s="2" t="s">
        <v>54</v>
      </c>
      <c r="K82" s="2" t="s">
        <v>8</v>
      </c>
      <c r="L82" s="2" t="s">
        <v>2803</v>
      </c>
      <c r="M82" s="2" t="s">
        <v>2396</v>
      </c>
      <c r="N82" s="14" t="s">
        <v>8</v>
      </c>
      <c r="O82" s="2" t="s">
        <v>2804</v>
      </c>
      <c r="P82" s="2" t="s">
        <v>2681</v>
      </c>
      <c r="Q82" s="2" t="s">
        <v>2792</v>
      </c>
    </row>
    <row r="83" ht="116" customHeight="1" spans="1:17">
      <c r="A83" s="2" t="s">
        <v>97</v>
      </c>
      <c r="B83" s="2" t="s">
        <v>2784</v>
      </c>
      <c r="C83" s="2" t="s">
        <v>2785</v>
      </c>
      <c r="D83" s="2" t="s">
        <v>2786</v>
      </c>
      <c r="E83" s="2" t="s">
        <v>2787</v>
      </c>
      <c r="F83" s="15" t="s">
        <v>2285</v>
      </c>
      <c r="G83" s="2" t="s">
        <v>2805</v>
      </c>
      <c r="H83" s="14" t="s">
        <v>2789</v>
      </c>
      <c r="I83" s="2" t="s">
        <v>54</v>
      </c>
      <c r="J83" s="2" t="s">
        <v>54</v>
      </c>
      <c r="K83" s="2" t="s">
        <v>8</v>
      </c>
      <c r="L83" s="2" t="s">
        <v>2806</v>
      </c>
      <c r="M83" s="2" t="s">
        <v>2396</v>
      </c>
      <c r="N83" s="14" t="s">
        <v>8</v>
      </c>
      <c r="O83" s="2" t="s">
        <v>2807</v>
      </c>
      <c r="P83" s="2" t="s">
        <v>2681</v>
      </c>
      <c r="Q83" s="2" t="s">
        <v>2792</v>
      </c>
    </row>
    <row r="84" ht="116" customHeight="1" spans="1:17">
      <c r="A84" s="2" t="s">
        <v>100</v>
      </c>
      <c r="B84" s="2" t="s">
        <v>2784</v>
      </c>
      <c r="C84" s="2" t="s">
        <v>2785</v>
      </c>
      <c r="D84" s="2" t="s">
        <v>2786</v>
      </c>
      <c r="E84" s="2" t="s">
        <v>2787</v>
      </c>
      <c r="F84" s="15" t="s">
        <v>2285</v>
      </c>
      <c r="G84" s="2" t="s">
        <v>2808</v>
      </c>
      <c r="H84" s="14" t="s">
        <v>2789</v>
      </c>
      <c r="I84" s="2" t="s">
        <v>54</v>
      </c>
      <c r="J84" s="2" t="s">
        <v>54</v>
      </c>
      <c r="K84" s="2" t="s">
        <v>8</v>
      </c>
      <c r="L84" s="2" t="s">
        <v>2809</v>
      </c>
      <c r="M84" s="2" t="s">
        <v>2396</v>
      </c>
      <c r="N84" s="14" t="s">
        <v>8</v>
      </c>
      <c r="O84" s="2" t="s">
        <v>2810</v>
      </c>
      <c r="P84" s="2" t="s">
        <v>2681</v>
      </c>
      <c r="Q84" s="2" t="s">
        <v>2792</v>
      </c>
    </row>
    <row r="85" ht="116" customHeight="1" spans="1:17">
      <c r="A85" s="2" t="s">
        <v>103</v>
      </c>
      <c r="B85" s="2" t="s">
        <v>2784</v>
      </c>
      <c r="C85" s="2" t="s">
        <v>2785</v>
      </c>
      <c r="D85" s="2" t="s">
        <v>2786</v>
      </c>
      <c r="E85" s="2" t="s">
        <v>2787</v>
      </c>
      <c r="F85" s="15" t="s">
        <v>2285</v>
      </c>
      <c r="G85" s="2" t="s">
        <v>2811</v>
      </c>
      <c r="H85" s="14" t="s">
        <v>2789</v>
      </c>
      <c r="I85" s="2" t="s">
        <v>54</v>
      </c>
      <c r="J85" s="2" t="s">
        <v>54</v>
      </c>
      <c r="K85" s="2" t="s">
        <v>8</v>
      </c>
      <c r="L85" s="2" t="s">
        <v>2812</v>
      </c>
      <c r="M85" s="2" t="s">
        <v>2396</v>
      </c>
      <c r="N85" s="14" t="s">
        <v>8</v>
      </c>
      <c r="O85" s="2" t="s">
        <v>2813</v>
      </c>
      <c r="P85" s="2" t="s">
        <v>2681</v>
      </c>
      <c r="Q85" s="2" t="s">
        <v>2792</v>
      </c>
    </row>
    <row r="86" ht="116" customHeight="1" spans="1:17">
      <c r="A86" s="2" t="s">
        <v>106</v>
      </c>
      <c r="B86" s="2" t="s">
        <v>2784</v>
      </c>
      <c r="C86" s="2" t="s">
        <v>2785</v>
      </c>
      <c r="D86" s="2" t="s">
        <v>2786</v>
      </c>
      <c r="E86" s="2" t="s">
        <v>2787</v>
      </c>
      <c r="F86" s="15" t="s">
        <v>2285</v>
      </c>
      <c r="G86" s="2" t="s">
        <v>2814</v>
      </c>
      <c r="H86" s="14" t="s">
        <v>2789</v>
      </c>
      <c r="I86" s="2" t="s">
        <v>54</v>
      </c>
      <c r="J86" s="2" t="s">
        <v>54</v>
      </c>
      <c r="K86" s="2" t="s">
        <v>8</v>
      </c>
      <c r="L86" s="2" t="s">
        <v>2815</v>
      </c>
      <c r="M86" s="2" t="s">
        <v>2396</v>
      </c>
      <c r="N86" s="14" t="s">
        <v>8</v>
      </c>
      <c r="O86" s="2" t="s">
        <v>2816</v>
      </c>
      <c r="P86" s="2" t="s">
        <v>2681</v>
      </c>
      <c r="Q86" s="2" t="s">
        <v>2792</v>
      </c>
    </row>
    <row r="87" ht="116" customHeight="1" spans="1:17">
      <c r="A87" s="2" t="s">
        <v>109</v>
      </c>
      <c r="B87" s="2" t="s">
        <v>2784</v>
      </c>
      <c r="C87" s="2" t="s">
        <v>2785</v>
      </c>
      <c r="D87" s="2" t="s">
        <v>2786</v>
      </c>
      <c r="E87" s="2" t="s">
        <v>2787</v>
      </c>
      <c r="F87" s="15" t="s">
        <v>2285</v>
      </c>
      <c r="G87" s="2" t="s">
        <v>2817</v>
      </c>
      <c r="H87" s="14" t="s">
        <v>2789</v>
      </c>
      <c r="I87" s="2" t="s">
        <v>54</v>
      </c>
      <c r="J87" s="2" t="s">
        <v>54</v>
      </c>
      <c r="K87" s="2" t="s">
        <v>8</v>
      </c>
      <c r="L87" s="2" t="s">
        <v>2818</v>
      </c>
      <c r="M87" s="2" t="s">
        <v>2396</v>
      </c>
      <c r="N87" s="14" t="s">
        <v>8</v>
      </c>
      <c r="O87" s="2" t="s">
        <v>2819</v>
      </c>
      <c r="P87" s="2" t="s">
        <v>2681</v>
      </c>
      <c r="Q87" s="2" t="s">
        <v>2792</v>
      </c>
    </row>
    <row r="88" ht="116" customHeight="1" spans="1:17">
      <c r="A88" s="2" t="s">
        <v>112</v>
      </c>
      <c r="B88" s="2" t="s">
        <v>2784</v>
      </c>
      <c r="C88" s="2" t="s">
        <v>2785</v>
      </c>
      <c r="D88" s="2" t="s">
        <v>2786</v>
      </c>
      <c r="E88" s="2" t="s">
        <v>2787</v>
      </c>
      <c r="F88" s="15" t="s">
        <v>2285</v>
      </c>
      <c r="G88" s="2" t="s">
        <v>2820</v>
      </c>
      <c r="H88" s="14" t="s">
        <v>2789</v>
      </c>
      <c r="I88" s="2" t="s">
        <v>54</v>
      </c>
      <c r="J88" s="2" t="s">
        <v>54</v>
      </c>
      <c r="K88" s="2" t="s">
        <v>8</v>
      </c>
      <c r="L88" s="2" t="s">
        <v>2821</v>
      </c>
      <c r="M88" s="2" t="s">
        <v>2396</v>
      </c>
      <c r="N88" s="14" t="s">
        <v>8</v>
      </c>
      <c r="O88" s="2" t="s">
        <v>2822</v>
      </c>
      <c r="P88" s="2" t="s">
        <v>2681</v>
      </c>
      <c r="Q88" s="2" t="s">
        <v>2792</v>
      </c>
    </row>
    <row r="89" ht="116" customHeight="1" spans="1:17">
      <c r="A89" s="2" t="s">
        <v>115</v>
      </c>
      <c r="B89" s="2" t="s">
        <v>2784</v>
      </c>
      <c r="C89" s="2" t="s">
        <v>2785</v>
      </c>
      <c r="D89" s="2" t="s">
        <v>2786</v>
      </c>
      <c r="E89" s="2" t="s">
        <v>2787</v>
      </c>
      <c r="F89" s="15" t="s">
        <v>2285</v>
      </c>
      <c r="G89" s="2" t="s">
        <v>2823</v>
      </c>
      <c r="H89" s="14" t="s">
        <v>2789</v>
      </c>
      <c r="I89" s="2" t="s">
        <v>54</v>
      </c>
      <c r="J89" s="2" t="s">
        <v>54</v>
      </c>
      <c r="K89" s="2" t="s">
        <v>8</v>
      </c>
      <c r="L89" s="2" t="s">
        <v>2824</v>
      </c>
      <c r="M89" s="2" t="s">
        <v>2396</v>
      </c>
      <c r="N89" s="14" t="s">
        <v>8</v>
      </c>
      <c r="O89" s="2" t="s">
        <v>2825</v>
      </c>
      <c r="P89" s="2" t="s">
        <v>2681</v>
      </c>
      <c r="Q89" s="2" t="s">
        <v>2792</v>
      </c>
    </row>
    <row r="90" ht="116" customHeight="1" spans="1:17">
      <c r="A90" s="2" t="s">
        <v>118</v>
      </c>
      <c r="B90" s="2" t="s">
        <v>2784</v>
      </c>
      <c r="C90" s="2" t="s">
        <v>2785</v>
      </c>
      <c r="D90" s="2" t="s">
        <v>2786</v>
      </c>
      <c r="E90" s="2" t="s">
        <v>2787</v>
      </c>
      <c r="F90" s="15" t="s">
        <v>2285</v>
      </c>
      <c r="G90" s="2" t="s">
        <v>2826</v>
      </c>
      <c r="H90" s="14" t="s">
        <v>2789</v>
      </c>
      <c r="I90" s="2" t="s">
        <v>54</v>
      </c>
      <c r="J90" s="2" t="s">
        <v>54</v>
      </c>
      <c r="K90" s="2" t="s">
        <v>8</v>
      </c>
      <c r="L90" s="2" t="s">
        <v>2827</v>
      </c>
      <c r="M90" s="2" t="s">
        <v>2396</v>
      </c>
      <c r="N90" s="14" t="s">
        <v>8</v>
      </c>
      <c r="O90" s="2" t="s">
        <v>2828</v>
      </c>
      <c r="P90" s="2" t="s">
        <v>2681</v>
      </c>
      <c r="Q90" s="2" t="s">
        <v>2792</v>
      </c>
    </row>
    <row r="91" ht="116" customHeight="1" spans="1:17">
      <c r="A91" s="2" t="s">
        <v>121</v>
      </c>
      <c r="B91" s="2" t="s">
        <v>2784</v>
      </c>
      <c r="C91" s="2" t="s">
        <v>2785</v>
      </c>
      <c r="D91" s="2" t="s">
        <v>2786</v>
      </c>
      <c r="E91" s="2" t="s">
        <v>2787</v>
      </c>
      <c r="F91" s="15" t="s">
        <v>2285</v>
      </c>
      <c r="G91" s="2" t="s">
        <v>2829</v>
      </c>
      <c r="H91" s="14" t="s">
        <v>2789</v>
      </c>
      <c r="I91" s="2" t="s">
        <v>54</v>
      </c>
      <c r="J91" s="2" t="s">
        <v>54</v>
      </c>
      <c r="K91" s="2" t="s">
        <v>8</v>
      </c>
      <c r="L91" s="2" t="s">
        <v>2830</v>
      </c>
      <c r="M91" s="2" t="s">
        <v>2396</v>
      </c>
      <c r="N91" s="14" t="s">
        <v>8</v>
      </c>
      <c r="O91" s="2" t="s">
        <v>2831</v>
      </c>
      <c r="P91" s="2" t="s">
        <v>2681</v>
      </c>
      <c r="Q91" s="2" t="s">
        <v>2792</v>
      </c>
    </row>
    <row r="92" ht="116" customHeight="1" spans="1:17">
      <c r="A92" s="2" t="s">
        <v>124</v>
      </c>
      <c r="B92" s="2" t="s">
        <v>2784</v>
      </c>
      <c r="C92" s="2" t="s">
        <v>2785</v>
      </c>
      <c r="D92" s="2" t="s">
        <v>2786</v>
      </c>
      <c r="E92" s="2" t="s">
        <v>2787</v>
      </c>
      <c r="F92" s="15" t="s">
        <v>2285</v>
      </c>
      <c r="G92" s="2" t="s">
        <v>2832</v>
      </c>
      <c r="H92" s="14" t="s">
        <v>2789</v>
      </c>
      <c r="I92" s="2" t="s">
        <v>54</v>
      </c>
      <c r="J92" s="2" t="s">
        <v>54</v>
      </c>
      <c r="K92" s="2" t="s">
        <v>8</v>
      </c>
      <c r="L92" s="2" t="s">
        <v>2833</v>
      </c>
      <c r="M92" s="2" t="s">
        <v>2396</v>
      </c>
      <c r="N92" s="14" t="s">
        <v>8</v>
      </c>
      <c r="O92" s="2" t="s">
        <v>2834</v>
      </c>
      <c r="P92" s="2" t="s">
        <v>2681</v>
      </c>
      <c r="Q92" s="2" t="s">
        <v>2792</v>
      </c>
    </row>
    <row r="93" ht="116" customHeight="1" spans="1:17">
      <c r="A93" s="2" t="s">
        <v>127</v>
      </c>
      <c r="B93" s="2" t="s">
        <v>2784</v>
      </c>
      <c r="C93" s="2" t="s">
        <v>2785</v>
      </c>
      <c r="D93" s="2" t="s">
        <v>2786</v>
      </c>
      <c r="E93" s="2" t="s">
        <v>2787</v>
      </c>
      <c r="F93" s="15" t="s">
        <v>2285</v>
      </c>
      <c r="G93" s="2" t="s">
        <v>2835</v>
      </c>
      <c r="H93" s="14" t="s">
        <v>2789</v>
      </c>
      <c r="I93" s="2" t="s">
        <v>54</v>
      </c>
      <c r="J93" s="2" t="s">
        <v>54</v>
      </c>
      <c r="K93" s="2" t="s">
        <v>8</v>
      </c>
      <c r="L93" s="2" t="s">
        <v>2836</v>
      </c>
      <c r="M93" s="2" t="s">
        <v>2396</v>
      </c>
      <c r="N93" s="14" t="s">
        <v>8</v>
      </c>
      <c r="O93" s="2" t="s">
        <v>2837</v>
      </c>
      <c r="P93" s="2" t="s">
        <v>2681</v>
      </c>
      <c r="Q93" s="2" t="s">
        <v>2792</v>
      </c>
    </row>
    <row r="94" ht="116" customHeight="1" spans="1:17">
      <c r="A94" s="2" t="s">
        <v>130</v>
      </c>
      <c r="B94" s="2" t="s">
        <v>2784</v>
      </c>
      <c r="C94" s="2" t="s">
        <v>2785</v>
      </c>
      <c r="D94" s="2" t="s">
        <v>2786</v>
      </c>
      <c r="E94" s="2" t="s">
        <v>2787</v>
      </c>
      <c r="F94" s="15" t="s">
        <v>2285</v>
      </c>
      <c r="G94" s="2" t="s">
        <v>2838</v>
      </c>
      <c r="H94" s="14" t="s">
        <v>2789</v>
      </c>
      <c r="I94" s="2" t="s">
        <v>54</v>
      </c>
      <c r="J94" s="2" t="s">
        <v>54</v>
      </c>
      <c r="K94" s="2" t="s">
        <v>8</v>
      </c>
      <c r="L94" s="2" t="s">
        <v>2839</v>
      </c>
      <c r="M94" s="2" t="s">
        <v>2396</v>
      </c>
      <c r="N94" s="14" t="s">
        <v>8</v>
      </c>
      <c r="O94" s="2" t="s">
        <v>2840</v>
      </c>
      <c r="P94" s="2" t="s">
        <v>2681</v>
      </c>
      <c r="Q94" s="2" t="s">
        <v>2792</v>
      </c>
    </row>
    <row r="95" ht="116" customHeight="1" spans="1:17">
      <c r="A95" s="2" t="s">
        <v>133</v>
      </c>
      <c r="B95" s="2" t="s">
        <v>2784</v>
      </c>
      <c r="C95" s="2" t="s">
        <v>2785</v>
      </c>
      <c r="D95" s="2" t="s">
        <v>2786</v>
      </c>
      <c r="E95" s="2" t="s">
        <v>2787</v>
      </c>
      <c r="F95" s="15" t="s">
        <v>2285</v>
      </c>
      <c r="G95" s="2" t="s">
        <v>2841</v>
      </c>
      <c r="H95" s="14" t="s">
        <v>2789</v>
      </c>
      <c r="I95" s="2" t="s">
        <v>54</v>
      </c>
      <c r="J95" s="2" t="s">
        <v>54</v>
      </c>
      <c r="K95" s="2" t="s">
        <v>8</v>
      </c>
      <c r="L95" s="2" t="s">
        <v>2842</v>
      </c>
      <c r="M95" s="2" t="s">
        <v>2396</v>
      </c>
      <c r="N95" s="14" t="s">
        <v>8</v>
      </c>
      <c r="O95" s="2" t="s">
        <v>2843</v>
      </c>
      <c r="P95" s="2" t="s">
        <v>2681</v>
      </c>
      <c r="Q95" s="2" t="s">
        <v>2792</v>
      </c>
    </row>
    <row r="96" ht="142" customHeight="1" spans="1:17">
      <c r="A96" s="2" t="s">
        <v>136</v>
      </c>
      <c r="B96" s="2" t="s">
        <v>2784</v>
      </c>
      <c r="C96" s="2" t="s">
        <v>2785</v>
      </c>
      <c r="D96" s="2" t="s">
        <v>2844</v>
      </c>
      <c r="E96" s="2" t="s">
        <v>2845</v>
      </c>
      <c r="F96" s="15" t="s">
        <v>2285</v>
      </c>
      <c r="G96" s="2" t="s">
        <v>2846</v>
      </c>
      <c r="H96" s="14" t="s">
        <v>2789</v>
      </c>
      <c r="I96" s="2" t="s">
        <v>54</v>
      </c>
      <c r="J96" s="2" t="s">
        <v>54</v>
      </c>
      <c r="K96" s="2" t="s">
        <v>8</v>
      </c>
      <c r="L96" s="2" t="s">
        <v>2847</v>
      </c>
      <c r="M96" s="2" t="s">
        <v>2396</v>
      </c>
      <c r="N96" s="14" t="s">
        <v>8</v>
      </c>
      <c r="O96" s="2" t="s">
        <v>2848</v>
      </c>
      <c r="P96" s="2" t="s">
        <v>2681</v>
      </c>
      <c r="Q96" s="2" t="s">
        <v>2792</v>
      </c>
    </row>
    <row r="97" ht="142" customHeight="1" spans="1:17">
      <c r="A97" s="2" t="s">
        <v>139</v>
      </c>
      <c r="B97" s="2" t="s">
        <v>2784</v>
      </c>
      <c r="C97" s="2" t="s">
        <v>2785</v>
      </c>
      <c r="D97" s="2" t="s">
        <v>2844</v>
      </c>
      <c r="E97" s="2" t="s">
        <v>2845</v>
      </c>
      <c r="F97" s="15" t="s">
        <v>2285</v>
      </c>
      <c r="G97" s="2" t="s">
        <v>2849</v>
      </c>
      <c r="H97" s="14" t="s">
        <v>2789</v>
      </c>
      <c r="I97" s="2" t="s">
        <v>54</v>
      </c>
      <c r="J97" s="2" t="s">
        <v>54</v>
      </c>
      <c r="K97" s="2" t="s">
        <v>8</v>
      </c>
      <c r="L97" s="2" t="s">
        <v>2850</v>
      </c>
      <c r="M97" s="2" t="s">
        <v>2396</v>
      </c>
      <c r="N97" s="14" t="s">
        <v>8</v>
      </c>
      <c r="O97" s="2" t="s">
        <v>2851</v>
      </c>
      <c r="P97" s="2" t="s">
        <v>2681</v>
      </c>
      <c r="Q97" s="2" t="s">
        <v>2792</v>
      </c>
    </row>
    <row r="98" ht="90" customHeight="1" spans="1:17">
      <c r="A98" s="2" t="s">
        <v>142</v>
      </c>
      <c r="B98" s="2" t="s">
        <v>2784</v>
      </c>
      <c r="C98" s="2" t="s">
        <v>2785</v>
      </c>
      <c r="D98" s="2" t="s">
        <v>2852</v>
      </c>
      <c r="E98" s="2" t="s">
        <v>2853</v>
      </c>
      <c r="F98" s="15" t="s">
        <v>2285</v>
      </c>
      <c r="G98" s="2" t="s">
        <v>2854</v>
      </c>
      <c r="H98" s="14" t="s">
        <v>2789</v>
      </c>
      <c r="I98" s="2" t="s">
        <v>54</v>
      </c>
      <c r="J98" s="2" t="s">
        <v>54</v>
      </c>
      <c r="K98" s="2" t="s">
        <v>7</v>
      </c>
      <c r="L98" s="2" t="s">
        <v>2855</v>
      </c>
      <c r="M98" s="2" t="s">
        <v>2396</v>
      </c>
      <c r="N98" s="14" t="s">
        <v>7</v>
      </c>
      <c r="O98" s="2" t="s">
        <v>2856</v>
      </c>
      <c r="P98" s="2" t="s">
        <v>2681</v>
      </c>
      <c r="Q98" s="2" t="s">
        <v>2857</v>
      </c>
    </row>
    <row r="99" ht="116" customHeight="1" spans="1:17">
      <c r="A99" s="2" t="s">
        <v>146</v>
      </c>
      <c r="B99" s="2" t="s">
        <v>2784</v>
      </c>
      <c r="C99" s="2" t="s">
        <v>2785</v>
      </c>
      <c r="D99" s="2" t="s">
        <v>2858</v>
      </c>
      <c r="E99" s="2" t="s">
        <v>2859</v>
      </c>
      <c r="F99" s="15" t="s">
        <v>2285</v>
      </c>
      <c r="G99" s="2" t="s">
        <v>2860</v>
      </c>
      <c r="H99" s="14" t="s">
        <v>2789</v>
      </c>
      <c r="I99" s="2" t="s">
        <v>54</v>
      </c>
      <c r="J99" s="2" t="s">
        <v>54</v>
      </c>
      <c r="K99" s="2" t="s">
        <v>11</v>
      </c>
      <c r="L99" s="2" t="s">
        <v>2861</v>
      </c>
      <c r="M99" s="2" t="s">
        <v>2396</v>
      </c>
      <c r="N99" s="14" t="s">
        <v>7</v>
      </c>
      <c r="O99" s="2" t="s">
        <v>2862</v>
      </c>
      <c r="P99" s="2" t="s">
        <v>2681</v>
      </c>
      <c r="Q99" s="2" t="s">
        <v>2863</v>
      </c>
    </row>
    <row r="100" ht="90" customHeight="1" spans="1:17">
      <c r="A100" s="2" t="s">
        <v>149</v>
      </c>
      <c r="B100" s="2" t="s">
        <v>2784</v>
      </c>
      <c r="C100" s="2" t="s">
        <v>2785</v>
      </c>
      <c r="D100" s="2" t="s">
        <v>2864</v>
      </c>
      <c r="E100" s="2" t="s">
        <v>2865</v>
      </c>
      <c r="F100" s="15" t="s">
        <v>2285</v>
      </c>
      <c r="G100" s="2" t="s">
        <v>2866</v>
      </c>
      <c r="H100" s="14" t="s">
        <v>2789</v>
      </c>
      <c r="I100" s="2" t="s">
        <v>54</v>
      </c>
      <c r="J100" s="2" t="s">
        <v>54</v>
      </c>
      <c r="K100" s="2" t="s">
        <v>7</v>
      </c>
      <c r="L100" s="2" t="s">
        <v>2867</v>
      </c>
      <c r="M100" s="2" t="s">
        <v>2396</v>
      </c>
      <c r="N100" s="14" t="s">
        <v>7</v>
      </c>
      <c r="O100" s="2" t="s">
        <v>2868</v>
      </c>
      <c r="P100" s="2" t="s">
        <v>2681</v>
      </c>
      <c r="Q100" s="2" t="s">
        <v>2857</v>
      </c>
    </row>
    <row r="101" ht="103" customHeight="1" spans="1:17">
      <c r="A101" s="2" t="s">
        <v>151</v>
      </c>
      <c r="B101" s="2" t="s">
        <v>2784</v>
      </c>
      <c r="C101" s="2" t="s">
        <v>2785</v>
      </c>
      <c r="D101" s="2" t="s">
        <v>2869</v>
      </c>
      <c r="E101" s="2" t="s">
        <v>2870</v>
      </c>
      <c r="F101" s="15" t="s">
        <v>2285</v>
      </c>
      <c r="G101" s="2" t="s">
        <v>2871</v>
      </c>
      <c r="H101" s="14" t="s">
        <v>2789</v>
      </c>
      <c r="I101" s="2" t="s">
        <v>54</v>
      </c>
      <c r="J101" s="2" t="s">
        <v>54</v>
      </c>
      <c r="K101" s="2" t="s">
        <v>7</v>
      </c>
      <c r="L101" s="2" t="s">
        <v>2872</v>
      </c>
      <c r="M101" s="2" t="s">
        <v>2396</v>
      </c>
      <c r="N101" s="14" t="s">
        <v>7</v>
      </c>
      <c r="O101" s="2" t="s">
        <v>2873</v>
      </c>
      <c r="P101" s="2" t="s">
        <v>2681</v>
      </c>
      <c r="Q101" s="2" t="s">
        <v>2857</v>
      </c>
    </row>
    <row r="102" ht="116" customHeight="1" spans="1:17">
      <c r="A102" s="2" t="s">
        <v>155</v>
      </c>
      <c r="B102" s="2" t="s">
        <v>2784</v>
      </c>
      <c r="C102" s="2" t="s">
        <v>2874</v>
      </c>
      <c r="D102" s="2" t="s">
        <v>2875</v>
      </c>
      <c r="E102" s="2" t="s">
        <v>2876</v>
      </c>
      <c r="F102" s="15" t="s">
        <v>2285</v>
      </c>
      <c r="G102" s="2" t="s">
        <v>2877</v>
      </c>
      <c r="H102" s="14" t="s">
        <v>2789</v>
      </c>
      <c r="I102" s="2" t="s">
        <v>54</v>
      </c>
      <c r="J102" s="2" t="s">
        <v>54</v>
      </c>
      <c r="K102" s="2" t="s">
        <v>8</v>
      </c>
      <c r="L102" s="2" t="s">
        <v>2878</v>
      </c>
      <c r="M102" s="2" t="s">
        <v>2396</v>
      </c>
      <c r="N102" s="14" t="s">
        <v>8</v>
      </c>
      <c r="O102" s="2" t="s">
        <v>2879</v>
      </c>
      <c r="P102" s="2" t="s">
        <v>2681</v>
      </c>
      <c r="Q102" s="2" t="s">
        <v>2792</v>
      </c>
    </row>
  </sheetData>
  <conditionalFormatting sqref="H2:H77">
    <cfRule type="containsText" dxfId="5" priority="1" operator="between" text="不通过">
      <formula>NOT(ISERROR(SEARCH("不通过",H2)))</formula>
    </cfRule>
    <cfRule type="containsText" dxfId="6" priority="2" operator="between" text="受阻">
      <formula>NOT(ISERROR(SEARCH("受阻",H2)))</formula>
    </cfRule>
  </conditionalFormatting>
  <dataValidations count="2">
    <dataValidation type="list" sqref="H2:H77">
      <formula1>"未执行,通过,不通过,受阻,不适用"</formula1>
    </dataValidation>
    <dataValidation type="list" sqref="N2:N102">
      <formula1>"通过,不通过,受阻,未执行,不适用"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1"/>
  <sheetViews>
    <sheetView showGridLines="0" tabSelected="1" workbookViewId="0">
      <pane xSplit="2" ySplit="1" topLeftCell="C5" activePane="bottomRight" state="frozen"/>
      <selection/>
      <selection pane="topRight"/>
      <selection pane="bottomLeft"/>
      <selection pane="bottomRight" activeCell="J5" sqref="J5"/>
    </sheetView>
  </sheetViews>
  <sheetFormatPr defaultColWidth="9" defaultRowHeight="15"/>
  <cols>
    <col min="1" max="1" width="13.25" customWidth="1"/>
    <col min="2" max="2" width="7.625" customWidth="1"/>
    <col min="3" max="3" width="16" customWidth="1"/>
    <col min="4" max="4" width="19.375" customWidth="1"/>
    <col min="5" max="5" width="31" customWidth="1"/>
    <col min="6" max="6" width="5" customWidth="1"/>
    <col min="7" max="7" width="9.125" customWidth="1"/>
    <col min="8" max="8" width="8.625" customWidth="1"/>
    <col min="9" max="9" width="26.125" customWidth="1"/>
    <col min="10" max="10" width="26.625" customWidth="1"/>
    <col min="11" max="11" width="20" customWidth="1"/>
    <col min="12" max="12" width="85" customWidth="1"/>
    <col min="13" max="13" width="44" customWidth="1"/>
  </cols>
  <sheetData>
    <row r="1" ht="38" customHeight="1" spans="1:13">
      <c r="A1" s="1" t="s">
        <v>35</v>
      </c>
      <c r="B1" s="1" t="s">
        <v>2375</v>
      </c>
      <c r="C1" s="1" t="s">
        <v>432</v>
      </c>
      <c r="D1" s="1" t="s">
        <v>2376</v>
      </c>
      <c r="E1" s="1" t="s">
        <v>439</v>
      </c>
      <c r="F1" s="1" t="s">
        <v>2377</v>
      </c>
      <c r="G1" s="1" t="s">
        <v>2378</v>
      </c>
      <c r="H1" s="1" t="s">
        <v>2379</v>
      </c>
      <c r="I1" s="1" t="s">
        <v>2380</v>
      </c>
      <c r="J1" s="1" t="s">
        <v>2381</v>
      </c>
      <c r="K1" s="5" t="s">
        <v>2880</v>
      </c>
      <c r="L1" s="5" t="s">
        <v>2881</v>
      </c>
      <c r="M1" s="5" t="s">
        <v>2384</v>
      </c>
    </row>
    <row r="2" ht="198.75" customHeight="1" spans="1:13">
      <c r="A2" s="2" t="s">
        <v>340</v>
      </c>
      <c r="B2" s="2" t="s">
        <v>2882</v>
      </c>
      <c r="C2" s="2" t="s">
        <v>2883</v>
      </c>
      <c r="D2" s="2" t="s">
        <v>2884</v>
      </c>
      <c r="E2" s="2" t="s">
        <v>2885</v>
      </c>
      <c r="F2" s="15" t="s">
        <v>2256</v>
      </c>
      <c r="G2" s="2" t="s">
        <v>2886</v>
      </c>
      <c r="H2" s="14" t="s">
        <v>8</v>
      </c>
      <c r="I2" s="2" t="s">
        <v>2887</v>
      </c>
      <c r="J2" s="2" t="s">
        <v>8</v>
      </c>
      <c r="K2" s="14" t="s">
        <v>8</v>
      </c>
      <c r="L2" s="2" t="s">
        <v>2888</v>
      </c>
      <c r="M2" s="2" t="s">
        <v>2889</v>
      </c>
    </row>
    <row r="3" ht="184.5" customHeight="1" spans="1:13">
      <c r="A3" s="4" t="s">
        <v>345</v>
      </c>
      <c r="B3" s="4" t="s">
        <v>2890</v>
      </c>
      <c r="C3" s="4" t="s">
        <v>2891</v>
      </c>
      <c r="D3" s="4" t="s">
        <v>2892</v>
      </c>
      <c r="E3" s="4" t="s">
        <v>2893</v>
      </c>
      <c r="F3" s="16" t="s">
        <v>2256</v>
      </c>
      <c r="G3" s="4" t="s">
        <v>2894</v>
      </c>
      <c r="H3" s="14" t="s">
        <v>8</v>
      </c>
      <c r="I3" s="4" t="s">
        <v>2895</v>
      </c>
      <c r="J3" s="4" t="s">
        <v>8</v>
      </c>
      <c r="K3" s="14" t="s">
        <v>8</v>
      </c>
      <c r="L3" s="2" t="s">
        <v>2896</v>
      </c>
      <c r="M3" s="2" t="s">
        <v>2889</v>
      </c>
    </row>
    <row r="4" ht="184.5" customHeight="1" spans="1:13">
      <c r="A4" s="2" t="s">
        <v>348</v>
      </c>
      <c r="B4" s="2" t="s">
        <v>2897</v>
      </c>
      <c r="C4" s="2" t="s">
        <v>2898</v>
      </c>
      <c r="D4" s="2" t="s">
        <v>2899</v>
      </c>
      <c r="E4" s="2" t="s">
        <v>2900</v>
      </c>
      <c r="F4" s="15" t="s">
        <v>2256</v>
      </c>
      <c r="G4" s="2" t="s">
        <v>2901</v>
      </c>
      <c r="H4" s="14" t="s">
        <v>8</v>
      </c>
      <c r="I4" s="2" t="s">
        <v>2902</v>
      </c>
      <c r="J4" s="2" t="s">
        <v>8</v>
      </c>
      <c r="K4" s="14" t="s">
        <v>8</v>
      </c>
      <c r="L4" s="2" t="s">
        <v>2903</v>
      </c>
      <c r="M4" s="2" t="s">
        <v>2889</v>
      </c>
    </row>
    <row r="5" ht="184.5" customHeight="1" spans="1:13">
      <c r="A5" s="4" t="s">
        <v>351</v>
      </c>
      <c r="B5" s="4" t="s">
        <v>2904</v>
      </c>
      <c r="C5" s="4" t="s">
        <v>2905</v>
      </c>
      <c r="D5" s="4" t="s">
        <v>2906</v>
      </c>
      <c r="E5" s="4" t="s">
        <v>2907</v>
      </c>
      <c r="F5" s="16" t="s">
        <v>2256</v>
      </c>
      <c r="G5" s="4" t="s">
        <v>2908</v>
      </c>
      <c r="H5" s="14" t="s">
        <v>8</v>
      </c>
      <c r="I5" s="4" t="s">
        <v>2909</v>
      </c>
      <c r="J5" s="4"/>
      <c r="K5" s="14" t="s">
        <v>8</v>
      </c>
      <c r="L5" s="2" t="s">
        <v>2910</v>
      </c>
      <c r="M5" s="2" t="s">
        <v>2889</v>
      </c>
    </row>
    <row r="6" ht="213" customHeight="1" spans="1:13">
      <c r="A6" s="2" t="s">
        <v>354</v>
      </c>
      <c r="B6" s="2" t="s">
        <v>2911</v>
      </c>
      <c r="C6" s="2" t="s">
        <v>2912</v>
      </c>
      <c r="D6" s="2" t="s">
        <v>2913</v>
      </c>
      <c r="E6" s="2" t="s">
        <v>2914</v>
      </c>
      <c r="F6" s="15" t="s">
        <v>2256</v>
      </c>
      <c r="G6" s="2" t="s">
        <v>2915</v>
      </c>
      <c r="H6" s="14" t="s">
        <v>8</v>
      </c>
      <c r="I6" s="2" t="s">
        <v>2916</v>
      </c>
      <c r="J6" s="2"/>
      <c r="K6" s="14" t="s">
        <v>8</v>
      </c>
      <c r="L6" s="2" t="s">
        <v>2917</v>
      </c>
      <c r="M6" s="2" t="s">
        <v>2889</v>
      </c>
    </row>
    <row r="7" ht="184.5" customHeight="1" spans="1:13">
      <c r="A7" s="4" t="s">
        <v>356</v>
      </c>
      <c r="B7" s="4" t="s">
        <v>2918</v>
      </c>
      <c r="C7" s="4" t="s">
        <v>2919</v>
      </c>
      <c r="D7" s="4" t="s">
        <v>2920</v>
      </c>
      <c r="E7" s="4" t="s">
        <v>2921</v>
      </c>
      <c r="F7" s="16" t="s">
        <v>2256</v>
      </c>
      <c r="G7" s="4" t="s">
        <v>2922</v>
      </c>
      <c r="H7" s="14" t="s">
        <v>7</v>
      </c>
      <c r="I7" s="4" t="s">
        <v>2923</v>
      </c>
      <c r="J7" s="4"/>
      <c r="K7" s="14" t="s">
        <v>7</v>
      </c>
      <c r="L7" s="2" t="s">
        <v>2924</v>
      </c>
      <c r="M7" s="2" t="s">
        <v>2889</v>
      </c>
    </row>
    <row r="8" ht="184.5" customHeight="1" spans="1:13">
      <c r="A8" s="2" t="s">
        <v>358</v>
      </c>
      <c r="B8" s="2" t="s">
        <v>2925</v>
      </c>
      <c r="C8" s="2" t="s">
        <v>2926</v>
      </c>
      <c r="D8" s="2" t="s">
        <v>2927</v>
      </c>
      <c r="E8" s="2" t="s">
        <v>2928</v>
      </c>
      <c r="F8" s="15" t="s">
        <v>2256</v>
      </c>
      <c r="G8" s="2" t="s">
        <v>2929</v>
      </c>
      <c r="H8" s="14" t="s">
        <v>7</v>
      </c>
      <c r="I8" s="2" t="s">
        <v>2930</v>
      </c>
      <c r="J8" s="2"/>
      <c r="K8" s="14" t="s">
        <v>7</v>
      </c>
      <c r="L8" s="2" t="s">
        <v>2931</v>
      </c>
      <c r="M8" s="2" t="s">
        <v>2889</v>
      </c>
    </row>
    <row r="9" ht="170.25" customHeight="1" spans="1:13">
      <c r="A9" s="4" t="s">
        <v>360</v>
      </c>
      <c r="B9" s="4" t="s">
        <v>2932</v>
      </c>
      <c r="C9" s="4" t="s">
        <v>2933</v>
      </c>
      <c r="D9" s="4" t="s">
        <v>2934</v>
      </c>
      <c r="E9" s="4" t="s">
        <v>2935</v>
      </c>
      <c r="F9" s="16" t="s">
        <v>2256</v>
      </c>
      <c r="G9" s="4" t="s">
        <v>2936</v>
      </c>
      <c r="H9" s="14" t="s">
        <v>7</v>
      </c>
      <c r="I9" s="4" t="s">
        <v>2937</v>
      </c>
      <c r="J9" s="4"/>
      <c r="K9" s="14" t="s">
        <v>7</v>
      </c>
      <c r="L9" s="2" t="s">
        <v>2938</v>
      </c>
      <c r="M9" s="2" t="s">
        <v>2889</v>
      </c>
    </row>
    <row r="10" ht="170.25" customHeight="1" spans="1:13">
      <c r="A10" s="2" t="s">
        <v>362</v>
      </c>
      <c r="B10" s="2" t="s">
        <v>2939</v>
      </c>
      <c r="C10" s="2" t="s">
        <v>2940</v>
      </c>
      <c r="D10" s="2" t="s">
        <v>2941</v>
      </c>
      <c r="E10" s="2" t="s">
        <v>2942</v>
      </c>
      <c r="F10" s="15" t="s">
        <v>2256</v>
      </c>
      <c r="G10" s="2" t="s">
        <v>2943</v>
      </c>
      <c r="H10" s="14" t="s">
        <v>7</v>
      </c>
      <c r="I10" s="2" t="s">
        <v>2944</v>
      </c>
      <c r="J10" s="2"/>
      <c r="K10" s="14" t="s">
        <v>11</v>
      </c>
      <c r="L10" s="2" t="s">
        <v>2945</v>
      </c>
      <c r="M10" s="2" t="s">
        <v>2889</v>
      </c>
    </row>
    <row r="11" ht="213" customHeight="1" spans="1:13">
      <c r="A11" s="4" t="s">
        <v>364</v>
      </c>
      <c r="B11" s="4" t="s">
        <v>2946</v>
      </c>
      <c r="C11" s="4" t="s">
        <v>2947</v>
      </c>
      <c r="D11" s="4" t="s">
        <v>2948</v>
      </c>
      <c r="E11" s="4" t="s">
        <v>2949</v>
      </c>
      <c r="F11" s="16" t="s">
        <v>2256</v>
      </c>
      <c r="G11" s="4" t="s">
        <v>2950</v>
      </c>
      <c r="H11" s="14" t="s">
        <v>7</v>
      </c>
      <c r="I11" s="4" t="s">
        <v>2951</v>
      </c>
      <c r="J11" s="4"/>
      <c r="K11" s="14" t="s">
        <v>7</v>
      </c>
      <c r="L11" s="2" t="s">
        <v>2952</v>
      </c>
      <c r="M11" s="2" t="s">
        <v>2889</v>
      </c>
    </row>
    <row r="12" ht="198.75" customHeight="1" spans="1:13">
      <c r="A12" s="2" t="s">
        <v>366</v>
      </c>
      <c r="B12" s="2" t="s">
        <v>2953</v>
      </c>
      <c r="C12" s="2" t="s">
        <v>2954</v>
      </c>
      <c r="D12" s="2" t="s">
        <v>2955</v>
      </c>
      <c r="E12" s="2" t="s">
        <v>2956</v>
      </c>
      <c r="F12" s="15" t="s">
        <v>2256</v>
      </c>
      <c r="G12" s="2" t="s">
        <v>2957</v>
      </c>
      <c r="H12" s="14" t="s">
        <v>7</v>
      </c>
      <c r="I12" s="2" t="s">
        <v>2958</v>
      </c>
      <c r="J12" s="2"/>
      <c r="K12" s="14" t="s">
        <v>11</v>
      </c>
      <c r="L12" s="2" t="s">
        <v>2959</v>
      </c>
      <c r="M12" s="2" t="s">
        <v>2889</v>
      </c>
    </row>
    <row r="13" ht="198.75" customHeight="1" spans="1:13">
      <c r="A13" s="4" t="s">
        <v>368</v>
      </c>
      <c r="B13" s="4" t="s">
        <v>2960</v>
      </c>
      <c r="C13" s="4" t="s">
        <v>2961</v>
      </c>
      <c r="D13" s="4" t="s">
        <v>2962</v>
      </c>
      <c r="E13" s="4" t="s">
        <v>2963</v>
      </c>
      <c r="F13" s="16" t="s">
        <v>2256</v>
      </c>
      <c r="G13" s="4" t="s">
        <v>2964</v>
      </c>
      <c r="H13" s="14" t="s">
        <v>7</v>
      </c>
      <c r="I13" s="4" t="s">
        <v>2965</v>
      </c>
      <c r="J13" s="4"/>
      <c r="K13" s="14" t="s">
        <v>7</v>
      </c>
      <c r="L13" s="2" t="s">
        <v>2966</v>
      </c>
      <c r="M13" s="2" t="s">
        <v>2889</v>
      </c>
    </row>
    <row r="14" ht="198.75" customHeight="1" spans="1:13">
      <c r="A14" s="2" t="s">
        <v>370</v>
      </c>
      <c r="B14" s="2" t="s">
        <v>2967</v>
      </c>
      <c r="C14" s="2" t="s">
        <v>2968</v>
      </c>
      <c r="D14" s="2" t="s">
        <v>2969</v>
      </c>
      <c r="E14" s="2" t="s">
        <v>2970</v>
      </c>
      <c r="F14" s="15" t="s">
        <v>2256</v>
      </c>
      <c r="G14" s="2" t="s">
        <v>2971</v>
      </c>
      <c r="H14" s="14" t="s">
        <v>11</v>
      </c>
      <c r="I14" s="2" t="s">
        <v>2972</v>
      </c>
      <c r="J14" s="2"/>
      <c r="K14" s="14" t="s">
        <v>11</v>
      </c>
      <c r="L14" s="2" t="s">
        <v>2973</v>
      </c>
      <c r="M14" s="2" t="s">
        <v>2889</v>
      </c>
    </row>
    <row r="15" ht="213" customHeight="1" spans="1:13">
      <c r="A15" s="4" t="s">
        <v>372</v>
      </c>
      <c r="B15" s="4" t="s">
        <v>2974</v>
      </c>
      <c r="C15" s="4" t="s">
        <v>2975</v>
      </c>
      <c r="D15" s="4" t="s">
        <v>2976</v>
      </c>
      <c r="E15" s="4" t="s">
        <v>2977</v>
      </c>
      <c r="F15" s="16" t="s">
        <v>2256</v>
      </c>
      <c r="G15" s="4" t="s">
        <v>2978</v>
      </c>
      <c r="H15" s="14" t="s">
        <v>11</v>
      </c>
      <c r="I15" s="4" t="s">
        <v>2979</v>
      </c>
      <c r="J15" s="4"/>
      <c r="K15" s="14" t="s">
        <v>11</v>
      </c>
      <c r="L15" s="2" t="s">
        <v>2980</v>
      </c>
      <c r="M15" s="2" t="s">
        <v>2889</v>
      </c>
    </row>
    <row r="16" ht="184.5" customHeight="1" spans="1:13">
      <c r="A16" s="2" t="s">
        <v>374</v>
      </c>
      <c r="B16" s="2" t="s">
        <v>2981</v>
      </c>
      <c r="C16" s="2" t="s">
        <v>2982</v>
      </c>
      <c r="D16" s="2" t="s">
        <v>2983</v>
      </c>
      <c r="E16" s="2" t="s">
        <v>2984</v>
      </c>
      <c r="F16" s="15" t="s">
        <v>2256</v>
      </c>
      <c r="G16" s="2" t="s">
        <v>2985</v>
      </c>
      <c r="H16" s="14" t="s">
        <v>7</v>
      </c>
      <c r="I16" s="2" t="s">
        <v>2986</v>
      </c>
      <c r="J16" s="2"/>
      <c r="K16" s="14" t="s">
        <v>7</v>
      </c>
      <c r="L16" s="2" t="s">
        <v>2987</v>
      </c>
      <c r="M16" s="2" t="s">
        <v>2889</v>
      </c>
    </row>
    <row r="17" ht="198.75" customHeight="1" spans="1:13">
      <c r="A17" s="4" t="s">
        <v>376</v>
      </c>
      <c r="B17" s="4" t="s">
        <v>2988</v>
      </c>
      <c r="C17" s="4" t="s">
        <v>2989</v>
      </c>
      <c r="D17" s="4" t="s">
        <v>2990</v>
      </c>
      <c r="E17" s="4" t="s">
        <v>2991</v>
      </c>
      <c r="F17" s="16" t="s">
        <v>2285</v>
      </c>
      <c r="G17" s="4" t="s">
        <v>2992</v>
      </c>
      <c r="H17" s="14" t="s">
        <v>11</v>
      </c>
      <c r="I17" s="4" t="s">
        <v>2993</v>
      </c>
      <c r="J17" s="4"/>
      <c r="K17" s="14" t="s">
        <v>11</v>
      </c>
      <c r="L17" s="2" t="s">
        <v>2994</v>
      </c>
      <c r="M17" s="2" t="s">
        <v>2889</v>
      </c>
    </row>
    <row r="18" ht="198.75" customHeight="1" spans="1:13">
      <c r="A18" s="2" t="s">
        <v>378</v>
      </c>
      <c r="B18" s="2" t="s">
        <v>2995</v>
      </c>
      <c r="C18" s="2" t="s">
        <v>2996</v>
      </c>
      <c r="D18" s="2" t="s">
        <v>2997</v>
      </c>
      <c r="E18" s="2" t="s">
        <v>2998</v>
      </c>
      <c r="F18" s="15" t="s">
        <v>2256</v>
      </c>
      <c r="G18" s="2" t="s">
        <v>2999</v>
      </c>
      <c r="H18" s="14" t="s">
        <v>7</v>
      </c>
      <c r="I18" s="2" t="s">
        <v>3000</v>
      </c>
      <c r="J18" s="2"/>
      <c r="K18" s="14" t="s">
        <v>7</v>
      </c>
      <c r="L18" s="2" t="s">
        <v>3001</v>
      </c>
      <c r="M18" s="2" t="s">
        <v>2889</v>
      </c>
    </row>
    <row r="19" ht="198.75" customHeight="1" spans="1:13">
      <c r="A19" s="4" t="s">
        <v>380</v>
      </c>
      <c r="B19" s="4" t="s">
        <v>3002</v>
      </c>
      <c r="C19" s="4" t="s">
        <v>3003</v>
      </c>
      <c r="D19" s="4" t="s">
        <v>3004</v>
      </c>
      <c r="E19" s="4" t="s">
        <v>3005</v>
      </c>
      <c r="F19" s="16" t="s">
        <v>2256</v>
      </c>
      <c r="G19" s="4" t="s">
        <v>3006</v>
      </c>
      <c r="H19" s="14" t="s">
        <v>7</v>
      </c>
      <c r="I19" s="4" t="s">
        <v>3007</v>
      </c>
      <c r="J19" s="4"/>
      <c r="K19" s="14" t="s">
        <v>7</v>
      </c>
      <c r="L19" s="2" t="s">
        <v>3008</v>
      </c>
      <c r="M19" s="2" t="s">
        <v>2889</v>
      </c>
    </row>
    <row r="20" ht="227.25" customHeight="1" spans="1:13">
      <c r="A20" s="2" t="s">
        <v>382</v>
      </c>
      <c r="B20" s="2" t="s">
        <v>3009</v>
      </c>
      <c r="C20" s="2" t="s">
        <v>3010</v>
      </c>
      <c r="D20" s="2" t="s">
        <v>3011</v>
      </c>
      <c r="E20" s="2" t="s">
        <v>3012</v>
      </c>
      <c r="F20" s="15" t="s">
        <v>2256</v>
      </c>
      <c r="G20" s="2" t="s">
        <v>3013</v>
      </c>
      <c r="H20" s="14" t="s">
        <v>8</v>
      </c>
      <c r="I20" s="2" t="s">
        <v>3014</v>
      </c>
      <c r="J20" s="2"/>
      <c r="K20" s="14" t="s">
        <v>8</v>
      </c>
      <c r="L20" s="2" t="s">
        <v>3015</v>
      </c>
      <c r="M20" s="2" t="s">
        <v>2889</v>
      </c>
    </row>
    <row r="21" ht="227.25" customHeight="1" spans="1:13">
      <c r="A21" s="4" t="s">
        <v>385</v>
      </c>
      <c r="B21" s="4" t="s">
        <v>3016</v>
      </c>
      <c r="C21" s="4" t="s">
        <v>3017</v>
      </c>
      <c r="D21" s="4" t="s">
        <v>3018</v>
      </c>
      <c r="E21" s="4" t="s">
        <v>3019</v>
      </c>
      <c r="F21" s="16" t="s">
        <v>2256</v>
      </c>
      <c r="G21" s="4" t="s">
        <v>3020</v>
      </c>
      <c r="H21" s="14" t="s">
        <v>11</v>
      </c>
      <c r="I21" s="4" t="s">
        <v>3021</v>
      </c>
      <c r="J21" s="4"/>
      <c r="K21" s="14" t="s">
        <v>11</v>
      </c>
      <c r="L21" s="2" t="s">
        <v>3022</v>
      </c>
      <c r="M21" s="2" t="s">
        <v>2889</v>
      </c>
    </row>
    <row r="22" ht="213" customHeight="1" spans="1:13">
      <c r="A22" s="2" t="s">
        <v>387</v>
      </c>
      <c r="B22" s="2" t="s">
        <v>3023</v>
      </c>
      <c r="C22" s="2" t="s">
        <v>3024</v>
      </c>
      <c r="D22" s="2" t="s">
        <v>3025</v>
      </c>
      <c r="E22" s="2" t="s">
        <v>3026</v>
      </c>
      <c r="F22" s="15" t="s">
        <v>2285</v>
      </c>
      <c r="G22" s="2" t="s">
        <v>3027</v>
      </c>
      <c r="H22" s="14" t="s">
        <v>11</v>
      </c>
      <c r="I22" s="2" t="s">
        <v>3028</v>
      </c>
      <c r="J22" s="2"/>
      <c r="K22" s="14" t="s">
        <v>11</v>
      </c>
      <c r="L22" s="2" t="s">
        <v>3029</v>
      </c>
      <c r="M22" s="2" t="s">
        <v>2889</v>
      </c>
    </row>
    <row r="23" ht="198.75" customHeight="1" spans="1:13">
      <c r="A23" s="4" t="s">
        <v>389</v>
      </c>
      <c r="B23" s="4" t="s">
        <v>3030</v>
      </c>
      <c r="C23" s="4" t="s">
        <v>3031</v>
      </c>
      <c r="D23" s="4" t="s">
        <v>3032</v>
      </c>
      <c r="E23" s="4" t="s">
        <v>3033</v>
      </c>
      <c r="F23" s="16" t="s">
        <v>2256</v>
      </c>
      <c r="G23" s="4" t="s">
        <v>3034</v>
      </c>
      <c r="H23" s="14" t="s">
        <v>8</v>
      </c>
      <c r="I23" s="4" t="s">
        <v>3035</v>
      </c>
      <c r="J23" s="4"/>
      <c r="K23" s="14" t="s">
        <v>8</v>
      </c>
      <c r="L23" s="2" t="s">
        <v>3036</v>
      </c>
      <c r="M23" s="2" t="s">
        <v>2889</v>
      </c>
    </row>
    <row r="24" ht="198.75" customHeight="1" spans="1:13">
      <c r="A24" s="2" t="s">
        <v>392</v>
      </c>
      <c r="B24" s="2" t="s">
        <v>3037</v>
      </c>
      <c r="C24" s="2" t="s">
        <v>3038</v>
      </c>
      <c r="D24" s="2" t="s">
        <v>3039</v>
      </c>
      <c r="E24" s="2" t="s">
        <v>3040</v>
      </c>
      <c r="F24" s="15" t="s">
        <v>2256</v>
      </c>
      <c r="G24" s="2" t="s">
        <v>3041</v>
      </c>
      <c r="H24" s="14" t="s">
        <v>11</v>
      </c>
      <c r="I24" s="2" t="s">
        <v>3042</v>
      </c>
      <c r="J24" s="2"/>
      <c r="K24" s="14" t="s">
        <v>11</v>
      </c>
      <c r="L24" s="2" t="s">
        <v>3043</v>
      </c>
      <c r="M24" s="2" t="s">
        <v>2889</v>
      </c>
    </row>
    <row r="25" ht="170.25" customHeight="1" spans="1:13">
      <c r="A25" s="4" t="s">
        <v>394</v>
      </c>
      <c r="B25" s="4" t="s">
        <v>3044</v>
      </c>
      <c r="C25" s="4" t="s">
        <v>3045</v>
      </c>
      <c r="D25" s="4" t="s">
        <v>3046</v>
      </c>
      <c r="E25" s="4" t="s">
        <v>3047</v>
      </c>
      <c r="F25" s="16" t="s">
        <v>2256</v>
      </c>
      <c r="G25" s="4" t="s">
        <v>3048</v>
      </c>
      <c r="H25" s="14" t="s">
        <v>7</v>
      </c>
      <c r="I25" s="4" t="s">
        <v>3049</v>
      </c>
      <c r="J25" s="4"/>
      <c r="K25" s="14" t="s">
        <v>11</v>
      </c>
      <c r="L25" s="2" t="s">
        <v>3050</v>
      </c>
      <c r="M25" s="2" t="s">
        <v>2889</v>
      </c>
    </row>
    <row r="26" ht="170.25" customHeight="1" spans="1:13">
      <c r="A26" s="2" t="s">
        <v>396</v>
      </c>
      <c r="B26" s="2" t="s">
        <v>3051</v>
      </c>
      <c r="C26" s="2" t="s">
        <v>3052</v>
      </c>
      <c r="D26" s="2" t="s">
        <v>3053</v>
      </c>
      <c r="E26" s="2" t="s">
        <v>3054</v>
      </c>
      <c r="F26" s="15" t="s">
        <v>2256</v>
      </c>
      <c r="G26" s="2" t="s">
        <v>3055</v>
      </c>
      <c r="H26" s="14" t="s">
        <v>7</v>
      </c>
      <c r="I26" s="2" t="s">
        <v>3056</v>
      </c>
      <c r="J26" s="2"/>
      <c r="K26" s="14" t="s">
        <v>11</v>
      </c>
      <c r="L26" s="2" t="s">
        <v>3057</v>
      </c>
      <c r="M26" s="2" t="s">
        <v>2889</v>
      </c>
    </row>
    <row r="27" ht="213" customHeight="1" spans="1:13">
      <c r="A27" s="4" t="s">
        <v>398</v>
      </c>
      <c r="B27" s="4" t="s">
        <v>3058</v>
      </c>
      <c r="C27" s="4" t="s">
        <v>3059</v>
      </c>
      <c r="D27" s="4" t="s">
        <v>3060</v>
      </c>
      <c r="E27" s="4" t="s">
        <v>3061</v>
      </c>
      <c r="F27" s="16" t="s">
        <v>2285</v>
      </c>
      <c r="G27" s="4" t="s">
        <v>3062</v>
      </c>
      <c r="H27" s="14" t="s">
        <v>11</v>
      </c>
      <c r="I27" s="4" t="s">
        <v>3063</v>
      </c>
      <c r="J27" s="4"/>
      <c r="K27" s="14" t="s">
        <v>11</v>
      </c>
      <c r="L27" s="2" t="s">
        <v>3064</v>
      </c>
      <c r="M27" s="2" t="s">
        <v>2889</v>
      </c>
    </row>
    <row r="28" ht="213" customHeight="1" spans="1:13">
      <c r="A28" s="2" t="s">
        <v>400</v>
      </c>
      <c r="B28" s="2" t="s">
        <v>3065</v>
      </c>
      <c r="C28" s="2" t="s">
        <v>3066</v>
      </c>
      <c r="D28" s="2" t="s">
        <v>3067</v>
      </c>
      <c r="E28" s="2" t="s">
        <v>3068</v>
      </c>
      <c r="F28" s="15" t="s">
        <v>2285</v>
      </c>
      <c r="G28" s="2" t="s">
        <v>3069</v>
      </c>
      <c r="H28" s="14" t="s">
        <v>11</v>
      </c>
      <c r="I28" s="2" t="s">
        <v>3070</v>
      </c>
      <c r="J28" s="2"/>
      <c r="K28" s="14" t="s">
        <v>11</v>
      </c>
      <c r="L28" s="2" t="s">
        <v>3071</v>
      </c>
      <c r="M28" s="2" t="s">
        <v>2889</v>
      </c>
    </row>
    <row r="29" ht="213" customHeight="1" spans="1:13">
      <c r="A29" s="4" t="s">
        <v>402</v>
      </c>
      <c r="B29" s="4" t="s">
        <v>3072</v>
      </c>
      <c r="C29" s="4" t="s">
        <v>3073</v>
      </c>
      <c r="D29" s="4" t="s">
        <v>3074</v>
      </c>
      <c r="E29" s="4" t="s">
        <v>3075</v>
      </c>
      <c r="F29" s="16" t="s">
        <v>2285</v>
      </c>
      <c r="G29" s="4" t="s">
        <v>3076</v>
      </c>
      <c r="H29" s="14" t="s">
        <v>8</v>
      </c>
      <c r="I29" s="4" t="s">
        <v>3077</v>
      </c>
      <c r="J29" s="4"/>
      <c r="K29" s="14" t="s">
        <v>8</v>
      </c>
      <c r="L29" s="2" t="s">
        <v>3078</v>
      </c>
      <c r="M29" s="2" t="s">
        <v>2889</v>
      </c>
    </row>
    <row r="30" ht="213" customHeight="1" spans="1:13">
      <c r="A30" s="2" t="s">
        <v>405</v>
      </c>
      <c r="B30" s="2" t="s">
        <v>3079</v>
      </c>
      <c r="C30" s="2" t="s">
        <v>3080</v>
      </c>
      <c r="D30" s="2" t="s">
        <v>3081</v>
      </c>
      <c r="E30" s="2" t="s">
        <v>3082</v>
      </c>
      <c r="F30" s="15" t="s">
        <v>2256</v>
      </c>
      <c r="G30" s="2" t="s">
        <v>3083</v>
      </c>
      <c r="H30" s="14" t="s">
        <v>11</v>
      </c>
      <c r="I30" s="2" t="s">
        <v>3084</v>
      </c>
      <c r="J30" s="2"/>
      <c r="K30" s="14" t="s">
        <v>11</v>
      </c>
      <c r="L30" s="2" t="s">
        <v>3085</v>
      </c>
      <c r="M30" s="2" t="s">
        <v>2889</v>
      </c>
    </row>
    <row r="31" ht="213" customHeight="1" spans="1:13">
      <c r="A31" s="4" t="s">
        <v>407</v>
      </c>
      <c r="B31" s="4" t="s">
        <v>3086</v>
      </c>
      <c r="C31" s="4" t="s">
        <v>3087</v>
      </c>
      <c r="D31" s="4" t="s">
        <v>3088</v>
      </c>
      <c r="E31" s="4" t="s">
        <v>3089</v>
      </c>
      <c r="F31" s="16" t="s">
        <v>2256</v>
      </c>
      <c r="G31" s="4" t="s">
        <v>3090</v>
      </c>
      <c r="H31" s="14" t="s">
        <v>11</v>
      </c>
      <c r="I31" s="4" t="s">
        <v>3091</v>
      </c>
      <c r="J31" s="4"/>
      <c r="K31" s="14" t="s">
        <v>11</v>
      </c>
      <c r="L31" s="2" t="s">
        <v>3092</v>
      </c>
      <c r="M31" s="2" t="s">
        <v>2889</v>
      </c>
    </row>
    <row r="32" ht="270" customHeight="1" spans="1:13">
      <c r="A32" s="2" t="s">
        <v>409</v>
      </c>
      <c r="B32" s="2" t="s">
        <v>3093</v>
      </c>
      <c r="C32" s="2" t="s">
        <v>3094</v>
      </c>
      <c r="D32" s="2" t="s">
        <v>3095</v>
      </c>
      <c r="E32" s="2" t="s">
        <v>3096</v>
      </c>
      <c r="F32" s="15" t="s">
        <v>2285</v>
      </c>
      <c r="G32" s="2" t="s">
        <v>3097</v>
      </c>
      <c r="H32" s="14" t="s">
        <v>8</v>
      </c>
      <c r="I32" s="2" t="s">
        <v>3098</v>
      </c>
      <c r="J32" s="2"/>
      <c r="K32" s="14" t="s">
        <v>11</v>
      </c>
      <c r="L32" s="2" t="s">
        <v>3099</v>
      </c>
      <c r="M32" s="2" t="s">
        <v>2889</v>
      </c>
    </row>
    <row r="33" ht="241.5" customHeight="1" spans="1:13">
      <c r="A33" s="4" t="s">
        <v>411</v>
      </c>
      <c r="B33" s="4" t="s">
        <v>3100</v>
      </c>
      <c r="C33" s="4" t="s">
        <v>3101</v>
      </c>
      <c r="D33" s="4" t="s">
        <v>3102</v>
      </c>
      <c r="E33" s="4" t="s">
        <v>3103</v>
      </c>
      <c r="F33" s="16" t="s">
        <v>2285</v>
      </c>
      <c r="G33" s="4" t="s">
        <v>3104</v>
      </c>
      <c r="H33" s="14" t="s">
        <v>8</v>
      </c>
      <c r="I33" s="4" t="s">
        <v>3105</v>
      </c>
      <c r="J33" s="4"/>
      <c r="K33" s="14" t="s">
        <v>8</v>
      </c>
      <c r="L33" s="2" t="s">
        <v>3106</v>
      </c>
      <c r="M33" s="2" t="s">
        <v>2889</v>
      </c>
    </row>
    <row r="34" ht="184.5" customHeight="1" spans="1:13">
      <c r="A34" s="2" t="s">
        <v>414</v>
      </c>
      <c r="B34" s="2" t="s">
        <v>3107</v>
      </c>
      <c r="C34" s="2" t="s">
        <v>3108</v>
      </c>
      <c r="D34" s="2" t="s">
        <v>3109</v>
      </c>
      <c r="E34" s="2" t="s">
        <v>3110</v>
      </c>
      <c r="F34" s="15" t="s">
        <v>2256</v>
      </c>
      <c r="G34" s="2" t="s">
        <v>3111</v>
      </c>
      <c r="H34" s="14" t="s">
        <v>8</v>
      </c>
      <c r="I34" s="2" t="s">
        <v>3112</v>
      </c>
      <c r="J34" s="2"/>
      <c r="K34" s="14" t="s">
        <v>11</v>
      </c>
      <c r="L34" s="2" t="s">
        <v>3113</v>
      </c>
      <c r="M34" s="2" t="s">
        <v>2889</v>
      </c>
    </row>
    <row r="35" ht="198.75" customHeight="1" spans="1:13">
      <c r="A35" s="4" t="s">
        <v>416</v>
      </c>
      <c r="B35" s="4" t="s">
        <v>3114</v>
      </c>
      <c r="C35" s="4" t="s">
        <v>3115</v>
      </c>
      <c r="D35" s="4" t="s">
        <v>3116</v>
      </c>
      <c r="E35" s="4" t="s">
        <v>3117</v>
      </c>
      <c r="F35" s="16" t="s">
        <v>2256</v>
      </c>
      <c r="G35" s="4" t="s">
        <v>3118</v>
      </c>
      <c r="H35" s="14" t="s">
        <v>11</v>
      </c>
      <c r="I35" s="4" t="s">
        <v>3119</v>
      </c>
      <c r="J35" s="4"/>
      <c r="K35" s="14" t="s">
        <v>11</v>
      </c>
      <c r="L35" s="2" t="s">
        <v>3120</v>
      </c>
      <c r="M35" s="2" t="s">
        <v>2889</v>
      </c>
    </row>
    <row r="36" ht="170.25" customHeight="1" spans="1:13">
      <c r="A36" s="2" t="s">
        <v>418</v>
      </c>
      <c r="B36" s="2" t="s">
        <v>3121</v>
      </c>
      <c r="C36" s="2" t="s">
        <v>3122</v>
      </c>
      <c r="D36" s="2" t="s">
        <v>3123</v>
      </c>
      <c r="E36" s="2" t="s">
        <v>3124</v>
      </c>
      <c r="F36" s="15" t="s">
        <v>2285</v>
      </c>
      <c r="G36" s="2" t="s">
        <v>3125</v>
      </c>
      <c r="H36" s="14" t="s">
        <v>11</v>
      </c>
      <c r="I36" s="2" t="s">
        <v>3126</v>
      </c>
      <c r="J36" s="2"/>
      <c r="K36" s="14" t="s">
        <v>11</v>
      </c>
      <c r="L36" s="2" t="s">
        <v>3127</v>
      </c>
      <c r="M36" s="2" t="s">
        <v>2889</v>
      </c>
    </row>
    <row r="37" ht="198.75" customHeight="1" spans="1:13">
      <c r="A37" s="4" t="s">
        <v>421</v>
      </c>
      <c r="B37" s="4" t="s">
        <v>3128</v>
      </c>
      <c r="C37" s="4" t="s">
        <v>3129</v>
      </c>
      <c r="D37" s="4" t="s">
        <v>3130</v>
      </c>
      <c r="E37" s="4" t="s">
        <v>3131</v>
      </c>
      <c r="F37" s="16" t="s">
        <v>2285</v>
      </c>
      <c r="G37" s="4" t="s">
        <v>3132</v>
      </c>
      <c r="H37" s="14" t="s">
        <v>11</v>
      </c>
      <c r="I37" s="4" t="s">
        <v>3133</v>
      </c>
      <c r="J37" s="4"/>
      <c r="K37" s="14" t="s">
        <v>11</v>
      </c>
      <c r="L37" s="2" t="s">
        <v>3134</v>
      </c>
      <c r="M37" s="2" t="s">
        <v>2889</v>
      </c>
    </row>
    <row r="38" ht="213" customHeight="1" spans="1:13">
      <c r="A38" s="2" t="s">
        <v>423</v>
      </c>
      <c r="B38" s="2" t="s">
        <v>3135</v>
      </c>
      <c r="C38" s="2" t="s">
        <v>3136</v>
      </c>
      <c r="D38" s="2" t="s">
        <v>3137</v>
      </c>
      <c r="E38" s="2" t="s">
        <v>3138</v>
      </c>
      <c r="F38" s="15" t="s">
        <v>2256</v>
      </c>
      <c r="G38" s="2" t="s">
        <v>3139</v>
      </c>
      <c r="H38" s="14" t="s">
        <v>8</v>
      </c>
      <c r="I38" s="2" t="s">
        <v>3140</v>
      </c>
      <c r="J38" s="2"/>
      <c r="K38" s="14" t="s">
        <v>8</v>
      </c>
      <c r="L38" s="2" t="s">
        <v>3141</v>
      </c>
      <c r="M38" s="2" t="s">
        <v>2889</v>
      </c>
    </row>
    <row r="39" ht="198.75" customHeight="1" spans="1:13">
      <c r="A39" s="4" t="s">
        <v>425</v>
      </c>
      <c r="B39" s="4" t="s">
        <v>3142</v>
      </c>
      <c r="C39" s="4" t="s">
        <v>3143</v>
      </c>
      <c r="D39" s="4" t="s">
        <v>3144</v>
      </c>
      <c r="E39" s="4" t="s">
        <v>3145</v>
      </c>
      <c r="F39" s="16" t="s">
        <v>2285</v>
      </c>
      <c r="G39" s="4" t="s">
        <v>3146</v>
      </c>
      <c r="H39" s="14" t="s">
        <v>11</v>
      </c>
      <c r="I39" s="4" t="s">
        <v>3147</v>
      </c>
      <c r="J39" s="4"/>
      <c r="K39" s="14" t="s">
        <v>11</v>
      </c>
      <c r="L39" s="2" t="s">
        <v>3148</v>
      </c>
      <c r="M39" s="2" t="s">
        <v>2889</v>
      </c>
    </row>
    <row r="40" ht="213" customHeight="1" spans="1:13">
      <c r="A40" s="2" t="s">
        <v>428</v>
      </c>
      <c r="B40" s="2" t="s">
        <v>3149</v>
      </c>
      <c r="C40" s="2" t="s">
        <v>3150</v>
      </c>
      <c r="D40" s="2" t="s">
        <v>3151</v>
      </c>
      <c r="E40" s="2" t="s">
        <v>3152</v>
      </c>
      <c r="F40" s="15" t="s">
        <v>2285</v>
      </c>
      <c r="G40" s="2" t="s">
        <v>3153</v>
      </c>
      <c r="H40" s="14" t="s">
        <v>11</v>
      </c>
      <c r="I40" s="2" t="s">
        <v>3154</v>
      </c>
      <c r="J40" s="2"/>
      <c r="K40" s="14" t="s">
        <v>11</v>
      </c>
      <c r="L40" s="2" t="s">
        <v>3155</v>
      </c>
      <c r="M40" s="2" t="s">
        <v>2889</v>
      </c>
    </row>
    <row r="41" ht="156" customHeight="1" spans="1:13">
      <c r="A41" s="4" t="s">
        <v>430</v>
      </c>
      <c r="B41" s="4" t="s">
        <v>3156</v>
      </c>
      <c r="C41" s="4" t="s">
        <v>3157</v>
      </c>
      <c r="D41" s="4" t="s">
        <v>3158</v>
      </c>
      <c r="E41" s="4" t="s">
        <v>3159</v>
      </c>
      <c r="F41" s="16" t="s">
        <v>2285</v>
      </c>
      <c r="G41" s="4" t="s">
        <v>3160</v>
      </c>
      <c r="H41" s="14" t="s">
        <v>7</v>
      </c>
      <c r="I41" s="4" t="s">
        <v>3161</v>
      </c>
      <c r="J41" s="4"/>
      <c r="K41" s="14" t="s">
        <v>7</v>
      </c>
      <c r="L41" s="2" t="s">
        <v>3162</v>
      </c>
      <c r="M41" s="2" t="s">
        <v>2889</v>
      </c>
    </row>
  </sheetData>
  <conditionalFormatting sqref="H2:H41">
    <cfRule type="containsText" dxfId="5" priority="1" operator="between" text="不通过">
      <formula>NOT(ISERROR(SEARCH("不通过",H2)))</formula>
    </cfRule>
    <cfRule type="containsText" dxfId="6" priority="2" operator="between" text="受阻">
      <formula>NOT(ISERROR(SEARCH("受阻",H2)))</formula>
    </cfRule>
  </conditionalFormatting>
  <dataValidations count="1">
    <dataValidation type="list" sqref="H2:H41">
      <formula1>"未执行,通过,不通过,受阻,不适用"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8"/>
  <sheetViews>
    <sheetView showGridLines="0" workbookViewId="0">
      <pane xSplit="2" ySplit="17" topLeftCell="C18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5" outlineLevelCol="7"/>
  <cols>
    <col min="1" max="1" width="10" customWidth="1"/>
    <col min="2" max="2" width="10.6333333333333" customWidth="1"/>
    <col min="3" max="3" width="27.5" customWidth="1"/>
    <col min="4" max="4" width="45" customWidth="1"/>
    <col min="5" max="5" width="18.1333333333333" customWidth="1"/>
    <col min="6" max="6" width="11.8833333333333" customWidth="1"/>
    <col min="7" max="7" width="30" customWidth="1"/>
    <col min="8" max="8" width="30.6333333333333" customWidth="1"/>
  </cols>
  <sheetData>
    <row r="1" ht="28.5" customHeight="1" spans="1:8">
      <c r="A1" s="6" t="s">
        <v>3163</v>
      </c>
      <c r="B1" s="7"/>
      <c r="C1" s="7"/>
      <c r="D1" s="7"/>
      <c r="E1" s="7"/>
      <c r="F1" s="7"/>
      <c r="G1" s="7"/>
      <c r="H1" s="7"/>
    </row>
    <row r="2" spans="1:8">
      <c r="A2" s="7"/>
      <c r="B2" s="7"/>
      <c r="C2" s="7"/>
      <c r="D2" s="7"/>
      <c r="E2" s="7"/>
      <c r="F2" s="7"/>
      <c r="G2" s="7"/>
      <c r="H2" s="7"/>
    </row>
    <row r="3" ht="49.5" customHeight="1" spans="1:8">
      <c r="A3" s="8" t="s">
        <v>3164</v>
      </c>
      <c r="B3" s="8"/>
      <c r="C3" s="8"/>
      <c r="D3" s="8"/>
      <c r="E3" s="8"/>
      <c r="F3" s="8"/>
      <c r="G3" s="8"/>
      <c r="H3" s="8"/>
    </row>
    <row r="4" ht="49.5" customHeight="1" spans="1:8">
      <c r="A4" s="8" t="s">
        <v>3165</v>
      </c>
      <c r="B4" s="8"/>
      <c r="C4" s="8"/>
      <c r="D4" s="8"/>
      <c r="E4" s="8"/>
      <c r="F4" s="8"/>
      <c r="G4" s="8"/>
      <c r="H4" s="8"/>
    </row>
    <row r="5" ht="43.5" customHeight="1" spans="1:8">
      <c r="A5" s="8" t="s">
        <v>3166</v>
      </c>
      <c r="B5" s="8"/>
      <c r="C5" s="8"/>
      <c r="D5" s="8"/>
      <c r="E5" s="8"/>
      <c r="F5" s="8"/>
      <c r="G5" s="8"/>
      <c r="H5" s="8"/>
    </row>
    <row r="6" ht="49.5" customHeight="1" spans="1:8">
      <c r="A6" s="8" t="s">
        <v>3167</v>
      </c>
      <c r="B6" s="8"/>
      <c r="C6" s="8"/>
      <c r="D6" s="8"/>
      <c r="E6" s="8"/>
      <c r="F6" s="8"/>
      <c r="G6" s="8"/>
      <c r="H6" s="8"/>
    </row>
    <row r="7" ht="20.25" customHeight="1" spans="1:8">
      <c r="A7" s="8" t="s">
        <v>3168</v>
      </c>
      <c r="B7" s="8"/>
      <c r="C7" s="8"/>
      <c r="D7" s="8"/>
      <c r="E7" s="8"/>
      <c r="F7" s="8"/>
      <c r="G7" s="8"/>
      <c r="H7" s="8"/>
    </row>
    <row r="8" ht="49.5" customHeight="1" spans="1:8">
      <c r="A8" s="8" t="s">
        <v>3169</v>
      </c>
      <c r="B8" s="8"/>
      <c r="C8" s="8"/>
      <c r="D8" s="8"/>
      <c r="E8" s="8"/>
      <c r="F8" s="8"/>
      <c r="G8" s="8"/>
      <c r="H8" s="8"/>
    </row>
    <row r="9" ht="49.5" customHeight="1" spans="1:8">
      <c r="A9" s="8" t="s">
        <v>3170</v>
      </c>
      <c r="B9" s="8"/>
      <c r="C9" s="8"/>
      <c r="D9" s="8"/>
      <c r="E9" s="8"/>
      <c r="F9" s="8"/>
      <c r="G9" s="8"/>
      <c r="H9" s="8"/>
    </row>
    <row r="10" ht="49.5" customHeight="1" spans="1:8">
      <c r="A10" s="8" t="s">
        <v>3171</v>
      </c>
      <c r="B10" s="8"/>
      <c r="C10" s="8"/>
      <c r="D10" s="8"/>
      <c r="E10" s="8"/>
      <c r="F10" s="8"/>
      <c r="G10" s="8"/>
      <c r="H10" s="8"/>
    </row>
    <row r="11" ht="20.25" customHeight="1" spans="1:8">
      <c r="A11" s="8" t="s">
        <v>3172</v>
      </c>
      <c r="B11" s="8"/>
      <c r="C11" s="8"/>
      <c r="D11" s="8"/>
      <c r="E11" s="8"/>
      <c r="F11" s="8"/>
      <c r="G11" s="8"/>
      <c r="H11" s="8"/>
    </row>
    <row r="12" ht="20.25" customHeight="1" spans="1:8">
      <c r="A12" s="8" t="s">
        <v>3173</v>
      </c>
      <c r="B12" s="8"/>
      <c r="C12" s="8"/>
      <c r="D12" s="8"/>
      <c r="E12" s="8"/>
      <c r="F12" s="8"/>
      <c r="G12" s="8"/>
      <c r="H12" s="8"/>
    </row>
    <row r="13" ht="20.25" customHeight="1" spans="1:8">
      <c r="A13" s="8" t="s">
        <v>3174</v>
      </c>
      <c r="B13" s="8"/>
      <c r="C13" s="8"/>
      <c r="D13" s="8"/>
      <c r="E13" s="8"/>
      <c r="F13" s="8"/>
      <c r="G13" s="8"/>
      <c r="H13" s="8"/>
    </row>
    <row r="14" ht="49.5" customHeight="1" spans="1:8">
      <c r="A14" s="8" t="s">
        <v>3175</v>
      </c>
      <c r="B14" s="8"/>
      <c r="C14" s="8"/>
      <c r="D14" s="8"/>
      <c r="E14" s="8"/>
      <c r="F14" s="8"/>
      <c r="G14" s="8"/>
      <c r="H14" s="8"/>
    </row>
    <row r="15" spans="1:8">
      <c r="A15" s="7"/>
      <c r="B15" s="7"/>
      <c r="C15" s="7"/>
      <c r="D15" s="7"/>
      <c r="E15" s="7"/>
      <c r="F15" s="7"/>
      <c r="G15" s="7"/>
      <c r="H15" s="7"/>
    </row>
    <row r="16" spans="1:8">
      <c r="A16" s="7"/>
      <c r="B16" s="7"/>
      <c r="C16" s="7"/>
      <c r="D16" s="7"/>
      <c r="E16" s="7"/>
      <c r="F16" s="7"/>
      <c r="G16" s="7"/>
      <c r="H16" s="7"/>
    </row>
    <row r="17" ht="28.5" customHeight="1" spans="1:8">
      <c r="A17" s="9" t="s">
        <v>3176</v>
      </c>
      <c r="B17" s="9" t="s">
        <v>3177</v>
      </c>
      <c r="C17" s="9" t="s">
        <v>3178</v>
      </c>
      <c r="D17" s="9" t="s">
        <v>3179</v>
      </c>
      <c r="E17" s="9" t="s">
        <v>3180</v>
      </c>
      <c r="F17" s="9" t="s">
        <v>3181</v>
      </c>
      <c r="G17" s="9" t="s">
        <v>3182</v>
      </c>
      <c r="H17" s="9" t="s">
        <v>3183</v>
      </c>
    </row>
    <row r="18" ht="57" customHeight="1" spans="1:8">
      <c r="A18" s="2">
        <v>1</v>
      </c>
      <c r="B18" s="2">
        <v>5</v>
      </c>
      <c r="C18" s="2" t="s">
        <v>3184</v>
      </c>
      <c r="D18" s="2" t="s">
        <v>3185</v>
      </c>
      <c r="E18" s="2" t="s">
        <v>3186</v>
      </c>
      <c r="F18" s="2" t="s">
        <v>3187</v>
      </c>
      <c r="G18" s="2" t="s">
        <v>3188</v>
      </c>
      <c r="H18" s="2" t="s">
        <v>3189</v>
      </c>
    </row>
    <row r="19" ht="57" customHeight="1" spans="1:8">
      <c r="A19" s="4">
        <v>2</v>
      </c>
      <c r="B19" s="4">
        <v>6</v>
      </c>
      <c r="C19" s="4" t="s">
        <v>3184</v>
      </c>
      <c r="D19" s="4" t="s">
        <v>3190</v>
      </c>
      <c r="E19" s="4" t="s">
        <v>3186</v>
      </c>
      <c r="F19" s="4" t="s">
        <v>3187</v>
      </c>
      <c r="G19" s="4" t="s">
        <v>3191</v>
      </c>
      <c r="H19" s="4" t="s">
        <v>3189</v>
      </c>
    </row>
    <row r="20" ht="57" customHeight="1" spans="1:8">
      <c r="A20" s="2">
        <v>3</v>
      </c>
      <c r="B20" s="2">
        <v>7</v>
      </c>
      <c r="C20" s="2" t="s">
        <v>3184</v>
      </c>
      <c r="D20" s="2" t="s">
        <v>3192</v>
      </c>
      <c r="E20" s="2" t="s">
        <v>3186</v>
      </c>
      <c r="F20" s="2" t="s">
        <v>3187</v>
      </c>
      <c r="G20" s="2" t="s">
        <v>3193</v>
      </c>
      <c r="H20" s="2" t="s">
        <v>3189</v>
      </c>
    </row>
    <row r="21" ht="57" customHeight="1" spans="1:8">
      <c r="A21" s="4">
        <v>4</v>
      </c>
      <c r="B21" s="4">
        <v>8</v>
      </c>
      <c r="C21" s="4" t="s">
        <v>3184</v>
      </c>
      <c r="D21" s="4" t="s">
        <v>3194</v>
      </c>
      <c r="E21" s="4" t="s">
        <v>3186</v>
      </c>
      <c r="F21" s="4" t="s">
        <v>3187</v>
      </c>
      <c r="G21" s="4" t="s">
        <v>3195</v>
      </c>
      <c r="H21" s="4" t="s">
        <v>3189</v>
      </c>
    </row>
    <row r="22" ht="57" customHeight="1" spans="1:8">
      <c r="A22" s="2">
        <v>5</v>
      </c>
      <c r="B22" s="2">
        <v>9</v>
      </c>
      <c r="C22" s="2" t="s">
        <v>3184</v>
      </c>
      <c r="D22" s="2" t="s">
        <v>3196</v>
      </c>
      <c r="E22" s="2" t="s">
        <v>3186</v>
      </c>
      <c r="F22" s="2" t="s">
        <v>3187</v>
      </c>
      <c r="G22" s="2" t="s">
        <v>3197</v>
      </c>
      <c r="H22" s="2" t="s">
        <v>3189</v>
      </c>
    </row>
    <row r="23" ht="57" customHeight="1" spans="1:8">
      <c r="A23" s="4">
        <v>6</v>
      </c>
      <c r="B23" s="4">
        <v>10</v>
      </c>
      <c r="C23" s="4" t="s">
        <v>3184</v>
      </c>
      <c r="D23" s="4" t="s">
        <v>3198</v>
      </c>
      <c r="E23" s="4" t="s">
        <v>3199</v>
      </c>
      <c r="F23" s="4" t="s">
        <v>3200</v>
      </c>
      <c r="G23" s="4" t="s">
        <v>3201</v>
      </c>
      <c r="H23" s="4" t="s">
        <v>3202</v>
      </c>
    </row>
    <row r="24" ht="57" customHeight="1" spans="1:8">
      <c r="A24" s="2">
        <v>7</v>
      </c>
      <c r="B24" s="2">
        <v>11</v>
      </c>
      <c r="C24" s="2" t="s">
        <v>3203</v>
      </c>
      <c r="D24" s="2" t="s">
        <v>3204</v>
      </c>
      <c r="E24" s="2" t="s">
        <v>3186</v>
      </c>
      <c r="F24" s="2" t="s">
        <v>3187</v>
      </c>
      <c r="G24" s="2" t="s">
        <v>3205</v>
      </c>
      <c r="H24" s="2" t="s">
        <v>3189</v>
      </c>
    </row>
    <row r="25" ht="57" customHeight="1" spans="1:8">
      <c r="A25" s="4">
        <v>8</v>
      </c>
      <c r="B25" s="4">
        <v>12</v>
      </c>
      <c r="C25" s="4" t="s">
        <v>3203</v>
      </c>
      <c r="D25" s="4" t="s">
        <v>3206</v>
      </c>
      <c r="E25" s="4" t="s">
        <v>3186</v>
      </c>
      <c r="F25" s="4" t="s">
        <v>3187</v>
      </c>
      <c r="G25" s="4" t="s">
        <v>3207</v>
      </c>
      <c r="H25" s="4" t="s">
        <v>3189</v>
      </c>
    </row>
    <row r="26" ht="57" customHeight="1" spans="1:8">
      <c r="A26" s="2">
        <v>9</v>
      </c>
      <c r="B26" s="2">
        <v>13</v>
      </c>
      <c r="C26" s="2" t="s">
        <v>3203</v>
      </c>
      <c r="D26" s="2" t="s">
        <v>3208</v>
      </c>
      <c r="E26" s="2" t="s">
        <v>3186</v>
      </c>
      <c r="F26" s="2" t="s">
        <v>3187</v>
      </c>
      <c r="G26" s="2" t="s">
        <v>3209</v>
      </c>
      <c r="H26" s="2" t="s">
        <v>3189</v>
      </c>
    </row>
    <row r="27" ht="57" customHeight="1" spans="1:8">
      <c r="A27" s="4">
        <v>10</v>
      </c>
      <c r="B27" s="4">
        <v>14</v>
      </c>
      <c r="C27" s="4" t="s">
        <v>3203</v>
      </c>
      <c r="D27" s="4" t="s">
        <v>3210</v>
      </c>
      <c r="E27" s="4" t="s">
        <v>3186</v>
      </c>
      <c r="F27" s="4" t="s">
        <v>3187</v>
      </c>
      <c r="G27" s="4" t="s">
        <v>3211</v>
      </c>
      <c r="H27" s="4" t="s">
        <v>3189</v>
      </c>
    </row>
    <row r="28" ht="57" customHeight="1" spans="1:8">
      <c r="A28" s="2">
        <v>11</v>
      </c>
      <c r="B28" s="2">
        <v>15</v>
      </c>
      <c r="C28" s="2" t="s">
        <v>3212</v>
      </c>
      <c r="D28" s="2" t="s">
        <v>3213</v>
      </c>
      <c r="E28" s="2" t="s">
        <v>3186</v>
      </c>
      <c r="F28" s="2" t="s">
        <v>3187</v>
      </c>
      <c r="G28" s="2" t="s">
        <v>3214</v>
      </c>
      <c r="H28" s="2" t="s">
        <v>3189</v>
      </c>
    </row>
    <row r="29" ht="57" customHeight="1" spans="1:8">
      <c r="A29" s="4">
        <v>12</v>
      </c>
      <c r="B29" s="4">
        <v>16</v>
      </c>
      <c r="C29" s="4" t="s">
        <v>3215</v>
      </c>
      <c r="D29" s="4" t="s">
        <v>3216</v>
      </c>
      <c r="E29" s="4" t="s">
        <v>3186</v>
      </c>
      <c r="F29" s="4" t="s">
        <v>3187</v>
      </c>
      <c r="G29" s="4" t="s">
        <v>3217</v>
      </c>
      <c r="H29" s="4" t="s">
        <v>3189</v>
      </c>
    </row>
    <row r="30" ht="57" customHeight="1" spans="1:8">
      <c r="A30" s="2">
        <v>13</v>
      </c>
      <c r="B30" s="2">
        <v>17</v>
      </c>
      <c r="C30" s="2" t="s">
        <v>3215</v>
      </c>
      <c r="D30" s="2" t="s">
        <v>3218</v>
      </c>
      <c r="E30" s="2" t="s">
        <v>3186</v>
      </c>
      <c r="F30" s="2" t="s">
        <v>3187</v>
      </c>
      <c r="G30" s="2" t="s">
        <v>3219</v>
      </c>
      <c r="H30" s="2" t="s">
        <v>3189</v>
      </c>
    </row>
    <row r="31" ht="57" customHeight="1" spans="1:8">
      <c r="A31" s="4">
        <v>14</v>
      </c>
      <c r="B31" s="4">
        <v>18</v>
      </c>
      <c r="C31" s="4" t="s">
        <v>3215</v>
      </c>
      <c r="D31" s="4" t="s">
        <v>3220</v>
      </c>
      <c r="E31" s="4" t="s">
        <v>3186</v>
      </c>
      <c r="F31" s="4" t="s">
        <v>3187</v>
      </c>
      <c r="G31" s="4" t="s">
        <v>3221</v>
      </c>
      <c r="H31" s="4" t="s">
        <v>3189</v>
      </c>
    </row>
    <row r="32" ht="57" customHeight="1" spans="1:8">
      <c r="A32" s="2">
        <v>15</v>
      </c>
      <c r="B32" s="2">
        <v>19</v>
      </c>
      <c r="C32" s="2" t="s">
        <v>3215</v>
      </c>
      <c r="D32" s="2" t="s">
        <v>3222</v>
      </c>
      <c r="E32" s="2" t="s">
        <v>3186</v>
      </c>
      <c r="F32" s="2" t="s">
        <v>3187</v>
      </c>
      <c r="G32" s="2" t="s">
        <v>3223</v>
      </c>
      <c r="H32" s="2" t="s">
        <v>3189</v>
      </c>
    </row>
    <row r="33" ht="57" customHeight="1" spans="1:8">
      <c r="A33" s="4">
        <v>16</v>
      </c>
      <c r="B33" s="4">
        <v>20</v>
      </c>
      <c r="C33" s="4" t="s">
        <v>3215</v>
      </c>
      <c r="D33" s="4" t="s">
        <v>3224</v>
      </c>
      <c r="E33" s="4" t="s">
        <v>3186</v>
      </c>
      <c r="F33" s="4" t="s">
        <v>3187</v>
      </c>
      <c r="G33" s="4" t="s">
        <v>3225</v>
      </c>
      <c r="H33" s="4" t="s">
        <v>3189</v>
      </c>
    </row>
    <row r="34" ht="57" customHeight="1" spans="1:8">
      <c r="A34" s="2">
        <v>17</v>
      </c>
      <c r="B34" s="2">
        <v>21</v>
      </c>
      <c r="C34" s="2" t="s">
        <v>3215</v>
      </c>
      <c r="D34" s="2" t="s">
        <v>3226</v>
      </c>
      <c r="E34" s="2" t="s">
        <v>3227</v>
      </c>
      <c r="F34" s="2" t="s">
        <v>3187</v>
      </c>
      <c r="G34" s="2" t="s">
        <v>3228</v>
      </c>
      <c r="H34" s="2" t="s">
        <v>3189</v>
      </c>
    </row>
    <row r="35" ht="57" customHeight="1" spans="1:8">
      <c r="A35" s="4">
        <v>18</v>
      </c>
      <c r="B35" s="4">
        <v>22</v>
      </c>
      <c r="C35" s="4" t="s">
        <v>3215</v>
      </c>
      <c r="D35" s="4" t="s">
        <v>3229</v>
      </c>
      <c r="E35" s="4" t="s">
        <v>3227</v>
      </c>
      <c r="F35" s="4" t="s">
        <v>3187</v>
      </c>
      <c r="G35" s="4" t="s">
        <v>3230</v>
      </c>
      <c r="H35" s="4" t="s">
        <v>3189</v>
      </c>
    </row>
    <row r="36" ht="57" customHeight="1" spans="1:8">
      <c r="A36" s="2">
        <v>19</v>
      </c>
      <c r="B36" s="2">
        <v>23</v>
      </c>
      <c r="C36" s="2" t="s">
        <v>3215</v>
      </c>
      <c r="D36" s="2" t="s">
        <v>3231</v>
      </c>
      <c r="E36" s="2" t="s">
        <v>3199</v>
      </c>
      <c r="F36" s="2" t="s">
        <v>3187</v>
      </c>
      <c r="G36" s="2" t="s">
        <v>3232</v>
      </c>
      <c r="H36" s="2" t="s">
        <v>3189</v>
      </c>
    </row>
    <row r="37" ht="57" customHeight="1" spans="1:8">
      <c r="A37" s="4">
        <v>20</v>
      </c>
      <c r="B37" s="4">
        <v>24</v>
      </c>
      <c r="C37" s="4" t="s">
        <v>3215</v>
      </c>
      <c r="D37" s="4" t="s">
        <v>3233</v>
      </c>
      <c r="E37" s="4" t="s">
        <v>3234</v>
      </c>
      <c r="F37" s="4" t="s">
        <v>3187</v>
      </c>
      <c r="G37" s="4" t="s">
        <v>3235</v>
      </c>
      <c r="H37" s="4" t="s">
        <v>3189</v>
      </c>
    </row>
    <row r="38" ht="57" customHeight="1" spans="1:8">
      <c r="A38" s="2">
        <v>21</v>
      </c>
      <c r="B38" s="2">
        <v>25</v>
      </c>
      <c r="C38" s="2" t="s">
        <v>3215</v>
      </c>
      <c r="D38" s="2" t="s">
        <v>3236</v>
      </c>
      <c r="E38" s="2" t="s">
        <v>3234</v>
      </c>
      <c r="F38" s="2" t="s">
        <v>3187</v>
      </c>
      <c r="G38" s="2" t="s">
        <v>3237</v>
      </c>
      <c r="H38" s="2" t="s">
        <v>3189</v>
      </c>
    </row>
    <row r="39" ht="57" customHeight="1" spans="1:8">
      <c r="A39" s="4">
        <v>22</v>
      </c>
      <c r="B39" s="4">
        <v>26</v>
      </c>
      <c r="C39" s="4" t="s">
        <v>3238</v>
      </c>
      <c r="D39" s="4" t="s">
        <v>3239</v>
      </c>
      <c r="E39" s="4" t="s">
        <v>3186</v>
      </c>
      <c r="F39" s="4" t="s">
        <v>3187</v>
      </c>
      <c r="G39" s="4" t="s">
        <v>3240</v>
      </c>
      <c r="H39" s="4" t="s">
        <v>3189</v>
      </c>
    </row>
    <row r="40" ht="57" customHeight="1" spans="1:8">
      <c r="A40" s="2">
        <v>23</v>
      </c>
      <c r="B40" s="2">
        <v>27</v>
      </c>
      <c r="C40" s="2" t="s">
        <v>3238</v>
      </c>
      <c r="D40" s="2" t="s">
        <v>3241</v>
      </c>
      <c r="E40" s="2" t="s">
        <v>3186</v>
      </c>
      <c r="F40" s="2" t="s">
        <v>3187</v>
      </c>
      <c r="G40" s="2" t="s">
        <v>3242</v>
      </c>
      <c r="H40" s="2" t="s">
        <v>3189</v>
      </c>
    </row>
    <row r="41" ht="57" customHeight="1" spans="1:8">
      <c r="A41" s="4">
        <v>24</v>
      </c>
      <c r="B41" s="4">
        <v>28</v>
      </c>
      <c r="C41" s="4" t="s">
        <v>3238</v>
      </c>
      <c r="D41" s="4" t="s">
        <v>3243</v>
      </c>
      <c r="E41" s="4" t="s">
        <v>3186</v>
      </c>
      <c r="F41" s="4" t="s">
        <v>3187</v>
      </c>
      <c r="G41" s="4" t="s">
        <v>3244</v>
      </c>
      <c r="H41" s="4" t="s">
        <v>3189</v>
      </c>
    </row>
    <row r="42" ht="57" customHeight="1" spans="1:8">
      <c r="A42" s="2">
        <v>25</v>
      </c>
      <c r="B42" s="2">
        <v>29</v>
      </c>
      <c r="C42" s="2" t="s">
        <v>3238</v>
      </c>
      <c r="D42" s="2" t="s">
        <v>3245</v>
      </c>
      <c r="E42" s="2" t="s">
        <v>3199</v>
      </c>
      <c r="F42" s="2" t="s">
        <v>3187</v>
      </c>
      <c r="G42" s="2" t="s">
        <v>3246</v>
      </c>
      <c r="H42" s="2" t="s">
        <v>3189</v>
      </c>
    </row>
    <row r="43" ht="57" customHeight="1" spans="1:8">
      <c r="A43" s="4">
        <v>26</v>
      </c>
      <c r="B43" s="4">
        <v>30</v>
      </c>
      <c r="C43" s="4" t="s">
        <v>3247</v>
      </c>
      <c r="D43" s="4" t="s">
        <v>3248</v>
      </c>
      <c r="E43" s="4" t="s">
        <v>3186</v>
      </c>
      <c r="F43" s="4" t="s">
        <v>3187</v>
      </c>
      <c r="G43" s="4" t="s">
        <v>3249</v>
      </c>
      <c r="H43" s="4" t="s">
        <v>3189</v>
      </c>
    </row>
    <row r="44" ht="57" customHeight="1" spans="1:8">
      <c r="A44" s="2">
        <v>27</v>
      </c>
      <c r="B44" s="2">
        <v>31</v>
      </c>
      <c r="C44" s="2" t="s">
        <v>3247</v>
      </c>
      <c r="D44" s="2" t="s">
        <v>3250</v>
      </c>
      <c r="E44" s="2" t="s">
        <v>3186</v>
      </c>
      <c r="F44" s="2" t="s">
        <v>3187</v>
      </c>
      <c r="G44" s="2" t="s">
        <v>3251</v>
      </c>
      <c r="H44" s="2" t="s">
        <v>3189</v>
      </c>
    </row>
    <row r="45" ht="57" customHeight="1" spans="1:8">
      <c r="A45" s="4">
        <v>28</v>
      </c>
      <c r="B45" s="4">
        <v>32</v>
      </c>
      <c r="C45" s="4" t="s">
        <v>3252</v>
      </c>
      <c r="D45" s="4" t="s">
        <v>3253</v>
      </c>
      <c r="E45" s="4" t="s">
        <v>3199</v>
      </c>
      <c r="F45" s="4" t="s">
        <v>3187</v>
      </c>
      <c r="G45" s="4" t="s">
        <v>3254</v>
      </c>
      <c r="H45" s="4" t="s">
        <v>3189</v>
      </c>
    </row>
    <row r="46" ht="57" customHeight="1" spans="1:8">
      <c r="A46" s="2">
        <v>29</v>
      </c>
      <c r="B46" s="2">
        <v>33</v>
      </c>
      <c r="C46" s="2" t="s">
        <v>3252</v>
      </c>
      <c r="D46" s="2" t="s">
        <v>3255</v>
      </c>
      <c r="E46" s="2" t="s">
        <v>3199</v>
      </c>
      <c r="F46" s="2" t="s">
        <v>3187</v>
      </c>
      <c r="G46" s="2" t="s">
        <v>3256</v>
      </c>
      <c r="H46" s="2" t="s">
        <v>3189</v>
      </c>
    </row>
    <row r="47" ht="57" customHeight="1" spans="1:8">
      <c r="A47" s="4">
        <v>30</v>
      </c>
      <c r="B47" s="4">
        <v>34</v>
      </c>
      <c r="C47" s="4" t="s">
        <v>3257</v>
      </c>
      <c r="D47" s="4" t="s">
        <v>3258</v>
      </c>
      <c r="E47" s="4" t="s">
        <v>3186</v>
      </c>
      <c r="F47" s="4" t="s">
        <v>3200</v>
      </c>
      <c r="G47" s="4" t="s">
        <v>3201</v>
      </c>
      <c r="H47" s="4" t="s">
        <v>3202</v>
      </c>
    </row>
    <row r="48" ht="57" customHeight="1" spans="1:8">
      <c r="A48" s="2">
        <v>31</v>
      </c>
      <c r="B48" s="2">
        <v>35</v>
      </c>
      <c r="C48" s="2" t="s">
        <v>3257</v>
      </c>
      <c r="D48" s="2" t="s">
        <v>3259</v>
      </c>
      <c r="E48" s="2" t="s">
        <v>3186</v>
      </c>
      <c r="F48" s="2" t="s">
        <v>3200</v>
      </c>
      <c r="G48" s="2" t="s">
        <v>3201</v>
      </c>
      <c r="H48" s="2" t="s">
        <v>3202</v>
      </c>
    </row>
    <row r="49" ht="57" customHeight="1" spans="1:8">
      <c r="A49" s="4">
        <v>32</v>
      </c>
      <c r="B49" s="4">
        <v>36</v>
      </c>
      <c r="C49" s="4" t="s">
        <v>3257</v>
      </c>
      <c r="D49" s="4" t="s">
        <v>3260</v>
      </c>
      <c r="E49" s="4" t="s">
        <v>3186</v>
      </c>
      <c r="F49" s="4" t="s">
        <v>3200</v>
      </c>
      <c r="G49" s="4" t="s">
        <v>3201</v>
      </c>
      <c r="H49" s="4" t="s">
        <v>3202</v>
      </c>
    </row>
    <row r="50" ht="57" customHeight="1" spans="1:8">
      <c r="A50" s="2">
        <v>33</v>
      </c>
      <c r="B50" s="2">
        <v>37</v>
      </c>
      <c r="C50" s="2" t="s">
        <v>3257</v>
      </c>
      <c r="D50" s="2" t="s">
        <v>3261</v>
      </c>
      <c r="E50" s="2" t="s">
        <v>3186</v>
      </c>
      <c r="F50" s="2" t="s">
        <v>3200</v>
      </c>
      <c r="G50" s="2" t="s">
        <v>3201</v>
      </c>
      <c r="H50" s="2" t="s">
        <v>3202</v>
      </c>
    </row>
    <row r="51" ht="57" customHeight="1" spans="1:8">
      <c r="A51" s="4">
        <v>34</v>
      </c>
      <c r="B51" s="4">
        <v>38</v>
      </c>
      <c r="C51" s="4" t="s">
        <v>3257</v>
      </c>
      <c r="D51" s="4" t="s">
        <v>3262</v>
      </c>
      <c r="E51" s="4" t="s">
        <v>3186</v>
      </c>
      <c r="F51" s="4" t="s">
        <v>3200</v>
      </c>
      <c r="G51" s="4" t="s">
        <v>3201</v>
      </c>
      <c r="H51" s="4" t="s">
        <v>3202</v>
      </c>
    </row>
    <row r="52" ht="57" customHeight="1" spans="1:8">
      <c r="A52" s="2">
        <v>35</v>
      </c>
      <c r="B52" s="2">
        <v>39</v>
      </c>
      <c r="C52" s="2" t="s">
        <v>3257</v>
      </c>
      <c r="D52" s="2" t="s">
        <v>3263</v>
      </c>
      <c r="E52" s="2" t="s">
        <v>3186</v>
      </c>
      <c r="F52" s="2" t="s">
        <v>3200</v>
      </c>
      <c r="G52" s="2" t="s">
        <v>3201</v>
      </c>
      <c r="H52" s="2" t="s">
        <v>3202</v>
      </c>
    </row>
    <row r="53" ht="57" customHeight="1" spans="1:8">
      <c r="A53" s="4">
        <v>36</v>
      </c>
      <c r="B53" s="4">
        <v>40</v>
      </c>
      <c r="C53" s="4" t="s">
        <v>3257</v>
      </c>
      <c r="D53" s="4" t="s">
        <v>3264</v>
      </c>
      <c r="E53" s="4" t="s">
        <v>3199</v>
      </c>
      <c r="F53" s="4" t="s">
        <v>3200</v>
      </c>
      <c r="G53" s="4" t="s">
        <v>3201</v>
      </c>
      <c r="H53" s="4" t="s">
        <v>3202</v>
      </c>
    </row>
    <row r="54" ht="57" customHeight="1" spans="1:8">
      <c r="A54" s="2">
        <v>37</v>
      </c>
      <c r="B54" s="2">
        <v>41</v>
      </c>
      <c r="C54" s="2" t="s">
        <v>3257</v>
      </c>
      <c r="D54" s="2" t="s">
        <v>3265</v>
      </c>
      <c r="E54" s="2" t="s">
        <v>3199</v>
      </c>
      <c r="F54" s="2" t="s">
        <v>3200</v>
      </c>
      <c r="G54" s="2" t="s">
        <v>3201</v>
      </c>
      <c r="H54" s="2" t="s">
        <v>3202</v>
      </c>
    </row>
    <row r="55" ht="57" customHeight="1" spans="1:8">
      <c r="A55" s="4">
        <v>41</v>
      </c>
      <c r="B55" s="4">
        <v>45</v>
      </c>
      <c r="C55" s="4" t="s">
        <v>3266</v>
      </c>
      <c r="D55" s="4" t="s">
        <v>3267</v>
      </c>
      <c r="E55" s="4" t="s">
        <v>3186</v>
      </c>
      <c r="F55" s="4" t="s">
        <v>3200</v>
      </c>
      <c r="G55" s="4" t="s">
        <v>3201</v>
      </c>
      <c r="H55" s="4" t="s">
        <v>3202</v>
      </c>
    </row>
    <row r="56" ht="57" customHeight="1" spans="1:8">
      <c r="A56" s="2">
        <v>42</v>
      </c>
      <c r="B56" s="2">
        <v>46</v>
      </c>
      <c r="C56" s="2" t="s">
        <v>3266</v>
      </c>
      <c r="D56" s="2" t="s">
        <v>3268</v>
      </c>
      <c r="E56" s="2" t="s">
        <v>3186</v>
      </c>
      <c r="F56" s="2" t="s">
        <v>3200</v>
      </c>
      <c r="G56" s="2" t="s">
        <v>3201</v>
      </c>
      <c r="H56" s="2" t="s">
        <v>3202</v>
      </c>
    </row>
    <row r="57" ht="57" customHeight="1" spans="1:8">
      <c r="A57" s="4">
        <v>43</v>
      </c>
      <c r="B57" s="4">
        <v>47</v>
      </c>
      <c r="C57" s="4" t="s">
        <v>3266</v>
      </c>
      <c r="D57" s="4" t="s">
        <v>3269</v>
      </c>
      <c r="E57" s="4" t="s">
        <v>3186</v>
      </c>
      <c r="F57" s="4" t="s">
        <v>3200</v>
      </c>
      <c r="G57" s="4" t="s">
        <v>3201</v>
      </c>
      <c r="H57" s="4" t="s">
        <v>3202</v>
      </c>
    </row>
    <row r="58" ht="57" customHeight="1" spans="1:8">
      <c r="A58" s="2">
        <v>44</v>
      </c>
      <c r="B58" s="2">
        <v>48</v>
      </c>
      <c r="C58" s="2" t="s">
        <v>3266</v>
      </c>
      <c r="D58" s="2" t="s">
        <v>3270</v>
      </c>
      <c r="E58" s="2" t="s">
        <v>3186</v>
      </c>
      <c r="F58" s="2" t="s">
        <v>3200</v>
      </c>
      <c r="G58" s="2" t="s">
        <v>3201</v>
      </c>
      <c r="H58" s="2" t="s">
        <v>3202</v>
      </c>
    </row>
    <row r="59" ht="57" customHeight="1" spans="1:8">
      <c r="A59" s="4">
        <v>45</v>
      </c>
      <c r="B59" s="4">
        <v>49</v>
      </c>
      <c r="C59" s="4" t="s">
        <v>3266</v>
      </c>
      <c r="D59" s="4" t="s">
        <v>3271</v>
      </c>
      <c r="E59" s="4" t="s">
        <v>3186</v>
      </c>
      <c r="F59" s="4" t="s">
        <v>3200</v>
      </c>
      <c r="G59" s="4" t="s">
        <v>3201</v>
      </c>
      <c r="H59" s="4" t="s">
        <v>3202</v>
      </c>
    </row>
    <row r="60" ht="57" customHeight="1" spans="1:8">
      <c r="A60" s="2">
        <v>46</v>
      </c>
      <c r="B60" s="2">
        <v>50</v>
      </c>
      <c r="C60" s="2" t="s">
        <v>3272</v>
      </c>
      <c r="D60" s="2" t="s">
        <v>3273</v>
      </c>
      <c r="E60" s="2" t="s">
        <v>3186</v>
      </c>
      <c r="F60" s="2" t="s">
        <v>3200</v>
      </c>
      <c r="G60" s="2" t="s">
        <v>3201</v>
      </c>
      <c r="H60" s="2" t="s">
        <v>3202</v>
      </c>
    </row>
    <row r="61" ht="57" customHeight="1" spans="1:8">
      <c r="A61" s="4">
        <v>47</v>
      </c>
      <c r="B61" s="4">
        <v>51</v>
      </c>
      <c r="C61" s="4" t="s">
        <v>3272</v>
      </c>
      <c r="D61" s="4" t="s">
        <v>3274</v>
      </c>
      <c r="E61" s="4" t="s">
        <v>3186</v>
      </c>
      <c r="F61" s="4" t="s">
        <v>3200</v>
      </c>
      <c r="G61" s="4" t="s">
        <v>3201</v>
      </c>
      <c r="H61" s="4" t="s">
        <v>3202</v>
      </c>
    </row>
    <row r="62" ht="57" customHeight="1" spans="1:8">
      <c r="A62" s="2">
        <v>48</v>
      </c>
      <c r="B62" s="2">
        <v>52</v>
      </c>
      <c r="C62" s="2" t="s">
        <v>3272</v>
      </c>
      <c r="D62" s="2" t="s">
        <v>3275</v>
      </c>
      <c r="E62" s="2" t="s">
        <v>3186</v>
      </c>
      <c r="F62" s="2" t="s">
        <v>3200</v>
      </c>
      <c r="G62" s="2" t="s">
        <v>3201</v>
      </c>
      <c r="H62" s="2" t="s">
        <v>3202</v>
      </c>
    </row>
    <row r="63" ht="57" customHeight="1" spans="1:8">
      <c r="A63" s="4">
        <v>49</v>
      </c>
      <c r="B63" s="4">
        <v>53</v>
      </c>
      <c r="C63" s="4" t="s">
        <v>3272</v>
      </c>
      <c r="D63" s="4" t="s">
        <v>3276</v>
      </c>
      <c r="E63" s="4" t="s">
        <v>3186</v>
      </c>
      <c r="F63" s="4" t="s">
        <v>3200</v>
      </c>
      <c r="G63" s="4" t="s">
        <v>3201</v>
      </c>
      <c r="H63" s="4" t="s">
        <v>3202</v>
      </c>
    </row>
    <row r="64" ht="57" customHeight="1" spans="1:8">
      <c r="A64" s="2">
        <v>50</v>
      </c>
      <c r="B64" s="2">
        <v>54</v>
      </c>
      <c r="C64" s="2" t="s">
        <v>3277</v>
      </c>
      <c r="D64" s="2" t="s">
        <v>3278</v>
      </c>
      <c r="E64" s="2" t="s">
        <v>3186</v>
      </c>
      <c r="F64" s="2" t="s">
        <v>3187</v>
      </c>
      <c r="G64" s="2" t="s">
        <v>3279</v>
      </c>
      <c r="H64" s="2" t="s">
        <v>3189</v>
      </c>
    </row>
    <row r="65" ht="57" customHeight="1" spans="1:8">
      <c r="A65" s="4">
        <v>51</v>
      </c>
      <c r="B65" s="4">
        <v>55</v>
      </c>
      <c r="C65" s="4" t="s">
        <v>3277</v>
      </c>
      <c r="D65" s="4" t="s">
        <v>2330</v>
      </c>
      <c r="E65" s="4" t="s">
        <v>3186</v>
      </c>
      <c r="F65" s="4" t="s">
        <v>3187</v>
      </c>
      <c r="G65" s="4" t="s">
        <v>3280</v>
      </c>
      <c r="H65" s="4" t="s">
        <v>3189</v>
      </c>
    </row>
    <row r="66" ht="57" customHeight="1" spans="1:8">
      <c r="A66" s="2">
        <v>52</v>
      </c>
      <c r="B66" s="2">
        <v>56</v>
      </c>
      <c r="C66" s="2" t="s">
        <v>3277</v>
      </c>
      <c r="D66" s="2" t="s">
        <v>3281</v>
      </c>
      <c r="E66" s="2" t="s">
        <v>3186</v>
      </c>
      <c r="F66" s="2" t="s">
        <v>3187</v>
      </c>
      <c r="G66" s="2" t="s">
        <v>3282</v>
      </c>
      <c r="H66" s="2" t="s">
        <v>3189</v>
      </c>
    </row>
    <row r="67" ht="57" customHeight="1" spans="1:8">
      <c r="A67" s="4">
        <v>53</v>
      </c>
      <c r="B67" s="4">
        <v>57</v>
      </c>
      <c r="C67" s="4" t="s">
        <v>3277</v>
      </c>
      <c r="D67" s="4" t="s">
        <v>3283</v>
      </c>
      <c r="E67" s="4" t="s">
        <v>3186</v>
      </c>
      <c r="F67" s="4" t="s">
        <v>3187</v>
      </c>
      <c r="G67" s="4" t="s">
        <v>3284</v>
      </c>
      <c r="H67" s="4" t="s">
        <v>3189</v>
      </c>
    </row>
    <row r="68" ht="57" customHeight="1" spans="1:8">
      <c r="A68" s="2">
        <v>54</v>
      </c>
      <c r="B68" s="2">
        <v>58</v>
      </c>
      <c r="C68" s="2" t="s">
        <v>3277</v>
      </c>
      <c r="D68" s="2" t="s">
        <v>3285</v>
      </c>
      <c r="E68" s="2" t="s">
        <v>3186</v>
      </c>
      <c r="F68" s="2" t="s">
        <v>3187</v>
      </c>
      <c r="G68" s="2" t="s">
        <v>3286</v>
      </c>
      <c r="H68" s="2" t="s">
        <v>3189</v>
      </c>
    </row>
    <row r="69" ht="57" customHeight="1" spans="1:8">
      <c r="A69" s="4">
        <v>55</v>
      </c>
      <c r="B69" s="4">
        <v>59</v>
      </c>
      <c r="C69" s="4" t="s">
        <v>3277</v>
      </c>
      <c r="D69" s="4" t="s">
        <v>3287</v>
      </c>
      <c r="E69" s="4" t="s">
        <v>3186</v>
      </c>
      <c r="F69" s="4" t="s">
        <v>3187</v>
      </c>
      <c r="G69" s="4" t="s">
        <v>3288</v>
      </c>
      <c r="H69" s="4" t="s">
        <v>3189</v>
      </c>
    </row>
    <row r="70" ht="57" customHeight="1" spans="1:8">
      <c r="A70" s="2">
        <v>56</v>
      </c>
      <c r="B70" s="2">
        <v>60</v>
      </c>
      <c r="C70" s="2" t="s">
        <v>3277</v>
      </c>
      <c r="D70" s="2" t="s">
        <v>3289</v>
      </c>
      <c r="E70" s="2" t="s">
        <v>3199</v>
      </c>
      <c r="F70" s="2" t="s">
        <v>3187</v>
      </c>
      <c r="G70" s="2" t="s">
        <v>3290</v>
      </c>
      <c r="H70" s="2" t="s">
        <v>3189</v>
      </c>
    </row>
    <row r="71" ht="57" customHeight="1" spans="1:8">
      <c r="A71" s="4">
        <v>57</v>
      </c>
      <c r="B71" s="4">
        <v>61</v>
      </c>
      <c r="C71" s="4" t="s">
        <v>3277</v>
      </c>
      <c r="D71" s="4" t="s">
        <v>3291</v>
      </c>
      <c r="E71" s="4" t="s">
        <v>3199</v>
      </c>
      <c r="F71" s="4" t="s">
        <v>3187</v>
      </c>
      <c r="G71" s="4" t="s">
        <v>3292</v>
      </c>
      <c r="H71" s="4" t="s">
        <v>3189</v>
      </c>
    </row>
    <row r="72" ht="57" customHeight="1" spans="1:8">
      <c r="A72" s="2">
        <v>58</v>
      </c>
      <c r="B72" s="2">
        <v>62</v>
      </c>
      <c r="C72" s="2" t="s">
        <v>3277</v>
      </c>
      <c r="D72" s="2" t="s">
        <v>3293</v>
      </c>
      <c r="E72" s="2" t="s">
        <v>3199</v>
      </c>
      <c r="F72" s="2" t="s">
        <v>3187</v>
      </c>
      <c r="G72" s="2" t="s">
        <v>3294</v>
      </c>
      <c r="H72" s="2" t="s">
        <v>3189</v>
      </c>
    </row>
    <row r="73" ht="57" customHeight="1" spans="1:8">
      <c r="A73" s="4">
        <v>59</v>
      </c>
      <c r="B73" s="4">
        <v>63</v>
      </c>
      <c r="C73" s="4" t="s">
        <v>3295</v>
      </c>
      <c r="D73" s="4" t="s">
        <v>3296</v>
      </c>
      <c r="E73" s="4" t="s">
        <v>3186</v>
      </c>
      <c r="F73" s="4" t="s">
        <v>3200</v>
      </c>
      <c r="G73" s="4" t="s">
        <v>3201</v>
      </c>
      <c r="H73" s="4" t="s">
        <v>3202</v>
      </c>
    </row>
    <row r="74" ht="57" customHeight="1" spans="1:8">
      <c r="A74" s="2">
        <v>60</v>
      </c>
      <c r="B74" s="2">
        <v>64</v>
      </c>
      <c r="C74" s="2" t="s">
        <v>3297</v>
      </c>
      <c r="D74" s="2" t="s">
        <v>3298</v>
      </c>
      <c r="E74" s="2" t="s">
        <v>3186</v>
      </c>
      <c r="F74" s="2" t="s">
        <v>3200</v>
      </c>
      <c r="G74" s="2" t="s">
        <v>3201</v>
      </c>
      <c r="H74" s="2" t="s">
        <v>3202</v>
      </c>
    </row>
    <row r="75" ht="57" customHeight="1" spans="1:8">
      <c r="A75" s="4">
        <v>61</v>
      </c>
      <c r="B75" s="4">
        <v>65</v>
      </c>
      <c r="C75" s="4" t="s">
        <v>3299</v>
      </c>
      <c r="D75" s="4" t="s">
        <v>3300</v>
      </c>
      <c r="E75" s="4" t="s">
        <v>3186</v>
      </c>
      <c r="F75" s="4" t="s">
        <v>3200</v>
      </c>
      <c r="G75" s="4" t="s">
        <v>3201</v>
      </c>
      <c r="H75" s="4" t="s">
        <v>3202</v>
      </c>
    </row>
    <row r="76" ht="57" customHeight="1" spans="1:8">
      <c r="A76" s="2">
        <v>62</v>
      </c>
      <c r="B76" s="2">
        <v>66</v>
      </c>
      <c r="C76" s="2" t="s">
        <v>3301</v>
      </c>
      <c r="D76" s="2" t="s">
        <v>3302</v>
      </c>
      <c r="E76" s="2" t="s">
        <v>3186</v>
      </c>
      <c r="F76" s="2" t="s">
        <v>3200</v>
      </c>
      <c r="G76" s="2" t="s">
        <v>3201</v>
      </c>
      <c r="H76" s="2" t="s">
        <v>3202</v>
      </c>
    </row>
    <row r="77" ht="57" customHeight="1" spans="1:8">
      <c r="A77" s="4">
        <v>63</v>
      </c>
      <c r="B77" s="4">
        <v>67</v>
      </c>
      <c r="C77" s="4" t="s">
        <v>3303</v>
      </c>
      <c r="D77" s="4" t="s">
        <v>3304</v>
      </c>
      <c r="E77" s="4" t="s">
        <v>3186</v>
      </c>
      <c r="F77" s="4" t="s">
        <v>3200</v>
      </c>
      <c r="G77" s="4" t="s">
        <v>3201</v>
      </c>
      <c r="H77" s="4" t="s">
        <v>3202</v>
      </c>
    </row>
    <row r="78" ht="57" customHeight="1" spans="1:8">
      <c r="A78" s="2">
        <v>65</v>
      </c>
      <c r="B78" s="2">
        <v>69</v>
      </c>
      <c r="C78" s="2" t="s">
        <v>3305</v>
      </c>
      <c r="D78" s="2" t="s">
        <v>3305</v>
      </c>
      <c r="E78" s="2" t="s">
        <v>3199</v>
      </c>
      <c r="F78" s="2" t="s">
        <v>3187</v>
      </c>
      <c r="G78" s="2" t="s">
        <v>3306</v>
      </c>
      <c r="H78" s="2" t="s">
        <v>3189</v>
      </c>
    </row>
    <row r="79" ht="57" customHeight="1" spans="1:8">
      <c r="A79" s="4">
        <v>66</v>
      </c>
      <c r="B79" s="4">
        <v>70</v>
      </c>
      <c r="C79" s="4" t="s">
        <v>3307</v>
      </c>
      <c r="D79" s="4" t="s">
        <v>3308</v>
      </c>
      <c r="E79" s="4" t="s">
        <v>3309</v>
      </c>
      <c r="F79" s="4" t="s">
        <v>3200</v>
      </c>
      <c r="G79" s="4" t="s">
        <v>3201</v>
      </c>
      <c r="H79" s="4" t="s">
        <v>3202</v>
      </c>
    </row>
    <row r="80" spans="1:8">
      <c r="A80" s="7"/>
      <c r="B80" s="7"/>
      <c r="C80" s="7"/>
      <c r="D80" s="7"/>
      <c r="E80" s="7"/>
      <c r="F80" s="7"/>
      <c r="G80" s="7"/>
      <c r="H80" s="7"/>
    </row>
    <row r="81" spans="1:8">
      <c r="A81" s="7"/>
      <c r="B81" s="7"/>
      <c r="C81" s="7"/>
      <c r="D81" s="7"/>
      <c r="E81" s="7"/>
      <c r="F81" s="7"/>
      <c r="G81" s="7"/>
      <c r="H81" s="7"/>
    </row>
    <row r="82" spans="1:8">
      <c r="A82" s="7"/>
      <c r="B82" s="7"/>
      <c r="C82" s="7"/>
      <c r="D82" s="7"/>
      <c r="E82" s="7"/>
      <c r="F82" s="7"/>
      <c r="G82" s="7"/>
      <c r="H82" s="7"/>
    </row>
    <row r="83" spans="1:8">
      <c r="A83" s="10" t="s">
        <v>3310</v>
      </c>
      <c r="B83" s="7"/>
      <c r="C83" s="7"/>
      <c r="D83" s="7"/>
      <c r="E83" s="7"/>
      <c r="F83" s="7"/>
      <c r="G83" s="7"/>
      <c r="H83" s="7"/>
    </row>
    <row r="84" spans="1:8">
      <c r="A84" s="7"/>
      <c r="B84" s="7"/>
      <c r="C84" s="7"/>
      <c r="D84" s="7"/>
      <c r="E84" s="7"/>
      <c r="F84" s="7"/>
      <c r="G84" s="7"/>
      <c r="H84" s="7"/>
    </row>
    <row r="85" ht="28.5" customHeight="1" spans="1:8">
      <c r="A85" s="5" t="s">
        <v>3311</v>
      </c>
      <c r="B85" s="5" t="s">
        <v>3312</v>
      </c>
      <c r="C85" s="5" t="s">
        <v>3313</v>
      </c>
      <c r="D85" s="5" t="s">
        <v>3314</v>
      </c>
      <c r="E85" s="5" t="s">
        <v>3315</v>
      </c>
      <c r="F85" s="5" t="s">
        <v>3316</v>
      </c>
      <c r="G85" s="7"/>
      <c r="H85" s="7"/>
    </row>
    <row r="86" ht="57" customHeight="1" spans="1:8">
      <c r="A86" s="8" t="s">
        <v>3317</v>
      </c>
      <c r="B86" s="8" t="s">
        <v>2393</v>
      </c>
      <c r="C86" s="8" t="s">
        <v>3318</v>
      </c>
      <c r="D86" s="8" t="s">
        <v>3319</v>
      </c>
      <c r="E86" s="8" t="s">
        <v>3320</v>
      </c>
      <c r="F86" s="8" t="s">
        <v>3321</v>
      </c>
      <c r="G86" s="7"/>
      <c r="H86" s="7"/>
    </row>
    <row r="87" ht="57" customHeight="1" spans="1:8">
      <c r="A87" s="8" t="s">
        <v>3322</v>
      </c>
      <c r="B87" s="8" t="s">
        <v>2285</v>
      </c>
      <c r="C87" s="8" t="s">
        <v>3323</v>
      </c>
      <c r="D87" s="8" t="s">
        <v>3324</v>
      </c>
      <c r="E87" s="8" t="s">
        <v>3320</v>
      </c>
      <c r="F87" s="8" t="s">
        <v>3321</v>
      </c>
      <c r="G87" s="7"/>
      <c r="H87" s="7"/>
    </row>
    <row r="88" ht="57" customHeight="1" spans="1:8">
      <c r="A88" s="8" t="s">
        <v>3325</v>
      </c>
      <c r="B88" s="8" t="s">
        <v>2285</v>
      </c>
      <c r="C88" s="8" t="s">
        <v>3326</v>
      </c>
      <c r="D88" s="8" t="s">
        <v>3327</v>
      </c>
      <c r="E88" s="8" t="s">
        <v>3328</v>
      </c>
      <c r="F88" s="8" t="s">
        <v>3329</v>
      </c>
      <c r="G88" s="7"/>
      <c r="H88" s="7"/>
    </row>
    <row r="89" ht="57" customHeight="1" spans="1:8">
      <c r="A89" s="8" t="s">
        <v>3330</v>
      </c>
      <c r="B89" s="8" t="s">
        <v>2393</v>
      </c>
      <c r="C89" s="8" t="s">
        <v>3326</v>
      </c>
      <c r="D89" s="8" t="s">
        <v>3331</v>
      </c>
      <c r="E89" s="8" t="s">
        <v>2322</v>
      </c>
      <c r="F89" s="8" t="s">
        <v>3321</v>
      </c>
      <c r="G89" s="7"/>
      <c r="H89" s="7"/>
    </row>
    <row r="90" ht="57" customHeight="1" spans="1:8">
      <c r="A90" s="8" t="s">
        <v>3332</v>
      </c>
      <c r="B90" s="8" t="s">
        <v>2393</v>
      </c>
      <c r="C90" s="8" t="s">
        <v>3184</v>
      </c>
      <c r="D90" s="8" t="s">
        <v>3333</v>
      </c>
      <c r="E90" s="8" t="s">
        <v>2322</v>
      </c>
      <c r="F90" s="8" t="s">
        <v>3321</v>
      </c>
      <c r="G90" s="7"/>
      <c r="H90" s="7"/>
    </row>
    <row r="91" ht="57" customHeight="1" spans="1:8">
      <c r="A91" s="8" t="s">
        <v>3334</v>
      </c>
      <c r="B91" s="8" t="s">
        <v>2285</v>
      </c>
      <c r="C91" s="8" t="s">
        <v>3184</v>
      </c>
      <c r="D91" s="8" t="s">
        <v>3335</v>
      </c>
      <c r="E91" s="8" t="s">
        <v>3328</v>
      </c>
      <c r="F91" s="8" t="s">
        <v>3321</v>
      </c>
      <c r="G91" s="7"/>
      <c r="H91" s="7"/>
    </row>
    <row r="92" ht="57" customHeight="1" spans="1:8">
      <c r="A92" s="8" t="s">
        <v>3336</v>
      </c>
      <c r="B92" s="8" t="s">
        <v>2285</v>
      </c>
      <c r="C92" s="8" t="s">
        <v>3184</v>
      </c>
      <c r="D92" s="8" t="s">
        <v>3337</v>
      </c>
      <c r="E92" s="8" t="s">
        <v>3338</v>
      </c>
      <c r="F92" s="8" t="s">
        <v>3321</v>
      </c>
      <c r="G92" s="7"/>
      <c r="H92" s="7"/>
    </row>
    <row r="93" ht="57" customHeight="1" spans="1:8">
      <c r="A93" s="8" t="s">
        <v>3339</v>
      </c>
      <c r="B93" s="8" t="s">
        <v>2285</v>
      </c>
      <c r="C93" s="8" t="s">
        <v>3184</v>
      </c>
      <c r="D93" s="8" t="s">
        <v>3340</v>
      </c>
      <c r="E93" s="8" t="s">
        <v>3320</v>
      </c>
      <c r="F93" s="8" t="s">
        <v>3321</v>
      </c>
      <c r="G93" s="7"/>
      <c r="H93" s="7"/>
    </row>
    <row r="94" ht="57" customHeight="1" spans="1:8">
      <c r="A94" s="8" t="s">
        <v>3341</v>
      </c>
      <c r="B94" s="8" t="s">
        <v>2285</v>
      </c>
      <c r="C94" s="8" t="s">
        <v>3184</v>
      </c>
      <c r="D94" s="8" t="s">
        <v>3342</v>
      </c>
      <c r="E94" s="8" t="s">
        <v>2322</v>
      </c>
      <c r="F94" s="8" t="s">
        <v>3321</v>
      </c>
      <c r="G94" s="7"/>
      <c r="H94" s="7"/>
    </row>
    <row r="95" ht="57" customHeight="1" spans="1:8">
      <c r="A95" s="8" t="s">
        <v>3343</v>
      </c>
      <c r="B95" s="8" t="s">
        <v>2256</v>
      </c>
      <c r="C95" s="8" t="s">
        <v>3323</v>
      </c>
      <c r="D95" s="8" t="s">
        <v>3344</v>
      </c>
      <c r="E95" s="8" t="s">
        <v>2322</v>
      </c>
      <c r="F95" s="8" t="s">
        <v>3321</v>
      </c>
      <c r="G95" s="7"/>
      <c r="H95" s="7"/>
    </row>
    <row r="96" ht="57" customHeight="1" spans="1:8">
      <c r="A96" s="8" t="s">
        <v>3345</v>
      </c>
      <c r="B96" s="8" t="s">
        <v>2256</v>
      </c>
      <c r="C96" s="8" t="s">
        <v>3346</v>
      </c>
      <c r="D96" s="8" t="s">
        <v>3347</v>
      </c>
      <c r="E96" s="8" t="s">
        <v>2322</v>
      </c>
      <c r="F96" s="8" t="s">
        <v>3321</v>
      </c>
      <c r="G96" s="7"/>
      <c r="H96" s="7"/>
    </row>
    <row r="97" ht="57" customHeight="1" spans="1:8">
      <c r="A97" s="8" t="s">
        <v>3348</v>
      </c>
      <c r="B97" s="8" t="s">
        <v>2285</v>
      </c>
      <c r="C97" s="8" t="s">
        <v>3349</v>
      </c>
      <c r="D97" s="8" t="s">
        <v>3350</v>
      </c>
      <c r="E97" s="8" t="s">
        <v>2322</v>
      </c>
      <c r="F97" s="8" t="s">
        <v>3321</v>
      </c>
      <c r="G97" s="7"/>
      <c r="H97" s="7"/>
    </row>
    <row r="98" ht="57" customHeight="1" spans="1:8">
      <c r="A98" s="8" t="s">
        <v>3351</v>
      </c>
      <c r="B98" s="8" t="s">
        <v>2256</v>
      </c>
      <c r="C98" s="8" t="s">
        <v>3352</v>
      </c>
      <c r="D98" s="8" t="s">
        <v>3353</v>
      </c>
      <c r="E98" s="8" t="s">
        <v>2322</v>
      </c>
      <c r="F98" s="8" t="s">
        <v>3321</v>
      </c>
      <c r="G98" s="7"/>
      <c r="H98" s="7"/>
    </row>
    <row r="99" ht="57" customHeight="1" spans="1:8">
      <c r="A99" s="8" t="s">
        <v>3354</v>
      </c>
      <c r="B99" s="8" t="s">
        <v>2256</v>
      </c>
      <c r="C99" s="8" t="s">
        <v>3355</v>
      </c>
      <c r="D99" s="8" t="s">
        <v>3356</v>
      </c>
      <c r="E99" s="8" t="s">
        <v>2322</v>
      </c>
      <c r="F99" s="8" t="s">
        <v>3321</v>
      </c>
      <c r="G99" s="7"/>
      <c r="H99" s="7"/>
    </row>
    <row r="100" ht="57" customHeight="1" spans="1:8">
      <c r="A100" s="8" t="s">
        <v>3357</v>
      </c>
      <c r="B100" s="8" t="s">
        <v>2285</v>
      </c>
      <c r="C100" s="8" t="s">
        <v>3355</v>
      </c>
      <c r="D100" s="8" t="s">
        <v>3358</v>
      </c>
      <c r="E100" s="8" t="s">
        <v>2322</v>
      </c>
      <c r="F100" s="8" t="s">
        <v>3321</v>
      </c>
      <c r="G100" s="7"/>
      <c r="H100" s="7"/>
    </row>
    <row r="101" ht="57" customHeight="1" spans="1:8">
      <c r="A101" s="8" t="s">
        <v>3359</v>
      </c>
      <c r="B101" s="8" t="s">
        <v>2285</v>
      </c>
      <c r="C101" s="8" t="s">
        <v>3355</v>
      </c>
      <c r="D101" s="8" t="s">
        <v>3360</v>
      </c>
      <c r="E101" s="8" t="s">
        <v>2322</v>
      </c>
      <c r="F101" s="8" t="s">
        <v>3321</v>
      </c>
      <c r="G101" s="7"/>
      <c r="H101" s="7"/>
    </row>
    <row r="102" ht="57" customHeight="1" spans="1:8">
      <c r="A102" s="8" t="s">
        <v>3361</v>
      </c>
      <c r="B102" s="8" t="s">
        <v>2285</v>
      </c>
      <c r="C102" s="8" t="s">
        <v>3355</v>
      </c>
      <c r="D102" s="8" t="s">
        <v>3362</v>
      </c>
      <c r="E102" s="8" t="s">
        <v>2322</v>
      </c>
      <c r="F102" s="8" t="s">
        <v>3321</v>
      </c>
      <c r="G102" s="7"/>
      <c r="H102" s="7"/>
    </row>
    <row r="103" ht="57" customHeight="1" spans="1:8">
      <c r="A103" s="8" t="s">
        <v>3363</v>
      </c>
      <c r="B103" s="8" t="s">
        <v>2256</v>
      </c>
      <c r="C103" s="8" t="s">
        <v>3355</v>
      </c>
      <c r="D103" s="8" t="s">
        <v>3364</v>
      </c>
      <c r="E103" s="8" t="s">
        <v>2322</v>
      </c>
      <c r="F103" s="8" t="s">
        <v>3321</v>
      </c>
      <c r="G103" s="7"/>
      <c r="H103" s="7"/>
    </row>
    <row r="104" ht="57" customHeight="1" spans="1:8">
      <c r="A104" s="8" t="s">
        <v>3365</v>
      </c>
      <c r="B104" s="8" t="s">
        <v>2393</v>
      </c>
      <c r="C104" s="8" t="s">
        <v>3355</v>
      </c>
      <c r="D104" s="8" t="s">
        <v>3366</v>
      </c>
      <c r="E104" s="8" t="s">
        <v>2322</v>
      </c>
      <c r="F104" s="8" t="s">
        <v>3321</v>
      </c>
      <c r="G104" s="7"/>
      <c r="H104" s="7"/>
    </row>
    <row r="105" ht="57" customHeight="1" spans="1:8">
      <c r="A105" s="8" t="s">
        <v>3367</v>
      </c>
      <c r="B105" s="8" t="s">
        <v>2393</v>
      </c>
      <c r="C105" s="8" t="s">
        <v>3368</v>
      </c>
      <c r="D105" s="8" t="s">
        <v>3369</v>
      </c>
      <c r="E105" s="8" t="s">
        <v>2322</v>
      </c>
      <c r="F105" s="8" t="s">
        <v>3321</v>
      </c>
      <c r="G105" s="7"/>
      <c r="H105" s="7"/>
    </row>
    <row r="106" ht="57" customHeight="1" spans="1:8">
      <c r="A106" s="8" t="s">
        <v>3370</v>
      </c>
      <c r="B106" s="8" t="s">
        <v>2285</v>
      </c>
      <c r="C106" s="8" t="s">
        <v>3326</v>
      </c>
      <c r="D106" s="8" t="s">
        <v>3371</v>
      </c>
      <c r="E106" s="8" t="s">
        <v>2322</v>
      </c>
      <c r="F106" s="8" t="s">
        <v>3321</v>
      </c>
      <c r="G106" s="7"/>
      <c r="H106" s="7"/>
    </row>
    <row r="107" ht="57" customHeight="1" spans="1:8">
      <c r="A107" s="8" t="s">
        <v>3372</v>
      </c>
      <c r="B107" s="8" t="s">
        <v>2393</v>
      </c>
      <c r="C107" s="8" t="s">
        <v>3184</v>
      </c>
      <c r="D107" s="8" t="s">
        <v>3373</v>
      </c>
      <c r="E107" s="8" t="s">
        <v>2322</v>
      </c>
      <c r="F107" s="8" t="s">
        <v>3321</v>
      </c>
      <c r="G107" s="7"/>
      <c r="H107" s="7"/>
    </row>
    <row r="108" ht="57" customHeight="1" spans="1:8">
      <c r="A108" s="8" t="s">
        <v>3374</v>
      </c>
      <c r="B108" s="8" t="s">
        <v>2393</v>
      </c>
      <c r="C108" s="8" t="s">
        <v>3184</v>
      </c>
      <c r="D108" s="8" t="s">
        <v>3375</v>
      </c>
      <c r="E108" s="8" t="s">
        <v>2322</v>
      </c>
      <c r="F108" s="8" t="s">
        <v>3321</v>
      </c>
      <c r="G108" s="7"/>
      <c r="H108" s="7"/>
    </row>
    <row r="109" ht="57" customHeight="1" spans="1:8">
      <c r="A109" s="8" t="s">
        <v>3376</v>
      </c>
      <c r="B109" s="8" t="s">
        <v>54</v>
      </c>
      <c r="C109" s="8" t="s">
        <v>54</v>
      </c>
      <c r="D109" s="8" t="s">
        <v>3377</v>
      </c>
      <c r="E109" s="8" t="s">
        <v>3338</v>
      </c>
      <c r="F109" s="8" t="s">
        <v>3329</v>
      </c>
      <c r="G109" s="7"/>
      <c r="H109" s="7"/>
    </row>
    <row r="110" spans="1:8">
      <c r="A110" s="7"/>
      <c r="B110" s="7"/>
      <c r="C110" s="7"/>
      <c r="D110" s="7"/>
      <c r="E110" s="7"/>
      <c r="F110" s="7"/>
      <c r="G110" s="7"/>
      <c r="H110" s="7"/>
    </row>
    <row r="111" spans="1:8">
      <c r="A111" s="7"/>
      <c r="B111" s="7"/>
      <c r="C111" s="7"/>
      <c r="D111" s="7"/>
      <c r="E111" s="7"/>
      <c r="F111" s="7"/>
      <c r="G111" s="7"/>
      <c r="H111" s="7"/>
    </row>
    <row r="112" spans="1:8">
      <c r="A112" s="10" t="s">
        <v>3378</v>
      </c>
      <c r="B112" s="7"/>
      <c r="C112" s="7"/>
      <c r="D112" s="7"/>
      <c r="E112" s="7"/>
      <c r="F112" s="7"/>
      <c r="G112" s="7"/>
      <c r="H112" s="7"/>
    </row>
    <row r="113" spans="1:8">
      <c r="A113" s="7"/>
      <c r="B113" s="7"/>
      <c r="C113" s="7"/>
      <c r="D113" s="7"/>
      <c r="E113" s="7"/>
      <c r="F113" s="7"/>
      <c r="G113" s="7"/>
      <c r="H113" s="7"/>
    </row>
    <row r="114" ht="28.5" customHeight="1" spans="1:8">
      <c r="A114" s="1" t="s">
        <v>3379</v>
      </c>
      <c r="B114" s="1" t="s">
        <v>3380</v>
      </c>
      <c r="C114" s="1" t="s">
        <v>3381</v>
      </c>
      <c r="D114" s="1" t="s">
        <v>3382</v>
      </c>
      <c r="E114" s="1" t="s">
        <v>3383</v>
      </c>
      <c r="F114" s="1" t="s">
        <v>3384</v>
      </c>
      <c r="G114" s="1" t="s">
        <v>3385</v>
      </c>
      <c r="H114" s="1" t="s">
        <v>3386</v>
      </c>
    </row>
    <row r="115" ht="57" customHeight="1" spans="1:8">
      <c r="A115" s="2" t="s">
        <v>3387</v>
      </c>
      <c r="B115" s="2">
        <v>1</v>
      </c>
      <c r="C115" s="2" t="s">
        <v>3388</v>
      </c>
      <c r="D115" s="2" t="s">
        <v>3389</v>
      </c>
      <c r="E115" s="2" t="s">
        <v>3390</v>
      </c>
      <c r="F115" s="2" t="s">
        <v>3391</v>
      </c>
      <c r="G115" s="2" t="s">
        <v>3392</v>
      </c>
      <c r="H115" s="2" t="s">
        <v>3393</v>
      </c>
    </row>
    <row r="116" ht="57" customHeight="1" spans="1:8">
      <c r="A116" s="4" t="s">
        <v>3394</v>
      </c>
      <c r="B116" s="4">
        <v>2</v>
      </c>
      <c r="C116" s="4" t="s">
        <v>3395</v>
      </c>
      <c r="D116" s="4" t="s">
        <v>3396</v>
      </c>
      <c r="E116" s="4" t="s">
        <v>3397</v>
      </c>
      <c r="F116" s="4" t="s">
        <v>3398</v>
      </c>
      <c r="G116" s="4" t="s">
        <v>3392</v>
      </c>
      <c r="H116" s="4" t="s">
        <v>3393</v>
      </c>
    </row>
    <row r="117" ht="57" customHeight="1" spans="1:8">
      <c r="A117" s="2" t="s">
        <v>3399</v>
      </c>
      <c r="B117" s="2">
        <v>3</v>
      </c>
      <c r="C117" s="2" t="s">
        <v>3400</v>
      </c>
      <c r="D117" s="2" t="s">
        <v>3401</v>
      </c>
      <c r="E117" s="2" t="s">
        <v>3402</v>
      </c>
      <c r="F117" s="2" t="s">
        <v>3398</v>
      </c>
      <c r="G117" s="2" t="s">
        <v>3392</v>
      </c>
      <c r="H117" s="2" t="s">
        <v>3393</v>
      </c>
    </row>
    <row r="118" ht="57" customHeight="1" spans="1:8">
      <c r="A118" s="4" t="s">
        <v>3403</v>
      </c>
      <c r="B118" s="4">
        <v>4</v>
      </c>
      <c r="C118" s="4" t="s">
        <v>3404</v>
      </c>
      <c r="D118" s="4" t="s">
        <v>3405</v>
      </c>
      <c r="E118" s="4" t="s">
        <v>3406</v>
      </c>
      <c r="F118" s="4" t="s">
        <v>3398</v>
      </c>
      <c r="G118" s="4" t="s">
        <v>3392</v>
      </c>
      <c r="H118" s="4" t="s">
        <v>3393</v>
      </c>
    </row>
    <row r="119" ht="57" customHeight="1" spans="1:8">
      <c r="A119" s="2" t="s">
        <v>3407</v>
      </c>
      <c r="B119" s="2">
        <v>5</v>
      </c>
      <c r="C119" s="2" t="s">
        <v>429</v>
      </c>
      <c r="D119" s="2" t="s">
        <v>3408</v>
      </c>
      <c r="E119" s="2" t="s">
        <v>3409</v>
      </c>
      <c r="F119" s="2" t="s">
        <v>3410</v>
      </c>
      <c r="G119" s="2" t="s">
        <v>3392</v>
      </c>
      <c r="H119" s="2" t="s">
        <v>3393</v>
      </c>
    </row>
    <row r="120" ht="57" customHeight="1" spans="1:8">
      <c r="A120" s="4" t="s">
        <v>3411</v>
      </c>
      <c r="B120" s="4">
        <v>6</v>
      </c>
      <c r="C120" s="4" t="s">
        <v>3412</v>
      </c>
      <c r="D120" s="4" t="s">
        <v>3413</v>
      </c>
      <c r="E120" s="4" t="s">
        <v>3414</v>
      </c>
      <c r="F120" s="4" t="s">
        <v>3398</v>
      </c>
      <c r="G120" s="4" t="s">
        <v>3392</v>
      </c>
      <c r="H120" s="4" t="s">
        <v>3393</v>
      </c>
    </row>
    <row r="121" ht="57" customHeight="1" spans="1:8">
      <c r="A121" s="2" t="s">
        <v>3415</v>
      </c>
      <c r="B121" s="2">
        <v>7</v>
      </c>
      <c r="C121" s="2" t="s">
        <v>3416</v>
      </c>
      <c r="D121" s="2" t="s">
        <v>3417</v>
      </c>
      <c r="E121" s="2" t="s">
        <v>3418</v>
      </c>
      <c r="F121" s="2" t="s">
        <v>3398</v>
      </c>
      <c r="G121" s="2" t="s">
        <v>3392</v>
      </c>
      <c r="H121" s="2" t="s">
        <v>3393</v>
      </c>
    </row>
    <row r="122" ht="57" customHeight="1" spans="1:8">
      <c r="A122" s="4" t="s">
        <v>3386</v>
      </c>
      <c r="B122" s="4">
        <v>8</v>
      </c>
      <c r="C122" s="4" t="s">
        <v>3419</v>
      </c>
      <c r="D122" s="4" t="s">
        <v>3420</v>
      </c>
      <c r="E122" s="4" t="s">
        <v>3421</v>
      </c>
      <c r="F122" s="4" t="s">
        <v>3398</v>
      </c>
      <c r="G122" s="4" t="s">
        <v>3392</v>
      </c>
      <c r="H122" s="4" t="s">
        <v>3393</v>
      </c>
    </row>
    <row r="123" spans="1:8">
      <c r="A123" s="7"/>
      <c r="B123" s="7"/>
      <c r="C123" s="7"/>
      <c r="D123" s="7"/>
      <c r="E123" s="7"/>
      <c r="F123" s="7"/>
      <c r="G123" s="7"/>
      <c r="H123" s="7"/>
    </row>
    <row r="124" spans="1:8">
      <c r="A124" s="7"/>
      <c r="B124" s="7"/>
      <c r="C124" s="7"/>
      <c r="D124" s="7"/>
      <c r="E124" s="7"/>
      <c r="F124" s="7"/>
      <c r="G124" s="7"/>
      <c r="H124" s="7"/>
    </row>
    <row r="125" spans="1:8">
      <c r="A125" s="7"/>
      <c r="B125" s="7"/>
      <c r="C125" s="7"/>
      <c r="D125" s="7"/>
      <c r="E125" s="7"/>
      <c r="F125" s="7"/>
      <c r="G125" s="7"/>
      <c r="H125" s="7"/>
    </row>
    <row r="127" ht="24" customHeight="1" spans="1:8">
      <c r="A127" s="11" t="s">
        <v>3422</v>
      </c>
      <c r="B127" s="11"/>
      <c r="C127" s="11"/>
      <c r="D127" s="11"/>
      <c r="E127" s="11"/>
      <c r="F127" s="11"/>
      <c r="G127" s="11"/>
      <c r="H127" s="11"/>
    </row>
    <row r="128" ht="43.5" customHeight="1" spans="1:8">
      <c r="A128" s="8" t="s">
        <v>3423</v>
      </c>
      <c r="B128" s="8"/>
      <c r="C128" s="8"/>
      <c r="D128" s="8"/>
      <c r="E128" s="8"/>
      <c r="F128" s="8"/>
      <c r="G128" s="8"/>
      <c r="H128" s="8"/>
    </row>
    <row r="129" ht="43.5" customHeight="1" spans="1:8">
      <c r="A129" s="8" t="s">
        <v>3424</v>
      </c>
      <c r="B129" s="8"/>
      <c r="C129" s="8"/>
      <c r="D129" s="8"/>
      <c r="E129" s="8"/>
      <c r="F129" s="8"/>
      <c r="G129" s="8"/>
      <c r="H129" s="8"/>
    </row>
    <row r="130" ht="43.5" customHeight="1" spans="1:8">
      <c r="A130" s="8" t="s">
        <v>3425</v>
      </c>
      <c r="B130" s="8"/>
      <c r="C130" s="8"/>
      <c r="D130" s="8"/>
      <c r="E130" s="8"/>
      <c r="F130" s="8"/>
      <c r="G130" s="8"/>
      <c r="H130" s="8"/>
    </row>
    <row r="131" ht="43.5" customHeight="1" spans="1:8">
      <c r="A131" s="8" t="s">
        <v>3426</v>
      </c>
      <c r="B131" s="8"/>
      <c r="C131" s="8"/>
      <c r="D131" s="8"/>
      <c r="E131" s="8"/>
      <c r="F131" s="8"/>
      <c r="G131" s="8"/>
      <c r="H131" s="8"/>
    </row>
    <row r="132" ht="43.5" customHeight="1" spans="1:8">
      <c r="A132" s="8" t="s">
        <v>3427</v>
      </c>
      <c r="B132" s="8"/>
      <c r="C132" s="8"/>
      <c r="D132" s="8"/>
      <c r="E132" s="8"/>
      <c r="F132" s="8"/>
      <c r="G132" s="8"/>
      <c r="H132" s="8"/>
    </row>
    <row r="133" ht="43.5" customHeight="1" spans="1:8">
      <c r="A133" s="8" t="s">
        <v>3428</v>
      </c>
      <c r="B133" s="8"/>
      <c r="C133" s="8"/>
      <c r="D133" s="8"/>
      <c r="E133" s="8"/>
      <c r="F133" s="8"/>
      <c r="G133" s="8"/>
      <c r="H133" s="8"/>
    </row>
    <row r="134" ht="43.5" customHeight="1" spans="1:8">
      <c r="A134" s="8" t="s">
        <v>3429</v>
      </c>
      <c r="B134" s="8"/>
      <c r="C134" s="8"/>
      <c r="D134" s="8"/>
      <c r="E134" s="8"/>
      <c r="F134" s="8"/>
      <c r="G134" s="8"/>
      <c r="H134" s="8"/>
    </row>
    <row r="135" ht="43.5" customHeight="1" spans="1:8">
      <c r="A135" s="8" t="s">
        <v>3430</v>
      </c>
      <c r="B135" s="8"/>
      <c r="C135" s="8"/>
      <c r="D135" s="8"/>
      <c r="E135" s="8"/>
      <c r="F135" s="8"/>
      <c r="G135" s="8"/>
      <c r="H135" s="8"/>
    </row>
    <row r="136" ht="43.5" customHeight="1" spans="1:8">
      <c r="A136" s="8" t="s">
        <v>3431</v>
      </c>
      <c r="B136" s="8"/>
      <c r="C136" s="8"/>
      <c r="D136" s="8"/>
      <c r="E136" s="8"/>
      <c r="F136" s="8"/>
      <c r="G136" s="8"/>
      <c r="H136" s="8"/>
    </row>
    <row r="140" ht="24" customHeight="1" spans="1:8">
      <c r="A140" s="12" t="s">
        <v>3432</v>
      </c>
      <c r="B140" s="12"/>
      <c r="C140" s="12"/>
      <c r="D140" s="12"/>
      <c r="E140" s="12"/>
      <c r="F140" s="12"/>
      <c r="G140" s="12"/>
      <c r="H140" s="12"/>
    </row>
    <row r="141" ht="43.5" customHeight="1" spans="1:8">
      <c r="A141" s="8" t="s">
        <v>3433</v>
      </c>
      <c r="B141" s="8"/>
      <c r="C141" s="8"/>
      <c r="D141" s="8"/>
      <c r="E141" s="8"/>
      <c r="F141" s="8"/>
      <c r="G141" s="8"/>
      <c r="H141" s="8"/>
    </row>
    <row r="142" ht="28.5" customHeight="1" spans="1:8">
      <c r="A142" s="1" t="s">
        <v>3434</v>
      </c>
      <c r="B142" s="1" t="s">
        <v>3435</v>
      </c>
      <c r="C142" s="1" t="s">
        <v>3436</v>
      </c>
      <c r="D142" s="1" t="s">
        <v>3437</v>
      </c>
      <c r="E142" s="1" t="s">
        <v>3438</v>
      </c>
      <c r="F142" s="1" t="s">
        <v>3439</v>
      </c>
      <c r="G142" s="1" t="s">
        <v>3440</v>
      </c>
      <c r="H142" s="1" t="s">
        <v>3441</v>
      </c>
    </row>
    <row r="143" ht="57" customHeight="1" spans="1:8">
      <c r="A143" s="2" t="s">
        <v>338</v>
      </c>
      <c r="B143" s="2" t="s">
        <v>8</v>
      </c>
      <c r="C143" s="2" t="s">
        <v>1530</v>
      </c>
      <c r="D143" s="2" t="s">
        <v>3442</v>
      </c>
      <c r="E143" s="2" t="s">
        <v>3443</v>
      </c>
      <c r="F143" s="2" t="s">
        <v>8</v>
      </c>
      <c r="G143" s="2" t="s">
        <v>3444</v>
      </c>
      <c r="H143" s="2" t="s">
        <v>3445</v>
      </c>
    </row>
    <row r="144" ht="57" customHeight="1" spans="1:8">
      <c r="A144" s="4" t="s">
        <v>344</v>
      </c>
      <c r="B144" s="4" t="s">
        <v>8</v>
      </c>
      <c r="C144" s="4" t="s">
        <v>1548</v>
      </c>
      <c r="D144" s="4" t="s">
        <v>3446</v>
      </c>
      <c r="E144" s="4" t="s">
        <v>3443</v>
      </c>
      <c r="F144" s="4" t="s">
        <v>8</v>
      </c>
      <c r="G144" s="4" t="s">
        <v>3444</v>
      </c>
      <c r="H144" s="4" t="s">
        <v>3447</v>
      </c>
    </row>
    <row r="145" ht="57" customHeight="1" spans="1:8">
      <c r="A145" s="2" t="s">
        <v>347</v>
      </c>
      <c r="B145" s="2" t="s">
        <v>8</v>
      </c>
      <c r="C145" s="2" t="s">
        <v>1562</v>
      </c>
      <c r="D145" s="2" t="s">
        <v>3448</v>
      </c>
      <c r="E145" s="2" t="s">
        <v>3443</v>
      </c>
      <c r="F145" s="2" t="s">
        <v>8</v>
      </c>
      <c r="G145" s="2" t="s">
        <v>3444</v>
      </c>
      <c r="H145" s="2" t="s">
        <v>3449</v>
      </c>
    </row>
    <row r="146" ht="57" customHeight="1" spans="1:8">
      <c r="A146" s="4" t="s">
        <v>350</v>
      </c>
      <c r="B146" s="4" t="s">
        <v>8</v>
      </c>
      <c r="C146" s="4" t="s">
        <v>1578</v>
      </c>
      <c r="D146" s="4" t="s">
        <v>3450</v>
      </c>
      <c r="E146" s="4" t="s">
        <v>3443</v>
      </c>
      <c r="F146" s="4" t="s">
        <v>8</v>
      </c>
      <c r="G146" s="4" t="s">
        <v>3444</v>
      </c>
      <c r="H146" s="4" t="s">
        <v>3451</v>
      </c>
    </row>
    <row r="147" ht="57" customHeight="1" spans="1:8">
      <c r="A147" s="2" t="s">
        <v>353</v>
      </c>
      <c r="B147" s="2" t="s">
        <v>7</v>
      </c>
      <c r="C147" s="2" t="s">
        <v>1593</v>
      </c>
      <c r="D147" s="2" t="s">
        <v>3452</v>
      </c>
      <c r="E147" s="2" t="s">
        <v>3443</v>
      </c>
      <c r="F147" s="2" t="s">
        <v>8</v>
      </c>
      <c r="G147" s="2" t="s">
        <v>3444</v>
      </c>
      <c r="H147" s="2" t="s">
        <v>3453</v>
      </c>
    </row>
    <row r="148" ht="57" customHeight="1" spans="1:8">
      <c r="A148" s="4" t="s">
        <v>355</v>
      </c>
      <c r="B148" s="4" t="s">
        <v>7</v>
      </c>
      <c r="C148" s="4" t="s">
        <v>1607</v>
      </c>
      <c r="D148" s="4" t="s">
        <v>3454</v>
      </c>
      <c r="E148" s="4" t="s">
        <v>3443</v>
      </c>
      <c r="F148" s="4" t="s">
        <v>7</v>
      </c>
      <c r="G148" s="4" t="s">
        <v>3444</v>
      </c>
      <c r="H148" s="4" t="s">
        <v>3455</v>
      </c>
    </row>
    <row r="149" ht="57" customHeight="1" spans="1:8">
      <c r="A149" s="2" t="s">
        <v>357</v>
      </c>
      <c r="B149" s="2" t="s">
        <v>7</v>
      </c>
      <c r="C149" s="2" t="s">
        <v>1622</v>
      </c>
      <c r="D149" s="2" t="s">
        <v>3456</v>
      </c>
      <c r="E149" s="2" t="s">
        <v>3457</v>
      </c>
      <c r="F149" s="2" t="s">
        <v>7</v>
      </c>
      <c r="G149" s="2" t="s">
        <v>3444</v>
      </c>
      <c r="H149" s="2" t="s">
        <v>3458</v>
      </c>
    </row>
    <row r="150" ht="57" customHeight="1" spans="1:8">
      <c r="A150" s="4" t="s">
        <v>359</v>
      </c>
      <c r="B150" s="4" t="s">
        <v>7</v>
      </c>
      <c r="C150" s="4" t="s">
        <v>1636</v>
      </c>
      <c r="D150" s="4" t="s">
        <v>3459</v>
      </c>
      <c r="E150" s="4" t="s">
        <v>3443</v>
      </c>
      <c r="F150" s="4" t="s">
        <v>7</v>
      </c>
      <c r="G150" s="4" t="s">
        <v>3444</v>
      </c>
      <c r="H150" s="4" t="s">
        <v>3460</v>
      </c>
    </row>
    <row r="151" ht="57" customHeight="1" spans="1:8">
      <c r="A151" s="2" t="s">
        <v>361</v>
      </c>
      <c r="B151" s="2" t="s">
        <v>7</v>
      </c>
      <c r="C151" s="2" t="s">
        <v>1649</v>
      </c>
      <c r="D151" s="2" t="s">
        <v>3461</v>
      </c>
      <c r="E151" s="2" t="s">
        <v>3443</v>
      </c>
      <c r="F151" s="2" t="s">
        <v>7</v>
      </c>
      <c r="G151" s="2" t="s">
        <v>3444</v>
      </c>
      <c r="H151" s="2" t="s">
        <v>3462</v>
      </c>
    </row>
    <row r="152" ht="70.5" customHeight="1" spans="1:8">
      <c r="A152" s="4" t="s">
        <v>363</v>
      </c>
      <c r="B152" s="4" t="s">
        <v>7</v>
      </c>
      <c r="C152" s="4" t="s">
        <v>1663</v>
      </c>
      <c r="D152" s="4" t="s">
        <v>3463</v>
      </c>
      <c r="E152" s="4" t="s">
        <v>3443</v>
      </c>
      <c r="F152" s="4" t="s">
        <v>7</v>
      </c>
      <c r="G152" s="4" t="s">
        <v>3464</v>
      </c>
      <c r="H152" s="4" t="s">
        <v>3465</v>
      </c>
    </row>
    <row r="153" ht="70.5" customHeight="1" spans="1:8">
      <c r="A153" s="13" t="s">
        <v>365</v>
      </c>
      <c r="B153" s="13" t="s">
        <v>11</v>
      </c>
      <c r="C153" s="13" t="s">
        <v>1677</v>
      </c>
      <c r="D153" s="13" t="s">
        <v>3466</v>
      </c>
      <c r="E153" s="13" t="s">
        <v>3467</v>
      </c>
      <c r="F153" s="13" t="s">
        <v>7</v>
      </c>
      <c r="G153" s="13" t="s">
        <v>3468</v>
      </c>
      <c r="H153" s="13" t="s">
        <v>3469</v>
      </c>
    </row>
    <row r="154" ht="70.5" customHeight="1" spans="1:8">
      <c r="A154" s="13" t="s">
        <v>367</v>
      </c>
      <c r="B154" s="13" t="s">
        <v>11</v>
      </c>
      <c r="C154" s="13" t="s">
        <v>1701</v>
      </c>
      <c r="D154" s="13" t="s">
        <v>3470</v>
      </c>
      <c r="E154" s="13" t="s">
        <v>3443</v>
      </c>
      <c r="F154" s="13" t="s">
        <v>7</v>
      </c>
      <c r="G154" s="13" t="s">
        <v>3471</v>
      </c>
      <c r="H154" s="13" t="s">
        <v>3472</v>
      </c>
    </row>
    <row r="155" ht="70.5" customHeight="1" spans="1:8">
      <c r="A155" s="13" t="s">
        <v>369</v>
      </c>
      <c r="B155" s="13" t="s">
        <v>11</v>
      </c>
      <c r="C155" s="13" t="s">
        <v>1717</v>
      </c>
      <c r="D155" s="13" t="s">
        <v>3473</v>
      </c>
      <c r="E155" s="13" t="s">
        <v>3474</v>
      </c>
      <c r="F155" s="13" t="s">
        <v>11</v>
      </c>
      <c r="G155" s="13" t="s">
        <v>3475</v>
      </c>
      <c r="H155" s="13" t="s">
        <v>3476</v>
      </c>
    </row>
    <row r="156" ht="70.5" customHeight="1" spans="1:8">
      <c r="A156" s="13" t="s">
        <v>371</v>
      </c>
      <c r="B156" s="13" t="s">
        <v>11</v>
      </c>
      <c r="C156" s="13" t="s">
        <v>1717</v>
      </c>
      <c r="D156" s="13" t="s">
        <v>3477</v>
      </c>
      <c r="E156" s="13" t="s">
        <v>3474</v>
      </c>
      <c r="F156" s="13" t="s">
        <v>11</v>
      </c>
      <c r="G156" s="13" t="s">
        <v>3478</v>
      </c>
      <c r="H156" s="13" t="s">
        <v>3479</v>
      </c>
    </row>
    <row r="157" ht="57" customHeight="1" spans="1:8">
      <c r="A157" s="2" t="s">
        <v>373</v>
      </c>
      <c r="B157" s="2" t="s">
        <v>7</v>
      </c>
      <c r="C157" s="2" t="s">
        <v>1749</v>
      </c>
      <c r="D157" s="2" t="s">
        <v>3480</v>
      </c>
      <c r="E157" s="2" t="s">
        <v>3481</v>
      </c>
      <c r="F157" s="2" t="s">
        <v>7</v>
      </c>
      <c r="G157" s="2" t="s">
        <v>3444</v>
      </c>
      <c r="H157" s="2" t="s">
        <v>3482</v>
      </c>
    </row>
    <row r="158" ht="70.5" customHeight="1" spans="1:8">
      <c r="A158" s="13" t="s">
        <v>375</v>
      </c>
      <c r="B158" s="13" t="s">
        <v>11</v>
      </c>
      <c r="C158" s="13" t="s">
        <v>1765</v>
      </c>
      <c r="D158" s="13" t="s">
        <v>3483</v>
      </c>
      <c r="E158" s="13" t="s">
        <v>3484</v>
      </c>
      <c r="F158" s="13" t="s">
        <v>11</v>
      </c>
      <c r="G158" s="13" t="s">
        <v>3485</v>
      </c>
      <c r="H158" s="13" t="s">
        <v>3486</v>
      </c>
    </row>
    <row r="159" ht="57" customHeight="1" spans="1:8">
      <c r="A159" s="2" t="s">
        <v>377</v>
      </c>
      <c r="B159" s="2" t="s">
        <v>7</v>
      </c>
      <c r="C159" s="2" t="s">
        <v>1786</v>
      </c>
      <c r="D159" s="2" t="s">
        <v>3487</v>
      </c>
      <c r="E159" s="2" t="s">
        <v>3457</v>
      </c>
      <c r="F159" s="2" t="s">
        <v>7</v>
      </c>
      <c r="G159" s="2" t="s">
        <v>3444</v>
      </c>
      <c r="H159" s="2" t="s">
        <v>3488</v>
      </c>
    </row>
    <row r="160" ht="70.5" customHeight="1" spans="1:8">
      <c r="A160" s="4" t="s">
        <v>379</v>
      </c>
      <c r="B160" s="4" t="s">
        <v>7</v>
      </c>
      <c r="C160" s="4" t="s">
        <v>1802</v>
      </c>
      <c r="D160" s="4" t="s">
        <v>3489</v>
      </c>
      <c r="E160" s="4" t="s">
        <v>3443</v>
      </c>
      <c r="F160" s="4" t="s">
        <v>7</v>
      </c>
      <c r="G160" s="4" t="s">
        <v>3490</v>
      </c>
      <c r="H160" s="4" t="s">
        <v>3491</v>
      </c>
    </row>
    <row r="161" ht="70.5" customHeight="1" spans="1:8">
      <c r="A161" s="13" t="s">
        <v>381</v>
      </c>
      <c r="B161" s="13" t="s">
        <v>11</v>
      </c>
      <c r="C161" s="13" t="s">
        <v>1818</v>
      </c>
      <c r="D161" s="13" t="s">
        <v>3492</v>
      </c>
      <c r="E161" s="13" t="s">
        <v>3493</v>
      </c>
      <c r="F161" s="13" t="s">
        <v>8</v>
      </c>
      <c r="G161" s="13" t="s">
        <v>3494</v>
      </c>
      <c r="H161" s="13" t="s">
        <v>3495</v>
      </c>
    </row>
    <row r="162" ht="70.5" customHeight="1" spans="1:8">
      <c r="A162" s="13" t="s">
        <v>384</v>
      </c>
      <c r="B162" s="13" t="s">
        <v>11</v>
      </c>
      <c r="C162" s="13" t="s">
        <v>1834</v>
      </c>
      <c r="D162" s="13" t="s">
        <v>3496</v>
      </c>
      <c r="E162" s="13" t="s">
        <v>3497</v>
      </c>
      <c r="F162" s="13" t="s">
        <v>11</v>
      </c>
      <c r="G162" s="13" t="s">
        <v>3498</v>
      </c>
      <c r="H162" s="13" t="s">
        <v>3499</v>
      </c>
    </row>
    <row r="163" ht="70.5" customHeight="1" spans="1:8">
      <c r="A163" s="13" t="s">
        <v>386</v>
      </c>
      <c r="B163" s="13" t="s">
        <v>11</v>
      </c>
      <c r="C163" s="13" t="s">
        <v>1850</v>
      </c>
      <c r="D163" s="13" t="s">
        <v>3500</v>
      </c>
      <c r="E163" s="13" t="s">
        <v>3501</v>
      </c>
      <c r="F163" s="13" t="s">
        <v>11</v>
      </c>
      <c r="G163" s="13" t="s">
        <v>3502</v>
      </c>
      <c r="H163" s="13" t="s">
        <v>3503</v>
      </c>
    </row>
    <row r="164" ht="57" customHeight="1" spans="1:8">
      <c r="A164" s="4" t="s">
        <v>388</v>
      </c>
      <c r="B164" s="4" t="s">
        <v>8</v>
      </c>
      <c r="C164" s="4" t="s">
        <v>1864</v>
      </c>
      <c r="D164" s="4" t="s">
        <v>3504</v>
      </c>
      <c r="E164" s="4" t="s">
        <v>3443</v>
      </c>
      <c r="F164" s="4" t="s">
        <v>8</v>
      </c>
      <c r="G164" s="4" t="s">
        <v>3505</v>
      </c>
      <c r="H164" s="4" t="s">
        <v>3506</v>
      </c>
    </row>
    <row r="165" ht="70.5" customHeight="1" spans="1:8">
      <c r="A165" s="13" t="s">
        <v>391</v>
      </c>
      <c r="B165" s="13" t="s">
        <v>11</v>
      </c>
      <c r="C165" s="13" t="s">
        <v>1879</v>
      </c>
      <c r="D165" s="13" t="s">
        <v>3507</v>
      </c>
      <c r="E165" s="13" t="s">
        <v>3508</v>
      </c>
      <c r="F165" s="13" t="s">
        <v>11</v>
      </c>
      <c r="G165" s="13" t="s">
        <v>3509</v>
      </c>
      <c r="H165" s="13" t="s">
        <v>3510</v>
      </c>
    </row>
    <row r="166" ht="57" customHeight="1" spans="1:8">
      <c r="A166" s="4" t="s">
        <v>393</v>
      </c>
      <c r="B166" s="4" t="s">
        <v>7</v>
      </c>
      <c r="C166" s="4" t="s">
        <v>1895</v>
      </c>
      <c r="D166" s="4" t="s">
        <v>3511</v>
      </c>
      <c r="E166" s="4" t="s">
        <v>3443</v>
      </c>
      <c r="F166" s="4" t="s">
        <v>7</v>
      </c>
      <c r="G166" s="4" t="s">
        <v>3444</v>
      </c>
      <c r="H166" s="4" t="s">
        <v>3512</v>
      </c>
    </row>
    <row r="167" ht="57" customHeight="1" spans="1:8">
      <c r="A167" s="2" t="s">
        <v>395</v>
      </c>
      <c r="B167" s="2" t="s">
        <v>7</v>
      </c>
      <c r="C167" s="2" t="s">
        <v>1895</v>
      </c>
      <c r="D167" s="2" t="s">
        <v>3513</v>
      </c>
      <c r="E167" s="2" t="s">
        <v>3443</v>
      </c>
      <c r="F167" s="2" t="s">
        <v>7</v>
      </c>
      <c r="G167" s="2" t="s">
        <v>3444</v>
      </c>
      <c r="H167" s="2" t="s">
        <v>3514</v>
      </c>
    </row>
    <row r="168" ht="57" customHeight="1" spans="1:8">
      <c r="A168" s="13" t="s">
        <v>397</v>
      </c>
      <c r="B168" s="13" t="s">
        <v>11</v>
      </c>
      <c r="C168" s="13" t="s">
        <v>1929</v>
      </c>
      <c r="D168" s="13" t="s">
        <v>3515</v>
      </c>
      <c r="E168" s="13" t="s">
        <v>3516</v>
      </c>
      <c r="F168" s="13" t="s">
        <v>11</v>
      </c>
      <c r="G168" s="13" t="s">
        <v>3517</v>
      </c>
      <c r="H168" s="13" t="s">
        <v>3518</v>
      </c>
    </row>
    <row r="169" ht="70.5" customHeight="1" spans="1:8">
      <c r="A169" s="13" t="s">
        <v>399</v>
      </c>
      <c r="B169" s="13" t="s">
        <v>11</v>
      </c>
      <c r="C169" s="13" t="s">
        <v>1951</v>
      </c>
      <c r="D169" s="13" t="s">
        <v>3519</v>
      </c>
      <c r="E169" s="13" t="s">
        <v>3520</v>
      </c>
      <c r="F169" s="13" t="s">
        <v>11</v>
      </c>
      <c r="G169" s="13" t="s">
        <v>3521</v>
      </c>
      <c r="H169" s="13" t="s">
        <v>3522</v>
      </c>
    </row>
    <row r="170" ht="70.5" customHeight="1" spans="1:8">
      <c r="A170" s="13" t="s">
        <v>401</v>
      </c>
      <c r="B170" s="13" t="s">
        <v>11</v>
      </c>
      <c r="C170" s="13" t="s">
        <v>1967</v>
      </c>
      <c r="D170" s="13" t="s">
        <v>3523</v>
      </c>
      <c r="E170" s="13" t="s">
        <v>3524</v>
      </c>
      <c r="F170" s="13" t="s">
        <v>8</v>
      </c>
      <c r="G170" s="13" t="s">
        <v>3525</v>
      </c>
      <c r="H170" s="13" t="s">
        <v>3526</v>
      </c>
    </row>
    <row r="171" ht="70.5" customHeight="1" spans="1:8">
      <c r="A171" s="13" t="s">
        <v>404</v>
      </c>
      <c r="B171" s="13" t="s">
        <v>11</v>
      </c>
      <c r="C171" s="13" t="s">
        <v>1988</v>
      </c>
      <c r="D171" s="13" t="s">
        <v>3527</v>
      </c>
      <c r="E171" s="13" t="s">
        <v>3528</v>
      </c>
      <c r="F171" s="13" t="s">
        <v>11</v>
      </c>
      <c r="G171" s="13" t="s">
        <v>3529</v>
      </c>
      <c r="H171" s="13" t="s">
        <v>3530</v>
      </c>
    </row>
    <row r="172" ht="70.5" customHeight="1" spans="1:8">
      <c r="A172" s="13" t="s">
        <v>406</v>
      </c>
      <c r="B172" s="13" t="s">
        <v>11</v>
      </c>
      <c r="C172" s="13" t="s">
        <v>2005</v>
      </c>
      <c r="D172" s="13" t="s">
        <v>3531</v>
      </c>
      <c r="E172" s="13" t="s">
        <v>3532</v>
      </c>
      <c r="F172" s="13" t="s">
        <v>11</v>
      </c>
      <c r="G172" s="13" t="s">
        <v>3533</v>
      </c>
      <c r="H172" s="13" t="s">
        <v>3534</v>
      </c>
    </row>
    <row r="173" ht="198.75" customHeight="1" spans="1:8">
      <c r="A173" s="2" t="s">
        <v>408</v>
      </c>
      <c r="B173" s="2" t="s">
        <v>8</v>
      </c>
      <c r="C173" s="2" t="s">
        <v>2022</v>
      </c>
      <c r="D173" s="2" t="s">
        <v>3535</v>
      </c>
      <c r="E173" s="2" t="s">
        <v>3536</v>
      </c>
      <c r="F173" s="2" t="s">
        <v>8</v>
      </c>
      <c r="G173" s="2" t="s">
        <v>3537</v>
      </c>
      <c r="H173" s="2" t="s">
        <v>3538</v>
      </c>
    </row>
    <row r="174" ht="70.5" customHeight="1" spans="1:8">
      <c r="A174" s="13" t="s">
        <v>410</v>
      </c>
      <c r="B174" s="13" t="s">
        <v>11</v>
      </c>
      <c r="C174" s="13" t="s">
        <v>2043</v>
      </c>
      <c r="D174" s="13" t="s">
        <v>3539</v>
      </c>
      <c r="E174" s="13" t="s">
        <v>3536</v>
      </c>
      <c r="F174" s="13" t="s">
        <v>8</v>
      </c>
      <c r="G174" s="13" t="s">
        <v>3540</v>
      </c>
      <c r="H174" s="13" t="s">
        <v>3541</v>
      </c>
    </row>
    <row r="175" ht="70.5" customHeight="1" spans="1:8">
      <c r="A175" s="2" t="s">
        <v>413</v>
      </c>
      <c r="B175" s="2" t="s">
        <v>8</v>
      </c>
      <c r="C175" s="2" t="s">
        <v>2064</v>
      </c>
      <c r="D175" s="2" t="s">
        <v>3542</v>
      </c>
      <c r="E175" s="2" t="s">
        <v>3443</v>
      </c>
      <c r="F175" s="2" t="s">
        <v>8</v>
      </c>
      <c r="G175" s="2" t="s">
        <v>3444</v>
      </c>
      <c r="H175" s="2" t="s">
        <v>3543</v>
      </c>
    </row>
    <row r="176" ht="70.5" customHeight="1" spans="1:8">
      <c r="A176" s="13" t="s">
        <v>415</v>
      </c>
      <c r="B176" s="13" t="s">
        <v>11</v>
      </c>
      <c r="C176" s="13" t="s">
        <v>2088</v>
      </c>
      <c r="D176" s="13" t="s">
        <v>3544</v>
      </c>
      <c r="E176" s="13" t="s">
        <v>3516</v>
      </c>
      <c r="F176" s="13" t="s">
        <v>11</v>
      </c>
      <c r="G176" s="13" t="s">
        <v>3545</v>
      </c>
      <c r="H176" s="13" t="s">
        <v>3546</v>
      </c>
    </row>
    <row r="177" ht="57" customHeight="1" spans="1:8">
      <c r="A177" s="13" t="s">
        <v>417</v>
      </c>
      <c r="B177" s="13" t="s">
        <v>11</v>
      </c>
      <c r="C177" s="13" t="s">
        <v>2104</v>
      </c>
      <c r="D177" s="13" t="s">
        <v>3547</v>
      </c>
      <c r="E177" s="13" t="s">
        <v>3524</v>
      </c>
      <c r="F177" s="13" t="s">
        <v>11</v>
      </c>
      <c r="G177" s="13" t="s">
        <v>3548</v>
      </c>
      <c r="H177" s="13" t="s">
        <v>3549</v>
      </c>
    </row>
    <row r="178" ht="70.5" customHeight="1" spans="1:8">
      <c r="A178" s="13" t="s">
        <v>420</v>
      </c>
      <c r="B178" s="13" t="s">
        <v>11</v>
      </c>
      <c r="C178" s="13" t="s">
        <v>2120</v>
      </c>
      <c r="D178" s="13" t="s">
        <v>3550</v>
      </c>
      <c r="E178" s="13" t="s">
        <v>3467</v>
      </c>
      <c r="F178" s="13" t="s">
        <v>11</v>
      </c>
      <c r="G178" s="13" t="s">
        <v>3551</v>
      </c>
      <c r="H178" s="13" t="s">
        <v>3552</v>
      </c>
    </row>
    <row r="179" ht="127.5" customHeight="1" spans="1:8">
      <c r="A179" s="2" t="s">
        <v>422</v>
      </c>
      <c r="B179" s="2" t="s">
        <v>8</v>
      </c>
      <c r="C179" s="2" t="s">
        <v>2142</v>
      </c>
      <c r="D179" s="2" t="s">
        <v>3553</v>
      </c>
      <c r="E179" s="2" t="s">
        <v>3554</v>
      </c>
      <c r="F179" s="2" t="s">
        <v>8</v>
      </c>
      <c r="G179" s="2" t="s">
        <v>3555</v>
      </c>
      <c r="H179" s="2" t="s">
        <v>3556</v>
      </c>
    </row>
    <row r="180" ht="113.25" customHeight="1" spans="1:8">
      <c r="A180" s="13" t="s">
        <v>424</v>
      </c>
      <c r="B180" s="13" t="s">
        <v>11</v>
      </c>
      <c r="C180" s="13" t="s">
        <v>2158</v>
      </c>
      <c r="D180" s="13" t="s">
        <v>3557</v>
      </c>
      <c r="E180" s="13" t="s">
        <v>3558</v>
      </c>
      <c r="F180" s="13" t="s">
        <v>11</v>
      </c>
      <c r="G180" s="13" t="s">
        <v>3559</v>
      </c>
      <c r="H180" s="13" t="s">
        <v>3560</v>
      </c>
    </row>
    <row r="181" ht="57" customHeight="1" spans="1:8">
      <c r="A181" s="13" t="s">
        <v>427</v>
      </c>
      <c r="B181" s="13" t="s">
        <v>11</v>
      </c>
      <c r="C181" s="13" t="s">
        <v>2176</v>
      </c>
      <c r="D181" s="13" t="s">
        <v>3561</v>
      </c>
      <c r="E181" s="13" t="s">
        <v>3524</v>
      </c>
      <c r="F181" s="13" t="s">
        <v>11</v>
      </c>
      <c r="G181" s="13" t="s">
        <v>3562</v>
      </c>
      <c r="H181" s="13" t="s">
        <v>3563</v>
      </c>
    </row>
    <row r="182" ht="99" customHeight="1" spans="1:8">
      <c r="A182" s="4" t="s">
        <v>429</v>
      </c>
      <c r="B182" s="4" t="s">
        <v>7</v>
      </c>
      <c r="C182" s="4" t="s">
        <v>2197</v>
      </c>
      <c r="D182" s="4" t="s">
        <v>3564</v>
      </c>
      <c r="E182" s="4" t="s">
        <v>3443</v>
      </c>
      <c r="F182" s="4" t="s">
        <v>7</v>
      </c>
      <c r="G182" s="4" t="s">
        <v>3444</v>
      </c>
      <c r="H182" s="4" t="s">
        <v>3565</v>
      </c>
    </row>
    <row r="184" ht="38" customHeight="1" spans="1:8">
      <c r="A184" s="5" t="s">
        <v>3566</v>
      </c>
      <c r="B184" s="5" t="s">
        <v>3567</v>
      </c>
      <c r="C184" s="5" t="s">
        <v>3568</v>
      </c>
      <c r="D184" s="5" t="s">
        <v>3569</v>
      </c>
      <c r="E184" s="5" t="s">
        <v>54</v>
      </c>
      <c r="F184" s="5" t="s">
        <v>54</v>
      </c>
      <c r="G184" s="5" t="s">
        <v>54</v>
      </c>
      <c r="H184" s="5" t="s">
        <v>54</v>
      </c>
    </row>
    <row r="185" ht="51" customHeight="1" spans="1:8">
      <c r="A185" s="8" t="s">
        <v>3570</v>
      </c>
      <c r="B185" s="8" t="s">
        <v>2396</v>
      </c>
      <c r="C185" s="8" t="s">
        <v>3571</v>
      </c>
      <c r="D185" s="8" t="s">
        <v>3572</v>
      </c>
      <c r="E185" s="8" t="s">
        <v>54</v>
      </c>
      <c r="F185" s="8" t="s">
        <v>54</v>
      </c>
      <c r="G185" s="8" t="s">
        <v>54</v>
      </c>
      <c r="H185" s="8" t="s">
        <v>54</v>
      </c>
    </row>
    <row r="186" ht="51" customHeight="1" spans="1:8">
      <c r="A186" s="8" t="s">
        <v>3573</v>
      </c>
      <c r="B186" s="8" t="s">
        <v>3574</v>
      </c>
      <c r="C186" s="8" t="s">
        <v>3575</v>
      </c>
      <c r="D186" s="8" t="s">
        <v>3576</v>
      </c>
      <c r="E186" s="8" t="s">
        <v>54</v>
      </c>
      <c r="F186" s="8" t="s">
        <v>54</v>
      </c>
      <c r="G186" s="8" t="s">
        <v>54</v>
      </c>
      <c r="H186" s="8" t="s">
        <v>54</v>
      </c>
    </row>
    <row r="187" ht="51" customHeight="1" spans="1:8">
      <c r="A187" s="8" t="s">
        <v>3577</v>
      </c>
      <c r="B187" s="8" t="s">
        <v>3578</v>
      </c>
      <c r="C187" s="8" t="s">
        <v>3579</v>
      </c>
      <c r="D187" s="8" t="s">
        <v>3580</v>
      </c>
      <c r="E187" s="8" t="s">
        <v>54</v>
      </c>
      <c r="F187" s="8" t="s">
        <v>54</v>
      </c>
      <c r="G187" s="8" t="s">
        <v>54</v>
      </c>
      <c r="H187" s="8" t="s">
        <v>54</v>
      </c>
    </row>
    <row r="188" ht="51" customHeight="1" spans="1:8">
      <c r="A188" s="8" t="s">
        <v>3581</v>
      </c>
      <c r="B188" s="8" t="s">
        <v>3582</v>
      </c>
      <c r="C188" s="8" t="s">
        <v>3583</v>
      </c>
      <c r="D188" s="8" t="s">
        <v>3584</v>
      </c>
      <c r="E188" s="8" t="s">
        <v>54</v>
      </c>
      <c r="F188" s="8" t="s">
        <v>54</v>
      </c>
      <c r="G188" s="8" t="s">
        <v>54</v>
      </c>
      <c r="H188" s="8" t="s">
        <v>54</v>
      </c>
    </row>
    <row r="189" ht="51" customHeight="1" spans="1:8">
      <c r="A189" s="8" t="s">
        <v>3585</v>
      </c>
      <c r="B189" s="8" t="s">
        <v>3586</v>
      </c>
      <c r="C189" s="8" t="s">
        <v>3583</v>
      </c>
      <c r="D189" s="8" t="s">
        <v>3587</v>
      </c>
      <c r="E189" s="8" t="s">
        <v>54</v>
      </c>
      <c r="F189" s="8" t="s">
        <v>54</v>
      </c>
      <c r="G189" s="8" t="s">
        <v>54</v>
      </c>
      <c r="H189" s="8" t="s">
        <v>54</v>
      </c>
    </row>
    <row r="190" ht="77" customHeight="1" spans="1:8">
      <c r="A190" s="8" t="s">
        <v>3588</v>
      </c>
      <c r="B190" s="8" t="s">
        <v>3589</v>
      </c>
      <c r="C190" s="8" t="s">
        <v>3590</v>
      </c>
      <c r="D190" s="8" t="s">
        <v>3591</v>
      </c>
      <c r="E190" s="8" t="s">
        <v>54</v>
      </c>
      <c r="F190" s="8" t="s">
        <v>54</v>
      </c>
      <c r="G190" s="8" t="s">
        <v>54</v>
      </c>
      <c r="H190" s="8" t="s">
        <v>54</v>
      </c>
    </row>
    <row r="191" ht="77" customHeight="1" spans="1:8">
      <c r="A191" s="8" t="s">
        <v>3592</v>
      </c>
      <c r="B191" s="8" t="s">
        <v>3593</v>
      </c>
      <c r="C191" s="8" t="s">
        <v>3594</v>
      </c>
      <c r="D191" s="8" t="s">
        <v>3595</v>
      </c>
      <c r="E191" s="8" t="s">
        <v>54</v>
      </c>
      <c r="F191" s="8" t="s">
        <v>54</v>
      </c>
      <c r="G191" s="8" t="s">
        <v>54</v>
      </c>
      <c r="H191" s="8" t="s">
        <v>54</v>
      </c>
    </row>
    <row r="192" ht="64" customHeight="1" spans="1:8">
      <c r="A192" s="8" t="s">
        <v>3596</v>
      </c>
      <c r="B192" s="8" t="s">
        <v>3597</v>
      </c>
      <c r="C192" s="8" t="s">
        <v>3598</v>
      </c>
      <c r="D192" s="8" t="s">
        <v>3599</v>
      </c>
      <c r="E192" s="8" t="s">
        <v>54</v>
      </c>
      <c r="F192" s="8" t="s">
        <v>54</v>
      </c>
      <c r="G192" s="8" t="s">
        <v>54</v>
      </c>
      <c r="H192" s="8" t="s">
        <v>54</v>
      </c>
    </row>
    <row r="193" ht="77" customHeight="1" spans="1:8">
      <c r="A193" s="8" t="s">
        <v>3600</v>
      </c>
      <c r="B193" s="8" t="s">
        <v>3601</v>
      </c>
      <c r="C193" s="8" t="s">
        <v>3602</v>
      </c>
      <c r="D193" s="8" t="s">
        <v>3603</v>
      </c>
      <c r="E193" s="8" t="s">
        <v>54</v>
      </c>
      <c r="F193" s="8" t="s">
        <v>54</v>
      </c>
      <c r="G193" s="8" t="s">
        <v>54</v>
      </c>
      <c r="H193" s="8" t="s">
        <v>54</v>
      </c>
    </row>
    <row r="194" ht="77" customHeight="1" spans="1:8">
      <c r="A194" s="8" t="s">
        <v>3604</v>
      </c>
      <c r="B194" s="8" t="s">
        <v>3605</v>
      </c>
      <c r="C194" s="8" t="s">
        <v>3606</v>
      </c>
      <c r="D194" s="8" t="s">
        <v>3607</v>
      </c>
      <c r="E194" s="8" t="s">
        <v>54</v>
      </c>
      <c r="F194" s="8" t="s">
        <v>54</v>
      </c>
      <c r="G194" s="8" t="s">
        <v>54</v>
      </c>
      <c r="H194" s="8" t="s">
        <v>54</v>
      </c>
    </row>
    <row r="195" ht="90" customHeight="1" spans="1:8">
      <c r="A195" s="8" t="s">
        <v>3608</v>
      </c>
      <c r="B195" s="8" t="s">
        <v>3609</v>
      </c>
      <c r="C195" s="8" t="s">
        <v>3610</v>
      </c>
      <c r="D195" s="8" t="s">
        <v>3611</v>
      </c>
      <c r="E195" s="8" t="s">
        <v>54</v>
      </c>
      <c r="F195" s="8" t="s">
        <v>54</v>
      </c>
      <c r="G195" s="8" t="s">
        <v>54</v>
      </c>
      <c r="H195" s="8" t="s">
        <v>54</v>
      </c>
    </row>
    <row r="196" ht="38" customHeight="1" spans="1:8">
      <c r="A196" s="8" t="s">
        <v>3612</v>
      </c>
      <c r="B196" s="8" t="s">
        <v>3613</v>
      </c>
      <c r="C196" s="8" t="s">
        <v>3614</v>
      </c>
      <c r="D196" s="8" t="s">
        <v>3615</v>
      </c>
      <c r="E196" s="8" t="s">
        <v>3616</v>
      </c>
      <c r="F196" s="8" t="s">
        <v>3617</v>
      </c>
      <c r="G196" s="8" t="s">
        <v>2246</v>
      </c>
      <c r="H196" s="8" t="s">
        <v>3618</v>
      </c>
    </row>
    <row r="197" ht="64" customHeight="1" spans="1:8">
      <c r="A197" s="8" t="s">
        <v>3619</v>
      </c>
      <c r="B197" s="8" t="s">
        <v>3620</v>
      </c>
      <c r="C197" s="8" t="s">
        <v>2393</v>
      </c>
      <c r="D197" s="8" t="s">
        <v>3621</v>
      </c>
      <c r="E197" s="8" t="s">
        <v>3622</v>
      </c>
      <c r="F197" s="8" t="s">
        <v>54</v>
      </c>
      <c r="G197" s="8" t="s">
        <v>3623</v>
      </c>
      <c r="H197" s="8" t="s">
        <v>3624</v>
      </c>
    </row>
    <row r="198" ht="64" customHeight="1" spans="1:8">
      <c r="A198" s="8" t="s">
        <v>3625</v>
      </c>
      <c r="B198" s="8" t="s">
        <v>3626</v>
      </c>
      <c r="C198" s="8" t="s">
        <v>2393</v>
      </c>
      <c r="D198" s="8" t="s">
        <v>3627</v>
      </c>
      <c r="E198" s="8" t="s">
        <v>3622</v>
      </c>
      <c r="F198" s="8" t="s">
        <v>54</v>
      </c>
      <c r="G198" s="8" t="s">
        <v>3623</v>
      </c>
      <c r="H198" s="8" t="s">
        <v>3624</v>
      </c>
    </row>
    <row r="199" ht="77" customHeight="1" spans="1:8">
      <c r="A199" s="8" t="s">
        <v>3628</v>
      </c>
      <c r="B199" s="8" t="s">
        <v>3629</v>
      </c>
      <c r="C199" s="8" t="s">
        <v>2393</v>
      </c>
      <c r="D199" s="8" t="s">
        <v>3630</v>
      </c>
      <c r="E199" s="8" t="s">
        <v>3622</v>
      </c>
      <c r="F199" s="8" t="s">
        <v>54</v>
      </c>
      <c r="G199" s="8" t="s">
        <v>3623</v>
      </c>
      <c r="H199" s="8" t="s">
        <v>3624</v>
      </c>
    </row>
    <row r="200" ht="77" customHeight="1" spans="1:8">
      <c r="A200" s="8" t="s">
        <v>3631</v>
      </c>
      <c r="B200" s="8" t="s">
        <v>3632</v>
      </c>
      <c r="C200" s="8" t="s">
        <v>2285</v>
      </c>
      <c r="D200" s="8" t="s">
        <v>3633</v>
      </c>
      <c r="E200" s="8" t="s">
        <v>3622</v>
      </c>
      <c r="F200" s="8" t="s">
        <v>54</v>
      </c>
      <c r="G200" s="8" t="s">
        <v>3623</v>
      </c>
      <c r="H200" s="8" t="s">
        <v>3624</v>
      </c>
    </row>
    <row r="201" ht="77" customHeight="1" spans="1:8">
      <c r="A201" s="8" t="s">
        <v>3634</v>
      </c>
      <c r="B201" s="8" t="s">
        <v>3635</v>
      </c>
      <c r="C201" s="8" t="s">
        <v>2393</v>
      </c>
      <c r="D201" s="8" t="s">
        <v>3636</v>
      </c>
      <c r="E201" s="8" t="s">
        <v>3622</v>
      </c>
      <c r="F201" s="8" t="s">
        <v>54</v>
      </c>
      <c r="G201" s="8" t="s">
        <v>3623</v>
      </c>
      <c r="H201" s="8" t="s">
        <v>3624</v>
      </c>
    </row>
    <row r="202" ht="64" customHeight="1" spans="1:8">
      <c r="A202" s="8" t="s">
        <v>3637</v>
      </c>
      <c r="B202" s="8" t="s">
        <v>3638</v>
      </c>
      <c r="C202" s="8" t="s">
        <v>2393</v>
      </c>
      <c r="D202" s="8" t="s">
        <v>3639</v>
      </c>
      <c r="E202" s="8" t="s">
        <v>3622</v>
      </c>
      <c r="F202" s="8" t="s">
        <v>54</v>
      </c>
      <c r="G202" s="8" t="s">
        <v>3623</v>
      </c>
      <c r="H202" s="8" t="s">
        <v>3624</v>
      </c>
    </row>
    <row r="203" ht="64" customHeight="1" spans="1:8">
      <c r="A203" s="8" t="s">
        <v>3640</v>
      </c>
      <c r="B203" s="8" t="s">
        <v>3641</v>
      </c>
      <c r="C203" s="8" t="s">
        <v>2393</v>
      </c>
      <c r="D203" s="8" t="s">
        <v>3642</v>
      </c>
      <c r="E203" s="8" t="s">
        <v>3622</v>
      </c>
      <c r="F203" s="8" t="s">
        <v>54</v>
      </c>
      <c r="G203" s="8" t="s">
        <v>3623</v>
      </c>
      <c r="H203" s="8" t="s">
        <v>3624</v>
      </c>
    </row>
    <row r="204" ht="77" customHeight="1" spans="1:8">
      <c r="A204" s="8" t="s">
        <v>3643</v>
      </c>
      <c r="B204" s="8" t="s">
        <v>3644</v>
      </c>
      <c r="C204" s="8" t="s">
        <v>2285</v>
      </c>
      <c r="D204" s="8" t="s">
        <v>3645</v>
      </c>
      <c r="E204" s="8" t="s">
        <v>3622</v>
      </c>
      <c r="F204" s="8" t="s">
        <v>54</v>
      </c>
      <c r="G204" s="8" t="s">
        <v>3623</v>
      </c>
      <c r="H204" s="8" t="s">
        <v>3624</v>
      </c>
    </row>
    <row r="205" ht="77" customHeight="1" spans="1:8">
      <c r="A205" s="8" t="s">
        <v>204</v>
      </c>
      <c r="B205" s="8" t="s">
        <v>3646</v>
      </c>
      <c r="C205" s="8" t="s">
        <v>2285</v>
      </c>
      <c r="D205" s="8" t="s">
        <v>3647</v>
      </c>
      <c r="E205" s="8" t="s">
        <v>3622</v>
      </c>
      <c r="F205" s="8" t="s">
        <v>54</v>
      </c>
      <c r="G205" s="8" t="s">
        <v>3623</v>
      </c>
      <c r="H205" s="8" t="s">
        <v>3624</v>
      </c>
    </row>
    <row r="206" ht="64" customHeight="1" spans="1:8">
      <c r="A206" s="8" t="s">
        <v>209</v>
      </c>
      <c r="B206" s="8" t="s">
        <v>3648</v>
      </c>
      <c r="C206" s="8" t="s">
        <v>2393</v>
      </c>
      <c r="D206" s="8" t="s">
        <v>3649</v>
      </c>
      <c r="E206" s="8" t="s">
        <v>3622</v>
      </c>
      <c r="F206" s="8" t="s">
        <v>54</v>
      </c>
      <c r="G206" s="8" t="s">
        <v>3623</v>
      </c>
      <c r="H206" s="8" t="s">
        <v>3624</v>
      </c>
    </row>
    <row r="207" ht="64" customHeight="1" spans="1:8">
      <c r="A207" s="8" t="s">
        <v>214</v>
      </c>
      <c r="B207" s="8" t="s">
        <v>3650</v>
      </c>
      <c r="C207" s="8" t="s">
        <v>2393</v>
      </c>
      <c r="D207" s="8" t="s">
        <v>3651</v>
      </c>
      <c r="E207" s="8" t="s">
        <v>3622</v>
      </c>
      <c r="F207" s="8" t="s">
        <v>54</v>
      </c>
      <c r="G207" s="8" t="s">
        <v>3623</v>
      </c>
      <c r="H207" s="8" t="s">
        <v>3624</v>
      </c>
    </row>
    <row r="208" ht="77" customHeight="1" spans="1:8">
      <c r="A208" s="8" t="s">
        <v>219</v>
      </c>
      <c r="B208" s="8" t="s">
        <v>3652</v>
      </c>
      <c r="C208" s="8" t="s">
        <v>2393</v>
      </c>
      <c r="D208" s="8" t="s">
        <v>3653</v>
      </c>
      <c r="E208" s="8" t="s">
        <v>3622</v>
      </c>
      <c r="F208" s="8" t="s">
        <v>54</v>
      </c>
      <c r="G208" s="8" t="s">
        <v>3623</v>
      </c>
      <c r="H208" s="8" t="s">
        <v>3624</v>
      </c>
    </row>
    <row r="209" ht="77" customHeight="1" spans="1:8">
      <c r="A209" s="8" t="s">
        <v>224</v>
      </c>
      <c r="B209" s="8" t="s">
        <v>3654</v>
      </c>
      <c r="C209" s="8" t="s">
        <v>2393</v>
      </c>
      <c r="D209" s="8" t="s">
        <v>3655</v>
      </c>
      <c r="E209" s="8" t="s">
        <v>3622</v>
      </c>
      <c r="F209" s="8" t="s">
        <v>54</v>
      </c>
      <c r="G209" s="8" t="s">
        <v>3623</v>
      </c>
      <c r="H209" s="8" t="s">
        <v>3624</v>
      </c>
    </row>
    <row r="210" ht="77" customHeight="1" spans="1:8">
      <c r="A210" s="8" t="s">
        <v>229</v>
      </c>
      <c r="B210" s="8" t="s">
        <v>3656</v>
      </c>
      <c r="C210" s="8" t="s">
        <v>2393</v>
      </c>
      <c r="D210" s="8" t="s">
        <v>3657</v>
      </c>
      <c r="E210" s="8" t="s">
        <v>3622</v>
      </c>
      <c r="F210" s="8" t="s">
        <v>54</v>
      </c>
      <c r="G210" s="8" t="s">
        <v>3623</v>
      </c>
      <c r="H210" s="8" t="s">
        <v>3624</v>
      </c>
    </row>
    <row r="211" ht="77" customHeight="1" spans="1:8">
      <c r="A211" s="8" t="s">
        <v>234</v>
      </c>
      <c r="B211" s="8" t="s">
        <v>3658</v>
      </c>
      <c r="C211" s="8" t="s">
        <v>2393</v>
      </c>
      <c r="D211" s="8" t="s">
        <v>3659</v>
      </c>
      <c r="E211" s="8" t="s">
        <v>3622</v>
      </c>
      <c r="F211" s="8" t="s">
        <v>54</v>
      </c>
      <c r="G211" s="8" t="s">
        <v>3623</v>
      </c>
      <c r="H211" s="8" t="s">
        <v>3624</v>
      </c>
    </row>
    <row r="212" ht="90" customHeight="1" spans="1:8">
      <c r="A212" s="8" t="s">
        <v>239</v>
      </c>
      <c r="B212" s="8" t="s">
        <v>3660</v>
      </c>
      <c r="C212" s="8" t="s">
        <v>2285</v>
      </c>
      <c r="D212" s="8" t="s">
        <v>3661</v>
      </c>
      <c r="E212" s="8" t="s">
        <v>3622</v>
      </c>
      <c r="F212" s="8" t="s">
        <v>54</v>
      </c>
      <c r="G212" s="8" t="s">
        <v>3623</v>
      </c>
      <c r="H212" s="8" t="s">
        <v>3624</v>
      </c>
    </row>
    <row r="213" ht="64" customHeight="1" spans="1:8">
      <c r="A213" s="8" t="s">
        <v>244</v>
      </c>
      <c r="B213" s="8" t="s">
        <v>3662</v>
      </c>
      <c r="C213" s="8" t="s">
        <v>2285</v>
      </c>
      <c r="D213" s="8" t="s">
        <v>3663</v>
      </c>
      <c r="E213" s="8" t="s">
        <v>3622</v>
      </c>
      <c r="F213" s="8" t="s">
        <v>54</v>
      </c>
      <c r="G213" s="8" t="s">
        <v>3623</v>
      </c>
      <c r="H213" s="8" t="s">
        <v>3624</v>
      </c>
    </row>
    <row r="214" ht="103" customHeight="1" spans="1:8">
      <c r="A214" s="8" t="s">
        <v>249</v>
      </c>
      <c r="B214" s="8" t="s">
        <v>3664</v>
      </c>
      <c r="C214" s="8" t="s">
        <v>2393</v>
      </c>
      <c r="D214" s="8" t="s">
        <v>3665</v>
      </c>
      <c r="E214" s="8" t="s">
        <v>3622</v>
      </c>
      <c r="F214" s="8" t="s">
        <v>54</v>
      </c>
      <c r="G214" s="8" t="s">
        <v>3623</v>
      </c>
      <c r="H214" s="8" t="s">
        <v>3624</v>
      </c>
    </row>
    <row r="215" ht="77" customHeight="1" spans="1:8">
      <c r="A215" s="8" t="s">
        <v>254</v>
      </c>
      <c r="B215" s="8" t="s">
        <v>3666</v>
      </c>
      <c r="C215" s="8" t="s">
        <v>2285</v>
      </c>
      <c r="D215" s="8" t="s">
        <v>3667</v>
      </c>
      <c r="E215" s="8" t="s">
        <v>3622</v>
      </c>
      <c r="F215" s="8" t="s">
        <v>54</v>
      </c>
      <c r="G215" s="8" t="s">
        <v>3623</v>
      </c>
      <c r="H215" s="8" t="s">
        <v>3624</v>
      </c>
    </row>
    <row r="216" ht="64" customHeight="1" spans="1:8">
      <c r="A216" s="8" t="s">
        <v>259</v>
      </c>
      <c r="B216" s="8" t="s">
        <v>3668</v>
      </c>
      <c r="C216" s="8" t="s">
        <v>2285</v>
      </c>
      <c r="D216" s="8" t="s">
        <v>3669</v>
      </c>
      <c r="E216" s="8" t="s">
        <v>3622</v>
      </c>
      <c r="F216" s="8" t="s">
        <v>54</v>
      </c>
      <c r="G216" s="8" t="s">
        <v>3623</v>
      </c>
      <c r="H216" s="8" t="s">
        <v>3624</v>
      </c>
    </row>
    <row r="217" ht="77" customHeight="1" spans="1:8">
      <c r="A217" s="8" t="s">
        <v>264</v>
      </c>
      <c r="B217" s="8" t="s">
        <v>3670</v>
      </c>
      <c r="C217" s="8" t="s">
        <v>2393</v>
      </c>
      <c r="D217" s="8" t="s">
        <v>3671</v>
      </c>
      <c r="E217" s="8" t="s">
        <v>3622</v>
      </c>
      <c r="F217" s="8" t="s">
        <v>54</v>
      </c>
      <c r="G217" s="8" t="s">
        <v>3623</v>
      </c>
      <c r="H217" s="8" t="s">
        <v>3624</v>
      </c>
    </row>
    <row r="218" ht="77" customHeight="1" spans="1:8">
      <c r="A218" s="8" t="s">
        <v>269</v>
      </c>
      <c r="B218" s="8" t="s">
        <v>3672</v>
      </c>
      <c r="C218" s="8" t="s">
        <v>2393</v>
      </c>
      <c r="D218" s="8" t="s">
        <v>3673</v>
      </c>
      <c r="E218" s="8" t="s">
        <v>3622</v>
      </c>
      <c r="F218" s="8" t="s">
        <v>54</v>
      </c>
      <c r="G218" s="8" t="s">
        <v>3623</v>
      </c>
      <c r="H218" s="8" t="s">
        <v>3624</v>
      </c>
    </row>
    <row r="219" ht="90" customHeight="1" spans="1:8">
      <c r="A219" s="8" t="s">
        <v>274</v>
      </c>
      <c r="B219" s="8" t="s">
        <v>3674</v>
      </c>
      <c r="C219" s="8" t="s">
        <v>2285</v>
      </c>
      <c r="D219" s="8" t="s">
        <v>3675</v>
      </c>
      <c r="E219" s="8" t="s">
        <v>3622</v>
      </c>
      <c r="F219" s="8" t="s">
        <v>54</v>
      </c>
      <c r="G219" s="8" t="s">
        <v>3623</v>
      </c>
      <c r="H219" s="8" t="s">
        <v>3624</v>
      </c>
    </row>
    <row r="220" ht="77" customHeight="1" spans="1:8">
      <c r="A220" s="8" t="s">
        <v>279</v>
      </c>
      <c r="B220" s="8" t="s">
        <v>3676</v>
      </c>
      <c r="C220" s="8" t="s">
        <v>2285</v>
      </c>
      <c r="D220" s="8" t="s">
        <v>3677</v>
      </c>
      <c r="E220" s="8" t="s">
        <v>3622</v>
      </c>
      <c r="F220" s="8" t="s">
        <v>54</v>
      </c>
      <c r="G220" s="8" t="s">
        <v>3623</v>
      </c>
      <c r="H220" s="8" t="s">
        <v>3624</v>
      </c>
    </row>
    <row r="221" ht="64" customHeight="1" spans="1:8">
      <c r="A221" s="8" t="s">
        <v>284</v>
      </c>
      <c r="B221" s="8" t="s">
        <v>3678</v>
      </c>
      <c r="C221" s="8" t="s">
        <v>2393</v>
      </c>
      <c r="D221" s="8" t="s">
        <v>3679</v>
      </c>
      <c r="E221" s="8" t="s">
        <v>3622</v>
      </c>
      <c r="F221" s="8" t="s">
        <v>54</v>
      </c>
      <c r="G221" s="8" t="s">
        <v>3623</v>
      </c>
      <c r="H221" s="8" t="s">
        <v>3624</v>
      </c>
    </row>
    <row r="222" ht="77" customHeight="1" spans="1:8">
      <c r="A222" s="8" t="s">
        <v>289</v>
      </c>
      <c r="B222" s="8" t="s">
        <v>3680</v>
      </c>
      <c r="C222" s="8" t="s">
        <v>2393</v>
      </c>
      <c r="D222" s="8" t="s">
        <v>3681</v>
      </c>
      <c r="E222" s="8" t="s">
        <v>3622</v>
      </c>
      <c r="F222" s="8" t="s">
        <v>54</v>
      </c>
      <c r="G222" s="8" t="s">
        <v>3623</v>
      </c>
      <c r="H222" s="8" t="s">
        <v>3624</v>
      </c>
    </row>
    <row r="223" ht="77" customHeight="1" spans="1:8">
      <c r="A223" s="8" t="s">
        <v>294</v>
      </c>
      <c r="B223" s="8" t="s">
        <v>3682</v>
      </c>
      <c r="C223" s="8" t="s">
        <v>2393</v>
      </c>
      <c r="D223" s="8" t="s">
        <v>3683</v>
      </c>
      <c r="E223" s="8" t="s">
        <v>3622</v>
      </c>
      <c r="F223" s="8" t="s">
        <v>54</v>
      </c>
      <c r="G223" s="8" t="s">
        <v>3623</v>
      </c>
      <c r="H223" s="8" t="s">
        <v>3624</v>
      </c>
    </row>
    <row r="224" ht="77" customHeight="1" spans="1:8">
      <c r="A224" s="8" t="s">
        <v>299</v>
      </c>
      <c r="B224" s="8" t="s">
        <v>3684</v>
      </c>
      <c r="C224" s="8" t="s">
        <v>2285</v>
      </c>
      <c r="D224" s="8" t="s">
        <v>3685</v>
      </c>
      <c r="E224" s="8" t="s">
        <v>3622</v>
      </c>
      <c r="F224" s="8" t="s">
        <v>54</v>
      </c>
      <c r="G224" s="8" t="s">
        <v>3623</v>
      </c>
      <c r="H224" s="8" t="s">
        <v>3624</v>
      </c>
    </row>
    <row r="225" ht="64" customHeight="1" spans="1:8">
      <c r="A225" s="8" t="s">
        <v>48</v>
      </c>
      <c r="B225" s="8" t="s">
        <v>3686</v>
      </c>
      <c r="C225" s="8" t="s">
        <v>2393</v>
      </c>
      <c r="D225" s="8" t="s">
        <v>3687</v>
      </c>
      <c r="E225" s="8" t="s">
        <v>3688</v>
      </c>
      <c r="F225" s="8" t="s">
        <v>3689</v>
      </c>
      <c r="G225" s="8" t="s">
        <v>3690</v>
      </c>
      <c r="H225" s="8" t="s">
        <v>3691</v>
      </c>
    </row>
    <row r="226" ht="77" customHeight="1" spans="1:8">
      <c r="A226" s="8" t="s">
        <v>62</v>
      </c>
      <c r="B226" s="8" t="s">
        <v>3692</v>
      </c>
      <c r="C226" s="8" t="s">
        <v>2393</v>
      </c>
      <c r="D226" s="8" t="s">
        <v>3693</v>
      </c>
      <c r="E226" s="8" t="s">
        <v>3688</v>
      </c>
      <c r="F226" s="8" t="s">
        <v>3694</v>
      </c>
      <c r="G226" s="8" t="s">
        <v>3690</v>
      </c>
      <c r="H226" s="8" t="s">
        <v>3691</v>
      </c>
    </row>
    <row r="227" ht="64" customHeight="1" spans="1:8">
      <c r="A227" s="8" t="s">
        <v>304</v>
      </c>
      <c r="B227" s="8" t="s">
        <v>3695</v>
      </c>
      <c r="C227" s="8" t="s">
        <v>2285</v>
      </c>
      <c r="D227" s="8" t="s">
        <v>3696</v>
      </c>
      <c r="E227" s="8" t="s">
        <v>3622</v>
      </c>
      <c r="F227" s="8" t="s">
        <v>54</v>
      </c>
      <c r="G227" s="8" t="s">
        <v>3623</v>
      </c>
      <c r="H227" s="8" t="s">
        <v>3624</v>
      </c>
    </row>
    <row r="228" ht="64" customHeight="1" spans="1:8">
      <c r="A228" s="8" t="s">
        <v>309</v>
      </c>
      <c r="B228" s="8" t="s">
        <v>3697</v>
      </c>
      <c r="C228" s="8" t="s">
        <v>2393</v>
      </c>
      <c r="D228" s="8" t="s">
        <v>3698</v>
      </c>
      <c r="E228" s="8" t="s">
        <v>3622</v>
      </c>
      <c r="F228" s="8" t="s">
        <v>54</v>
      </c>
      <c r="G228" s="8" t="s">
        <v>3623</v>
      </c>
      <c r="H228" s="8" t="s">
        <v>3624</v>
      </c>
    </row>
    <row r="229" ht="64" customHeight="1" spans="1:8">
      <c r="A229" s="8" t="s">
        <v>314</v>
      </c>
      <c r="B229" s="8" t="s">
        <v>3699</v>
      </c>
      <c r="C229" s="8" t="s">
        <v>2393</v>
      </c>
      <c r="D229" s="8" t="s">
        <v>3700</v>
      </c>
      <c r="E229" s="8" t="s">
        <v>3622</v>
      </c>
      <c r="F229" s="8" t="s">
        <v>54</v>
      </c>
      <c r="G229" s="8" t="s">
        <v>3623</v>
      </c>
      <c r="H229" s="8" t="s">
        <v>3624</v>
      </c>
    </row>
    <row r="230" ht="64" customHeight="1" spans="1:8">
      <c r="A230" s="8" t="s">
        <v>319</v>
      </c>
      <c r="B230" s="8" t="s">
        <v>3701</v>
      </c>
      <c r="C230" s="8" t="s">
        <v>2393</v>
      </c>
      <c r="D230" s="8" t="s">
        <v>3702</v>
      </c>
      <c r="E230" s="8" t="s">
        <v>3622</v>
      </c>
      <c r="F230" s="8" t="s">
        <v>54</v>
      </c>
      <c r="G230" s="8" t="s">
        <v>3623</v>
      </c>
      <c r="H230" s="8" t="s">
        <v>3624</v>
      </c>
    </row>
    <row r="231" ht="77" customHeight="1" spans="1:8">
      <c r="A231" s="8" t="s">
        <v>71</v>
      </c>
      <c r="B231" s="8" t="s">
        <v>3703</v>
      </c>
      <c r="C231" s="8" t="s">
        <v>2393</v>
      </c>
      <c r="D231" s="8" t="s">
        <v>3704</v>
      </c>
      <c r="E231" s="8" t="s">
        <v>3688</v>
      </c>
      <c r="F231" s="8" t="s">
        <v>3705</v>
      </c>
      <c r="G231" s="8" t="s">
        <v>3690</v>
      </c>
      <c r="H231" s="8" t="s">
        <v>3691</v>
      </c>
    </row>
    <row r="232" ht="64" customHeight="1" spans="1:8">
      <c r="A232" s="8" t="s">
        <v>324</v>
      </c>
      <c r="B232" s="8" t="s">
        <v>3706</v>
      </c>
      <c r="C232" s="8" t="s">
        <v>2285</v>
      </c>
      <c r="D232" s="8" t="s">
        <v>3707</v>
      </c>
      <c r="E232" s="8" t="s">
        <v>3622</v>
      </c>
      <c r="F232" s="8" t="s">
        <v>54</v>
      </c>
      <c r="G232" s="8" t="s">
        <v>3623</v>
      </c>
      <c r="H232" s="8" t="s">
        <v>3624</v>
      </c>
    </row>
    <row r="233" ht="64" customHeight="1" spans="1:8">
      <c r="A233" s="8" t="s">
        <v>329</v>
      </c>
      <c r="B233" s="8" t="s">
        <v>3708</v>
      </c>
      <c r="C233" s="8" t="s">
        <v>2285</v>
      </c>
      <c r="D233" s="8" t="s">
        <v>3709</v>
      </c>
      <c r="E233" s="8" t="s">
        <v>3622</v>
      </c>
      <c r="F233" s="8" t="s">
        <v>54</v>
      </c>
      <c r="G233" s="8" t="s">
        <v>3623</v>
      </c>
      <c r="H233" s="8" t="s">
        <v>3624</v>
      </c>
    </row>
    <row r="234" ht="64" customHeight="1" spans="1:8">
      <c r="A234" s="8" t="s">
        <v>334</v>
      </c>
      <c r="B234" s="8" t="s">
        <v>3710</v>
      </c>
      <c r="C234" s="8" t="s">
        <v>2285</v>
      </c>
      <c r="D234" s="8" t="s">
        <v>3711</v>
      </c>
      <c r="E234" s="8" t="s">
        <v>3622</v>
      </c>
      <c r="F234" s="8" t="s">
        <v>54</v>
      </c>
      <c r="G234" s="8" t="s">
        <v>3623</v>
      </c>
      <c r="H234" s="8" t="s">
        <v>3624</v>
      </c>
    </row>
    <row r="236" ht="38" customHeight="1" spans="1:8">
      <c r="A236" s="5" t="s">
        <v>3712</v>
      </c>
      <c r="B236" s="5" t="s">
        <v>3713</v>
      </c>
      <c r="C236" s="5" t="s">
        <v>3714</v>
      </c>
      <c r="D236" s="5" t="s">
        <v>3715</v>
      </c>
    </row>
    <row r="237" ht="64" customHeight="1" spans="1:8">
      <c r="A237" s="8" t="s">
        <v>3716</v>
      </c>
      <c r="B237" s="8" t="s">
        <v>3717</v>
      </c>
      <c r="C237" s="8" t="s">
        <v>3718</v>
      </c>
      <c r="D237" s="8" t="s">
        <v>3719</v>
      </c>
    </row>
    <row r="238" ht="38" customHeight="1" spans="1:8">
      <c r="A238" s="8" t="s">
        <v>3720</v>
      </c>
      <c r="B238" s="8">
        <f>SUM(B239:B241)</f>
        <v>31</v>
      </c>
      <c r="C238" s="8" t="s">
        <v>3721</v>
      </c>
      <c r="D238" s="8" t="s">
        <v>3722</v>
      </c>
    </row>
    <row r="239" ht="25" customHeight="1" spans="1:8">
      <c r="A239" s="14" t="s">
        <v>7</v>
      </c>
      <c r="B239" s="8">
        <f>COUNTIFS(业务UI与交互用例!N2:N102,"通过")</f>
        <v>4</v>
      </c>
      <c r="C239" s="8" t="s">
        <v>3723</v>
      </c>
      <c r="D239" s="8" t="s">
        <v>3724</v>
      </c>
    </row>
    <row r="240" ht="38" customHeight="1" spans="1:8">
      <c r="A240" s="14" t="s">
        <v>8</v>
      </c>
      <c r="B240" s="8">
        <f>COUNTIFS(业务UI与交互用例!N2:N102,"不通过")</f>
        <v>23</v>
      </c>
      <c r="C240" s="8" t="s">
        <v>3723</v>
      </c>
      <c r="D240" s="8" t="s">
        <v>3725</v>
      </c>
    </row>
    <row r="241" ht="38" customHeight="1" spans="1:4">
      <c r="A241" s="14" t="s">
        <v>11</v>
      </c>
      <c r="B241" s="8">
        <f>COUNTIFS(业务UI与交互用例!N2:N102,"受阻")</f>
        <v>4</v>
      </c>
      <c r="C241" s="8" t="s">
        <v>3723</v>
      </c>
      <c r="D241" s="8" t="s">
        <v>3726</v>
      </c>
    </row>
    <row r="242" ht="38" customHeight="1" spans="1:4">
      <c r="A242" s="8" t="s">
        <v>162</v>
      </c>
      <c r="B242" s="8">
        <f>COUNTIFS(业务UI与交互用例!N2:N102,"未执行")</f>
        <v>70</v>
      </c>
      <c r="C242" s="8" t="s">
        <v>3723</v>
      </c>
      <c r="D242" s="8" t="s">
        <v>3727</v>
      </c>
    </row>
    <row r="243" ht="38" customHeight="1" spans="1:4">
      <c r="A243" s="8" t="s">
        <v>3728</v>
      </c>
      <c r="B243" s="8">
        <f>SUM(B239:B242)</f>
        <v>101</v>
      </c>
      <c r="C243" s="8" t="s">
        <v>3729</v>
      </c>
      <c r="D243" s="8" t="s">
        <v>3730</v>
      </c>
    </row>
    <row r="244" ht="51" customHeight="1" spans="1:4">
      <c r="A244" s="8" t="s">
        <v>3731</v>
      </c>
      <c r="B244" s="8" t="s">
        <v>3732</v>
      </c>
      <c r="C244" s="8" t="s">
        <v>3733</v>
      </c>
      <c r="D244" s="8" t="s">
        <v>3734</v>
      </c>
    </row>
    <row r="245" ht="64" customHeight="1" spans="1:4">
      <c r="A245" s="8" t="s">
        <v>3735</v>
      </c>
      <c r="B245" s="8" t="s">
        <v>3736</v>
      </c>
      <c r="C245" s="8" t="s">
        <v>3737</v>
      </c>
      <c r="D245" s="8" t="s">
        <v>3738</v>
      </c>
    </row>
    <row r="246" ht="51" customHeight="1" spans="1:4">
      <c r="A246" s="8" t="s">
        <v>3739</v>
      </c>
      <c r="B246" s="8" t="s">
        <v>3740</v>
      </c>
      <c r="C246" s="8" t="s">
        <v>3741</v>
      </c>
      <c r="D246" s="8" t="s">
        <v>3742</v>
      </c>
    </row>
    <row r="247" ht="64" customHeight="1" spans="1:4">
      <c r="A247" s="8" t="s">
        <v>27</v>
      </c>
      <c r="B247" s="8" t="s">
        <v>3743</v>
      </c>
      <c r="C247" s="8" t="s">
        <v>3744</v>
      </c>
      <c r="D247" s="8" t="s">
        <v>3745</v>
      </c>
    </row>
    <row r="248" ht="64" customHeight="1" spans="1:4">
      <c r="A248" s="8" t="s">
        <v>3746</v>
      </c>
      <c r="B248" s="8" t="s">
        <v>3747</v>
      </c>
      <c r="C248" s="8" t="s">
        <v>3748</v>
      </c>
      <c r="D248" s="8" t="s">
        <v>3749</v>
      </c>
    </row>
  </sheetData>
  <mergeCells count="24"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  <mergeCell ref="A127:H127"/>
    <mergeCell ref="A128:H128"/>
    <mergeCell ref="A129:H129"/>
    <mergeCell ref="A130:H130"/>
    <mergeCell ref="A131:H131"/>
    <mergeCell ref="A132:H132"/>
    <mergeCell ref="A133:H133"/>
    <mergeCell ref="A134:H134"/>
    <mergeCell ref="A135:H135"/>
    <mergeCell ref="A136:H136"/>
    <mergeCell ref="A140:H140"/>
    <mergeCell ref="A141:H141"/>
  </mergeCells>
  <pageMargins left="0.7" right="0.7" top="0.75" bottom="0.75" header="0.3" footer="0.3"/>
  <headerFooter/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5"/>
  <sheetViews>
    <sheetView showGridLines="0" workbookViewId="0">
      <pane xSplit="2" ySplit="1" topLeftCell="C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5"/>
  <cols>
    <col min="1" max="1" width="10" customWidth="1"/>
    <col min="2" max="2" width="18.1333333333333" customWidth="1"/>
    <col min="3" max="3" width="8.13333333333333" customWidth="1"/>
    <col min="4" max="4" width="29.3833333333333" customWidth="1"/>
    <col min="5" max="5" width="31.25" customWidth="1"/>
    <col min="6" max="6" width="62.5" customWidth="1"/>
    <col min="7" max="7" width="47.5" customWidth="1"/>
    <col min="8" max="8" width="41.25" customWidth="1"/>
    <col min="9" max="9" width="18.1333333333333" customWidth="1"/>
    <col min="10" max="10" width="37.5" customWidth="1"/>
    <col min="11" max="11" width="12.5" customWidth="1"/>
    <col min="12" max="12" width="22" customWidth="1"/>
    <col min="13" max="13" width="42" customWidth="1"/>
    <col min="14" max="14" width="16" customWidth="1"/>
    <col min="15" max="16" width="30" customWidth="1"/>
    <col min="17" max="17" width="82" customWidth="1"/>
    <col min="18" max="18" width="38" customWidth="1"/>
    <col min="19" max="19" width="43" customWidth="1"/>
  </cols>
  <sheetData>
    <row r="1" ht="28.5" customHeight="1" spans="1:11">
      <c r="A1" s="1" t="s">
        <v>3750</v>
      </c>
      <c r="B1" s="1" t="s">
        <v>2237</v>
      </c>
      <c r="C1" s="1" t="s">
        <v>2238</v>
      </c>
      <c r="D1" s="1" t="s">
        <v>3751</v>
      </c>
      <c r="E1" s="1" t="s">
        <v>3436</v>
      </c>
      <c r="F1" s="1" t="s">
        <v>3752</v>
      </c>
      <c r="G1" s="1" t="s">
        <v>2243</v>
      </c>
      <c r="H1" s="1" t="s">
        <v>2244</v>
      </c>
      <c r="I1" s="1" t="s">
        <v>3381</v>
      </c>
      <c r="J1" s="1" t="s">
        <v>3753</v>
      </c>
      <c r="K1" s="1" t="s">
        <v>3754</v>
      </c>
    </row>
    <row r="2" ht="110.25" customHeight="1" spans="1:11">
      <c r="A2" s="2" t="s">
        <v>3755</v>
      </c>
      <c r="B2" s="2" t="s">
        <v>3756</v>
      </c>
      <c r="C2" s="2" t="s">
        <v>2256</v>
      </c>
      <c r="D2" s="2" t="s">
        <v>3757</v>
      </c>
      <c r="E2" s="2" t="s">
        <v>3758</v>
      </c>
      <c r="F2" s="2" t="s">
        <v>3759</v>
      </c>
      <c r="G2" s="2" t="s">
        <v>3760</v>
      </c>
      <c r="H2" s="2" t="s">
        <v>3761</v>
      </c>
      <c r="I2" s="2" t="s">
        <v>3762</v>
      </c>
      <c r="J2" s="2" t="s">
        <v>3763</v>
      </c>
      <c r="K2" s="3" t="s">
        <v>3764</v>
      </c>
    </row>
    <row r="3" ht="94.5" customHeight="1" spans="1:11">
      <c r="A3" s="4" t="s">
        <v>3765</v>
      </c>
      <c r="B3" s="4" t="s">
        <v>3756</v>
      </c>
      <c r="C3" s="4" t="s">
        <v>2256</v>
      </c>
      <c r="D3" s="4" t="s">
        <v>3766</v>
      </c>
      <c r="E3" s="4" t="s">
        <v>3767</v>
      </c>
      <c r="F3" s="4" t="s">
        <v>3768</v>
      </c>
      <c r="G3" s="4" t="s">
        <v>3769</v>
      </c>
      <c r="H3" s="4" t="s">
        <v>3770</v>
      </c>
      <c r="I3" s="4" t="s">
        <v>3771</v>
      </c>
      <c r="J3" s="4" t="s">
        <v>3772</v>
      </c>
      <c r="K3" s="3" t="s">
        <v>3764</v>
      </c>
    </row>
    <row r="4" ht="94.5" customHeight="1" spans="1:11">
      <c r="A4" s="2" t="s">
        <v>3773</v>
      </c>
      <c r="B4" s="2" t="s">
        <v>3756</v>
      </c>
      <c r="C4" s="2" t="s">
        <v>2256</v>
      </c>
      <c r="D4" s="2" t="s">
        <v>3774</v>
      </c>
      <c r="E4" s="2" t="s">
        <v>3775</v>
      </c>
      <c r="F4" s="2" t="s">
        <v>3776</v>
      </c>
      <c r="G4" s="2" t="s">
        <v>3777</v>
      </c>
      <c r="H4" s="2" t="s">
        <v>3778</v>
      </c>
      <c r="I4" s="2" t="s">
        <v>3779</v>
      </c>
      <c r="J4" s="2" t="s">
        <v>3780</v>
      </c>
      <c r="K4" s="3" t="s">
        <v>3764</v>
      </c>
    </row>
    <row r="5" ht="94.5" customHeight="1" spans="1:11">
      <c r="A5" s="4" t="s">
        <v>3781</v>
      </c>
      <c r="B5" s="4" t="s">
        <v>3756</v>
      </c>
      <c r="C5" s="4" t="s">
        <v>2256</v>
      </c>
      <c r="D5" s="4" t="s">
        <v>3782</v>
      </c>
      <c r="E5" s="4" t="s">
        <v>3783</v>
      </c>
      <c r="F5" s="4" t="s">
        <v>3784</v>
      </c>
      <c r="G5" s="4" t="s">
        <v>3785</v>
      </c>
      <c r="H5" s="4" t="s">
        <v>3786</v>
      </c>
      <c r="I5" s="4" t="s">
        <v>3787</v>
      </c>
      <c r="J5" s="4" t="s">
        <v>3788</v>
      </c>
      <c r="K5" s="3" t="s">
        <v>3764</v>
      </c>
    </row>
    <row r="6" ht="110.25" customHeight="1" spans="1:11">
      <c r="A6" s="2" t="s">
        <v>3789</v>
      </c>
      <c r="B6" s="2" t="s">
        <v>3756</v>
      </c>
      <c r="C6" s="2" t="s">
        <v>2256</v>
      </c>
      <c r="D6" s="2" t="s">
        <v>3790</v>
      </c>
      <c r="E6" s="2" t="s">
        <v>3791</v>
      </c>
      <c r="F6" s="2" t="s">
        <v>3792</v>
      </c>
      <c r="G6" s="2" t="s">
        <v>3793</v>
      </c>
      <c r="H6" s="2" t="s">
        <v>3794</v>
      </c>
      <c r="I6" s="2" t="s">
        <v>3795</v>
      </c>
      <c r="J6" s="2" t="s">
        <v>3796</v>
      </c>
      <c r="K6" s="3" t="s">
        <v>3764</v>
      </c>
    </row>
    <row r="7" ht="94.5" customHeight="1" spans="1:11">
      <c r="A7" s="4" t="s">
        <v>3797</v>
      </c>
      <c r="B7" s="4" t="s">
        <v>3756</v>
      </c>
      <c r="C7" s="4" t="s">
        <v>2256</v>
      </c>
      <c r="D7" s="4" t="s">
        <v>3798</v>
      </c>
      <c r="E7" s="4" t="s">
        <v>3799</v>
      </c>
      <c r="F7" s="4" t="s">
        <v>3800</v>
      </c>
      <c r="G7" s="4" t="s">
        <v>3801</v>
      </c>
      <c r="H7" s="4" t="s">
        <v>3802</v>
      </c>
      <c r="I7" s="4" t="s">
        <v>3803</v>
      </c>
      <c r="J7" s="4" t="s">
        <v>3804</v>
      </c>
      <c r="K7" s="3" t="s">
        <v>3764</v>
      </c>
    </row>
    <row r="8" ht="126" customHeight="1" spans="1:11">
      <c r="A8" s="2" t="s">
        <v>3805</v>
      </c>
      <c r="B8" s="2" t="s">
        <v>3756</v>
      </c>
      <c r="C8" s="2" t="s">
        <v>2256</v>
      </c>
      <c r="D8" s="2" t="s">
        <v>3806</v>
      </c>
      <c r="E8" s="2" t="s">
        <v>3807</v>
      </c>
      <c r="F8" s="2" t="s">
        <v>3808</v>
      </c>
      <c r="G8" s="2" t="s">
        <v>3809</v>
      </c>
      <c r="H8" s="2" t="s">
        <v>3810</v>
      </c>
      <c r="I8" s="2" t="s">
        <v>3811</v>
      </c>
      <c r="J8" s="2" t="s">
        <v>3812</v>
      </c>
      <c r="K8" s="3" t="s">
        <v>3764</v>
      </c>
    </row>
    <row r="9" ht="94.5" customHeight="1" spans="1:11">
      <c r="A9" s="4" t="s">
        <v>3813</v>
      </c>
      <c r="B9" s="4" t="s">
        <v>3814</v>
      </c>
      <c r="C9" s="4" t="s">
        <v>2285</v>
      </c>
      <c r="D9" s="4" t="s">
        <v>3815</v>
      </c>
      <c r="E9" s="4" t="s">
        <v>3816</v>
      </c>
      <c r="F9" s="4" t="s">
        <v>3817</v>
      </c>
      <c r="G9" s="4" t="s">
        <v>3818</v>
      </c>
      <c r="H9" s="4" t="s">
        <v>3819</v>
      </c>
      <c r="I9" s="4" t="s">
        <v>3820</v>
      </c>
      <c r="J9" s="4" t="s">
        <v>3821</v>
      </c>
      <c r="K9" s="3" t="s">
        <v>2322</v>
      </c>
    </row>
    <row r="10" ht="94.5" customHeight="1" spans="1:11">
      <c r="A10" s="2" t="s">
        <v>3822</v>
      </c>
      <c r="B10" s="2" t="s">
        <v>3814</v>
      </c>
      <c r="C10" s="2" t="s">
        <v>2256</v>
      </c>
      <c r="D10" s="2" t="s">
        <v>3823</v>
      </c>
      <c r="E10" s="2" t="s">
        <v>3824</v>
      </c>
      <c r="F10" s="2" t="s">
        <v>3825</v>
      </c>
      <c r="G10" s="2" t="s">
        <v>3826</v>
      </c>
      <c r="H10" s="2" t="s">
        <v>3827</v>
      </c>
      <c r="I10" s="2" t="s">
        <v>3828</v>
      </c>
      <c r="J10" s="2" t="s">
        <v>3829</v>
      </c>
      <c r="K10" s="3" t="s">
        <v>2322</v>
      </c>
    </row>
    <row r="11" ht="94.5" customHeight="1" spans="1:11">
      <c r="A11" s="4" t="s">
        <v>3830</v>
      </c>
      <c r="B11" s="4" t="s">
        <v>3814</v>
      </c>
      <c r="C11" s="4" t="s">
        <v>2256</v>
      </c>
      <c r="D11" s="4" t="s">
        <v>3831</v>
      </c>
      <c r="E11" s="4" t="s">
        <v>3832</v>
      </c>
      <c r="F11" s="4" t="s">
        <v>3833</v>
      </c>
      <c r="G11" s="4" t="s">
        <v>3834</v>
      </c>
      <c r="H11" s="4" t="s">
        <v>3835</v>
      </c>
      <c r="I11" s="4" t="s">
        <v>3836</v>
      </c>
      <c r="J11" s="4" t="s">
        <v>3837</v>
      </c>
      <c r="K11" s="3" t="s">
        <v>2322</v>
      </c>
    </row>
    <row r="12" ht="94.5" customHeight="1" spans="1:11">
      <c r="A12" s="2" t="s">
        <v>3838</v>
      </c>
      <c r="B12" s="2" t="s">
        <v>3839</v>
      </c>
      <c r="C12" s="2" t="s">
        <v>2256</v>
      </c>
      <c r="D12" s="2" t="s">
        <v>3840</v>
      </c>
      <c r="E12" s="2" t="s">
        <v>3841</v>
      </c>
      <c r="F12" s="2" t="s">
        <v>3842</v>
      </c>
      <c r="G12" s="2" t="s">
        <v>3843</v>
      </c>
      <c r="H12" s="2" t="s">
        <v>3844</v>
      </c>
      <c r="I12" s="2" t="s">
        <v>3845</v>
      </c>
      <c r="J12" s="2" t="s">
        <v>3846</v>
      </c>
      <c r="K12" s="3" t="s">
        <v>3847</v>
      </c>
    </row>
    <row r="13" ht="110.25" customHeight="1" spans="1:11">
      <c r="A13" s="4" t="s">
        <v>3848</v>
      </c>
      <c r="B13" s="4" t="s">
        <v>3849</v>
      </c>
      <c r="C13" s="4" t="s">
        <v>2256</v>
      </c>
      <c r="D13" s="4" t="s">
        <v>366</v>
      </c>
      <c r="E13" s="4" t="s">
        <v>1677</v>
      </c>
      <c r="F13" s="4" t="s">
        <v>3466</v>
      </c>
      <c r="G13" s="4" t="s">
        <v>3468</v>
      </c>
      <c r="H13" s="4" t="s">
        <v>3850</v>
      </c>
      <c r="I13" s="4" t="s">
        <v>365</v>
      </c>
      <c r="J13" s="4" t="s">
        <v>3851</v>
      </c>
      <c r="K13" s="3" t="s">
        <v>3852</v>
      </c>
    </row>
    <row r="14" ht="142.5" customHeight="1" spans="1:11">
      <c r="A14" s="2" t="s">
        <v>3853</v>
      </c>
      <c r="B14" s="2" t="s">
        <v>3854</v>
      </c>
      <c r="C14" s="2" t="s">
        <v>2256</v>
      </c>
      <c r="D14" s="2" t="s">
        <v>370</v>
      </c>
      <c r="E14" s="2" t="s">
        <v>1717</v>
      </c>
      <c r="F14" s="2" t="s">
        <v>3473</v>
      </c>
      <c r="G14" s="2" t="s">
        <v>3475</v>
      </c>
      <c r="H14" s="2" t="s">
        <v>3850</v>
      </c>
      <c r="I14" s="2" t="s">
        <v>369</v>
      </c>
      <c r="J14" s="2" t="s">
        <v>3855</v>
      </c>
      <c r="K14" s="3" t="s">
        <v>3856</v>
      </c>
    </row>
    <row r="15" ht="142.5" customHeight="1" spans="1:11">
      <c r="A15" s="4" t="s">
        <v>3857</v>
      </c>
      <c r="B15" s="4" t="s">
        <v>3854</v>
      </c>
      <c r="C15" s="4" t="s">
        <v>2256</v>
      </c>
      <c r="D15" s="4" t="s">
        <v>372</v>
      </c>
      <c r="E15" s="4" t="s">
        <v>1717</v>
      </c>
      <c r="F15" s="4" t="s">
        <v>3477</v>
      </c>
      <c r="G15" s="4" t="s">
        <v>3478</v>
      </c>
      <c r="H15" s="4" t="s">
        <v>3850</v>
      </c>
      <c r="I15" s="4" t="s">
        <v>371</v>
      </c>
      <c r="J15" s="4" t="s">
        <v>3858</v>
      </c>
      <c r="K15" s="3" t="s">
        <v>3856</v>
      </c>
    </row>
    <row r="16" ht="126" customHeight="1" spans="1:11">
      <c r="A16" s="2" t="s">
        <v>3859</v>
      </c>
      <c r="B16" s="2" t="s">
        <v>3854</v>
      </c>
      <c r="C16" s="2" t="s">
        <v>2285</v>
      </c>
      <c r="D16" s="2" t="s">
        <v>376</v>
      </c>
      <c r="E16" s="2" t="s">
        <v>1765</v>
      </c>
      <c r="F16" s="2" t="s">
        <v>3483</v>
      </c>
      <c r="G16" s="2" t="s">
        <v>3485</v>
      </c>
      <c r="H16" s="2" t="s">
        <v>3850</v>
      </c>
      <c r="I16" s="2" t="s">
        <v>375</v>
      </c>
      <c r="J16" s="2" t="s">
        <v>3860</v>
      </c>
      <c r="K16" s="3" t="s">
        <v>3856</v>
      </c>
    </row>
    <row r="17" ht="110.25" customHeight="1" spans="1:11">
      <c r="A17" s="4" t="s">
        <v>3861</v>
      </c>
      <c r="B17" s="4" t="s">
        <v>3862</v>
      </c>
      <c r="C17" s="4" t="s">
        <v>2256</v>
      </c>
      <c r="D17" s="4" t="s">
        <v>382</v>
      </c>
      <c r="E17" s="4" t="s">
        <v>1818</v>
      </c>
      <c r="F17" s="4" t="s">
        <v>3863</v>
      </c>
      <c r="G17" s="4" t="s">
        <v>3864</v>
      </c>
      <c r="H17" s="4" t="s">
        <v>3865</v>
      </c>
      <c r="I17" s="4" t="s">
        <v>381</v>
      </c>
      <c r="J17" s="4" t="s">
        <v>3866</v>
      </c>
      <c r="K17" s="3" t="s">
        <v>3764</v>
      </c>
    </row>
    <row r="18" ht="110.25" customHeight="1" spans="1:11">
      <c r="A18" s="2" t="s">
        <v>3867</v>
      </c>
      <c r="B18" s="2" t="s">
        <v>3854</v>
      </c>
      <c r="C18" s="2" t="s">
        <v>2256</v>
      </c>
      <c r="D18" s="2" t="s">
        <v>385</v>
      </c>
      <c r="E18" s="2" t="s">
        <v>1834</v>
      </c>
      <c r="F18" s="2" t="s">
        <v>3496</v>
      </c>
      <c r="G18" s="2" t="s">
        <v>3498</v>
      </c>
      <c r="H18" s="2" t="s">
        <v>3850</v>
      </c>
      <c r="I18" s="2" t="s">
        <v>384</v>
      </c>
      <c r="J18" s="2" t="s">
        <v>3868</v>
      </c>
      <c r="K18" s="3" t="s">
        <v>3856</v>
      </c>
    </row>
    <row r="19" ht="110.25" customHeight="1" spans="1:11">
      <c r="A19" s="4" t="s">
        <v>3869</v>
      </c>
      <c r="B19" s="4" t="s">
        <v>3854</v>
      </c>
      <c r="C19" s="4" t="s">
        <v>2285</v>
      </c>
      <c r="D19" s="4" t="s">
        <v>387</v>
      </c>
      <c r="E19" s="4" t="s">
        <v>1850</v>
      </c>
      <c r="F19" s="4" t="s">
        <v>3500</v>
      </c>
      <c r="G19" s="4" t="s">
        <v>3502</v>
      </c>
      <c r="H19" s="4" t="s">
        <v>3850</v>
      </c>
      <c r="I19" s="4" t="s">
        <v>386</v>
      </c>
      <c r="J19" s="4" t="s">
        <v>3870</v>
      </c>
      <c r="K19" s="3" t="s">
        <v>3856</v>
      </c>
    </row>
    <row r="20" ht="142.5" customHeight="1" spans="1:11">
      <c r="A20" s="2" t="s">
        <v>3871</v>
      </c>
      <c r="B20" s="2" t="s">
        <v>3854</v>
      </c>
      <c r="C20" s="2" t="s">
        <v>2256</v>
      </c>
      <c r="D20" s="2" t="s">
        <v>392</v>
      </c>
      <c r="E20" s="2" t="s">
        <v>1879</v>
      </c>
      <c r="F20" s="2" t="s">
        <v>3507</v>
      </c>
      <c r="G20" s="2" t="s">
        <v>3509</v>
      </c>
      <c r="H20" s="2" t="s">
        <v>3850</v>
      </c>
      <c r="I20" s="2" t="s">
        <v>391</v>
      </c>
      <c r="J20" s="2" t="s">
        <v>3872</v>
      </c>
      <c r="K20" s="3" t="s">
        <v>3856</v>
      </c>
    </row>
    <row r="21" ht="126" customHeight="1" spans="1:11">
      <c r="A21" s="4" t="s">
        <v>3873</v>
      </c>
      <c r="B21" s="4" t="s">
        <v>3854</v>
      </c>
      <c r="C21" s="4" t="s">
        <v>2285</v>
      </c>
      <c r="D21" s="4" t="s">
        <v>398</v>
      </c>
      <c r="E21" s="4" t="s">
        <v>1929</v>
      </c>
      <c r="F21" s="4" t="s">
        <v>3515</v>
      </c>
      <c r="G21" s="4" t="s">
        <v>3517</v>
      </c>
      <c r="H21" s="4" t="s">
        <v>3850</v>
      </c>
      <c r="I21" s="4" t="s">
        <v>397</v>
      </c>
      <c r="J21" s="4" t="s">
        <v>3874</v>
      </c>
      <c r="K21" s="3" t="s">
        <v>3856</v>
      </c>
    </row>
    <row r="22" ht="110.25" customHeight="1" spans="1:11">
      <c r="A22" s="2" t="s">
        <v>3875</v>
      </c>
      <c r="B22" s="2" t="s">
        <v>3854</v>
      </c>
      <c r="C22" s="2" t="s">
        <v>2285</v>
      </c>
      <c r="D22" s="2" t="s">
        <v>400</v>
      </c>
      <c r="E22" s="2" t="s">
        <v>1951</v>
      </c>
      <c r="F22" s="2" t="s">
        <v>3519</v>
      </c>
      <c r="G22" s="2" t="s">
        <v>3521</v>
      </c>
      <c r="H22" s="2" t="s">
        <v>3850</v>
      </c>
      <c r="I22" s="2" t="s">
        <v>399</v>
      </c>
      <c r="J22" s="2" t="s">
        <v>3876</v>
      </c>
      <c r="K22" s="3" t="s">
        <v>3856</v>
      </c>
    </row>
    <row r="23" ht="159" customHeight="1" spans="1:11">
      <c r="A23" s="4" t="s">
        <v>3877</v>
      </c>
      <c r="B23" s="4" t="s">
        <v>3878</v>
      </c>
      <c r="C23" s="4" t="s">
        <v>2285</v>
      </c>
      <c r="D23" s="4" t="s">
        <v>402</v>
      </c>
      <c r="E23" s="4" t="s">
        <v>1967</v>
      </c>
      <c r="F23" s="4" t="s">
        <v>3879</v>
      </c>
      <c r="G23" s="4" t="s">
        <v>3880</v>
      </c>
      <c r="H23" s="4" t="s">
        <v>3881</v>
      </c>
      <c r="I23" s="4" t="s">
        <v>401</v>
      </c>
      <c r="J23" s="4" t="s">
        <v>3882</v>
      </c>
      <c r="K23" s="3" t="s">
        <v>3764</v>
      </c>
    </row>
    <row r="24" ht="110.25" customHeight="1" spans="1:11">
      <c r="A24" s="2" t="s">
        <v>3883</v>
      </c>
      <c r="B24" s="2" t="s">
        <v>3854</v>
      </c>
      <c r="C24" s="2" t="s">
        <v>2256</v>
      </c>
      <c r="D24" s="2" t="s">
        <v>405</v>
      </c>
      <c r="E24" s="2" t="s">
        <v>1988</v>
      </c>
      <c r="F24" s="2" t="s">
        <v>3527</v>
      </c>
      <c r="G24" s="2" t="s">
        <v>3529</v>
      </c>
      <c r="H24" s="2" t="s">
        <v>3850</v>
      </c>
      <c r="I24" s="2" t="s">
        <v>404</v>
      </c>
      <c r="J24" s="2" t="s">
        <v>3884</v>
      </c>
      <c r="K24" s="3" t="s">
        <v>3856</v>
      </c>
    </row>
    <row r="25" ht="159" customHeight="1" spans="1:11">
      <c r="A25" s="4" t="s">
        <v>3885</v>
      </c>
      <c r="B25" s="4" t="s">
        <v>3854</v>
      </c>
      <c r="C25" s="4" t="s">
        <v>2256</v>
      </c>
      <c r="D25" s="4" t="s">
        <v>407</v>
      </c>
      <c r="E25" s="4" t="s">
        <v>2005</v>
      </c>
      <c r="F25" s="4" t="s">
        <v>3531</v>
      </c>
      <c r="G25" s="4" t="s">
        <v>3533</v>
      </c>
      <c r="H25" s="4" t="s">
        <v>3850</v>
      </c>
      <c r="I25" s="4" t="s">
        <v>406</v>
      </c>
      <c r="J25" s="4" t="s">
        <v>3886</v>
      </c>
      <c r="K25" s="3" t="s">
        <v>3856</v>
      </c>
    </row>
    <row r="26" ht="257.25" customHeight="1" spans="1:11">
      <c r="A26" s="2" t="s">
        <v>3887</v>
      </c>
      <c r="B26" s="2" t="s">
        <v>3888</v>
      </c>
      <c r="C26" s="2" t="s">
        <v>2285</v>
      </c>
      <c r="D26" s="2" t="s">
        <v>409</v>
      </c>
      <c r="E26" s="2" t="s">
        <v>2022</v>
      </c>
      <c r="F26" s="2" t="s">
        <v>3889</v>
      </c>
      <c r="G26" s="2" t="s">
        <v>3537</v>
      </c>
      <c r="H26" s="2" t="s">
        <v>3850</v>
      </c>
      <c r="I26" s="2" t="s">
        <v>408</v>
      </c>
      <c r="J26" s="2" t="s">
        <v>3538</v>
      </c>
      <c r="K26" s="3" t="s">
        <v>3856</v>
      </c>
    </row>
    <row r="27" ht="126" customHeight="1" spans="1:11">
      <c r="A27" s="4" t="s">
        <v>3890</v>
      </c>
      <c r="B27" s="4" t="s">
        <v>3888</v>
      </c>
      <c r="C27" s="4" t="s">
        <v>2285</v>
      </c>
      <c r="D27" s="4" t="s">
        <v>411</v>
      </c>
      <c r="E27" s="4" t="s">
        <v>2043</v>
      </c>
      <c r="F27" s="4" t="s">
        <v>3891</v>
      </c>
      <c r="G27" s="4" t="s">
        <v>3540</v>
      </c>
      <c r="H27" s="4" t="s">
        <v>3850</v>
      </c>
      <c r="I27" s="4" t="s">
        <v>410</v>
      </c>
      <c r="J27" s="4" t="s">
        <v>3892</v>
      </c>
      <c r="K27" s="3" t="s">
        <v>3856</v>
      </c>
    </row>
    <row r="28" ht="126" customHeight="1" spans="1:11">
      <c r="A28" s="2" t="s">
        <v>3893</v>
      </c>
      <c r="B28" s="2" t="s">
        <v>3854</v>
      </c>
      <c r="C28" s="2" t="s">
        <v>2256</v>
      </c>
      <c r="D28" s="2" t="s">
        <v>416</v>
      </c>
      <c r="E28" s="2" t="s">
        <v>2088</v>
      </c>
      <c r="F28" s="2" t="s">
        <v>3544</v>
      </c>
      <c r="G28" s="2" t="s">
        <v>3545</v>
      </c>
      <c r="H28" s="2" t="s">
        <v>3850</v>
      </c>
      <c r="I28" s="2" t="s">
        <v>415</v>
      </c>
      <c r="J28" s="2" t="s">
        <v>3894</v>
      </c>
      <c r="K28" s="3" t="s">
        <v>3856</v>
      </c>
    </row>
    <row r="29" ht="142.5" customHeight="1" spans="1:11">
      <c r="A29" s="4" t="s">
        <v>3895</v>
      </c>
      <c r="B29" s="4" t="s">
        <v>3854</v>
      </c>
      <c r="C29" s="4" t="s">
        <v>2285</v>
      </c>
      <c r="D29" s="4" t="s">
        <v>418</v>
      </c>
      <c r="E29" s="4" t="s">
        <v>2104</v>
      </c>
      <c r="F29" s="4" t="s">
        <v>3547</v>
      </c>
      <c r="G29" s="4" t="s">
        <v>3548</v>
      </c>
      <c r="H29" s="4" t="s">
        <v>3850</v>
      </c>
      <c r="I29" s="4" t="s">
        <v>417</v>
      </c>
      <c r="J29" s="4" t="s">
        <v>3896</v>
      </c>
      <c r="K29" s="3" t="s">
        <v>3856</v>
      </c>
    </row>
    <row r="30" ht="159" customHeight="1" spans="1:11">
      <c r="A30" s="2" t="s">
        <v>3897</v>
      </c>
      <c r="B30" s="2" t="s">
        <v>3854</v>
      </c>
      <c r="C30" s="2" t="s">
        <v>2285</v>
      </c>
      <c r="D30" s="2" t="s">
        <v>421</v>
      </c>
      <c r="E30" s="2" t="s">
        <v>2120</v>
      </c>
      <c r="F30" s="2" t="s">
        <v>3550</v>
      </c>
      <c r="G30" s="2" t="s">
        <v>3551</v>
      </c>
      <c r="H30" s="2" t="s">
        <v>3850</v>
      </c>
      <c r="I30" s="2" t="s">
        <v>420</v>
      </c>
      <c r="J30" s="2" t="s">
        <v>3898</v>
      </c>
      <c r="K30" s="3" t="s">
        <v>3856</v>
      </c>
    </row>
    <row r="31" ht="175.5" customHeight="1" spans="1:11">
      <c r="A31" s="4" t="s">
        <v>3899</v>
      </c>
      <c r="B31" s="4" t="s">
        <v>3888</v>
      </c>
      <c r="C31" s="4" t="s">
        <v>2256</v>
      </c>
      <c r="D31" s="4" t="s">
        <v>423</v>
      </c>
      <c r="E31" s="4" t="s">
        <v>2142</v>
      </c>
      <c r="F31" s="4" t="s">
        <v>3900</v>
      </c>
      <c r="G31" s="4" t="s">
        <v>3555</v>
      </c>
      <c r="H31" s="4" t="s">
        <v>3850</v>
      </c>
      <c r="I31" s="4" t="s">
        <v>422</v>
      </c>
      <c r="J31" s="4" t="s">
        <v>3556</v>
      </c>
      <c r="K31" s="3" t="s">
        <v>3856</v>
      </c>
    </row>
    <row r="32" ht="159" customHeight="1" spans="1:11">
      <c r="A32" s="2" t="s">
        <v>3901</v>
      </c>
      <c r="B32" s="2" t="s">
        <v>3854</v>
      </c>
      <c r="C32" s="2" t="s">
        <v>2285</v>
      </c>
      <c r="D32" s="2" t="s">
        <v>425</v>
      </c>
      <c r="E32" s="2" t="s">
        <v>2158</v>
      </c>
      <c r="F32" s="2" t="s">
        <v>3557</v>
      </c>
      <c r="G32" s="2" t="s">
        <v>3559</v>
      </c>
      <c r="H32" s="2" t="s">
        <v>3850</v>
      </c>
      <c r="I32" s="2" t="s">
        <v>424</v>
      </c>
      <c r="J32" s="2" t="s">
        <v>3902</v>
      </c>
      <c r="K32" s="3" t="s">
        <v>3856</v>
      </c>
    </row>
    <row r="33" ht="159" customHeight="1" spans="1:19">
      <c r="A33" s="4" t="s">
        <v>3903</v>
      </c>
      <c r="B33" s="4" t="s">
        <v>3854</v>
      </c>
      <c r="C33" s="4" t="s">
        <v>2285</v>
      </c>
      <c r="D33" s="4" t="s">
        <v>428</v>
      </c>
      <c r="E33" s="4" t="s">
        <v>2176</v>
      </c>
      <c r="F33" s="4" t="s">
        <v>3561</v>
      </c>
      <c r="G33" s="4" t="s">
        <v>3562</v>
      </c>
      <c r="H33" s="4" t="s">
        <v>3850</v>
      </c>
      <c r="I33" s="4" t="s">
        <v>427</v>
      </c>
      <c r="J33" s="4" t="s">
        <v>3904</v>
      </c>
      <c r="K33" s="3" t="s">
        <v>3856</v>
      </c>
    </row>
    <row r="35" ht="30" customHeight="1" spans="1:19">
      <c r="A35" s="5" t="s">
        <v>2236</v>
      </c>
      <c r="B35" s="5" t="s">
        <v>2237</v>
      </c>
      <c r="C35" s="5" t="s">
        <v>2238</v>
      </c>
      <c r="D35" s="5" t="s">
        <v>3751</v>
      </c>
      <c r="E35" s="5" t="s">
        <v>443</v>
      </c>
      <c r="F35" s="5" t="s">
        <v>3905</v>
      </c>
      <c r="G35" s="5" t="s">
        <v>3906</v>
      </c>
      <c r="H35" s="5" t="s">
        <v>3907</v>
      </c>
      <c r="I35" s="5" t="s">
        <v>2244</v>
      </c>
      <c r="J35" s="5" t="s">
        <v>3381</v>
      </c>
      <c r="K35" s="5" t="s">
        <v>3753</v>
      </c>
      <c r="L35" s="5" t="s">
        <v>3908</v>
      </c>
      <c r="M35" s="5" t="s">
        <v>2246</v>
      </c>
      <c r="N35" s="5" t="s">
        <v>2248</v>
      </c>
      <c r="O35" s="5" t="s">
        <v>3909</v>
      </c>
      <c r="P35" s="5" t="s">
        <v>3910</v>
      </c>
      <c r="Q35" s="5" t="s">
        <v>3911</v>
      </c>
      <c r="R35" s="5" t="s">
        <v>3912</v>
      </c>
      <c r="S35" s="5" t="s">
        <v>3913</v>
      </c>
    </row>
    <row r="36" ht="90" customHeight="1" spans="1:19">
      <c r="A36" s="2" t="s">
        <v>343</v>
      </c>
      <c r="B36" s="2" t="s">
        <v>2255</v>
      </c>
      <c r="C36" s="2" t="s">
        <v>2256</v>
      </c>
      <c r="D36" s="2" t="s">
        <v>2257</v>
      </c>
      <c r="E36" s="2" t="s">
        <v>3914</v>
      </c>
      <c r="F36" s="2" t="s">
        <v>3915</v>
      </c>
      <c r="G36" s="2" t="s">
        <v>3916</v>
      </c>
      <c r="H36" s="2" t="s">
        <v>2261</v>
      </c>
      <c r="I36" s="2" t="s">
        <v>2262</v>
      </c>
      <c r="J36" s="2" t="s">
        <v>3917</v>
      </c>
      <c r="K36" s="3" t="s">
        <v>3918</v>
      </c>
      <c r="L36" s="3" t="s">
        <v>3919</v>
      </c>
      <c r="M36" s="3" t="s">
        <v>54</v>
      </c>
      <c r="N36" s="3" t="s">
        <v>3920</v>
      </c>
      <c r="O36" s="3" t="s">
        <v>3921</v>
      </c>
      <c r="P36" s="2" t="s">
        <v>3922</v>
      </c>
      <c r="Q36" s="2" t="s">
        <v>2260</v>
      </c>
      <c r="R36" s="2" t="s">
        <v>3717</v>
      </c>
      <c r="S36" s="2" t="s">
        <v>3923</v>
      </c>
    </row>
    <row r="37" ht="64" customHeight="1" spans="1:19">
      <c r="A37" s="2" t="s">
        <v>346</v>
      </c>
      <c r="B37" s="2" t="s">
        <v>2255</v>
      </c>
      <c r="C37" s="2" t="s">
        <v>2256</v>
      </c>
      <c r="D37" s="2" t="s">
        <v>2265</v>
      </c>
      <c r="E37" s="2" t="s">
        <v>3924</v>
      </c>
      <c r="F37" s="2" t="s">
        <v>3925</v>
      </c>
      <c r="G37" s="2" t="s">
        <v>3926</v>
      </c>
      <c r="H37" s="2" t="s">
        <v>2267</v>
      </c>
      <c r="I37" s="2" t="s">
        <v>2268</v>
      </c>
      <c r="J37" s="2" t="s">
        <v>344</v>
      </c>
      <c r="K37" s="3" t="s">
        <v>3927</v>
      </c>
      <c r="L37" s="3" t="s">
        <v>3919</v>
      </c>
      <c r="M37" s="3" t="s">
        <v>54</v>
      </c>
      <c r="N37" s="3" t="s">
        <v>3920</v>
      </c>
      <c r="O37" s="3" t="s">
        <v>3921</v>
      </c>
      <c r="P37" s="2" t="s">
        <v>162</v>
      </c>
      <c r="Q37" s="2" t="s">
        <v>2266</v>
      </c>
      <c r="R37" s="2" t="s">
        <v>3717</v>
      </c>
      <c r="S37" s="2" t="s">
        <v>3928</v>
      </c>
    </row>
    <row r="38" ht="90" customHeight="1" spans="1:19">
      <c r="A38" s="2" t="s">
        <v>349</v>
      </c>
      <c r="B38" s="2" t="s">
        <v>2255</v>
      </c>
      <c r="C38" s="2" t="s">
        <v>2256</v>
      </c>
      <c r="D38" s="2" t="s">
        <v>2269</v>
      </c>
      <c r="E38" s="2" t="s">
        <v>3929</v>
      </c>
      <c r="F38" s="2" t="s">
        <v>3930</v>
      </c>
      <c r="G38" s="2" t="s">
        <v>3931</v>
      </c>
      <c r="H38" s="2" t="s">
        <v>2271</v>
      </c>
      <c r="I38" s="2" t="s">
        <v>2272</v>
      </c>
      <c r="J38" s="2" t="s">
        <v>3932</v>
      </c>
      <c r="K38" s="3" t="s">
        <v>3933</v>
      </c>
      <c r="L38" s="3" t="s">
        <v>3919</v>
      </c>
      <c r="M38" s="3" t="s">
        <v>54</v>
      </c>
      <c r="N38" s="3" t="s">
        <v>3920</v>
      </c>
      <c r="O38" s="3" t="s">
        <v>3921</v>
      </c>
      <c r="P38" s="2" t="s">
        <v>3922</v>
      </c>
      <c r="Q38" s="2" t="s">
        <v>2270</v>
      </c>
      <c r="R38" s="2" t="s">
        <v>3717</v>
      </c>
      <c r="S38" s="2" t="s">
        <v>3923</v>
      </c>
    </row>
    <row r="39" ht="64" customHeight="1" spans="1:19">
      <c r="A39" s="2" t="s">
        <v>2275</v>
      </c>
      <c r="B39" s="2" t="s">
        <v>2255</v>
      </c>
      <c r="C39" s="2" t="s">
        <v>2256</v>
      </c>
      <c r="D39" s="2" t="s">
        <v>2276</v>
      </c>
      <c r="E39" s="2" t="s">
        <v>3934</v>
      </c>
      <c r="F39" s="2" t="s">
        <v>3935</v>
      </c>
      <c r="G39" s="2" t="s">
        <v>3936</v>
      </c>
      <c r="H39" s="2" t="s">
        <v>2278</v>
      </c>
      <c r="I39" s="2" t="s">
        <v>2279</v>
      </c>
      <c r="J39" s="2" t="s">
        <v>3937</v>
      </c>
      <c r="K39" s="3" t="s">
        <v>3938</v>
      </c>
      <c r="L39" s="3" t="s">
        <v>3919</v>
      </c>
      <c r="M39" s="3" t="s">
        <v>54</v>
      </c>
      <c r="N39" s="3" t="s">
        <v>3920</v>
      </c>
      <c r="O39" s="3" t="s">
        <v>3921</v>
      </c>
      <c r="P39" s="2" t="s">
        <v>3922</v>
      </c>
      <c r="Q39" s="2" t="s">
        <v>2277</v>
      </c>
      <c r="R39" s="2" t="s">
        <v>3717</v>
      </c>
      <c r="S39" s="2" t="s">
        <v>3923</v>
      </c>
    </row>
    <row r="40" ht="64" customHeight="1" spans="1:19">
      <c r="A40" s="2" t="s">
        <v>2281</v>
      </c>
      <c r="B40" s="2" t="s">
        <v>2255</v>
      </c>
      <c r="C40" s="2" t="s">
        <v>2256</v>
      </c>
      <c r="D40" s="2" t="s">
        <v>2282</v>
      </c>
      <c r="E40" s="2" t="s">
        <v>3939</v>
      </c>
      <c r="F40" s="2" t="s">
        <v>3940</v>
      </c>
      <c r="G40" s="2" t="s">
        <v>3941</v>
      </c>
      <c r="H40" s="2" t="s">
        <v>2283</v>
      </c>
      <c r="I40" s="2" t="s">
        <v>2284</v>
      </c>
      <c r="J40" s="2" t="s">
        <v>350</v>
      </c>
      <c r="K40" s="3" t="s">
        <v>3942</v>
      </c>
      <c r="L40" s="3" t="s">
        <v>3919</v>
      </c>
      <c r="M40" s="3" t="s">
        <v>54</v>
      </c>
      <c r="N40" s="3" t="s">
        <v>3920</v>
      </c>
      <c r="O40" s="3" t="s">
        <v>3921</v>
      </c>
      <c r="P40" s="2" t="s">
        <v>162</v>
      </c>
      <c r="Q40" s="2" t="s">
        <v>2266</v>
      </c>
      <c r="R40" s="2" t="s">
        <v>3717</v>
      </c>
      <c r="S40" s="2" t="s">
        <v>3928</v>
      </c>
    </row>
    <row r="41" ht="90" customHeight="1" spans="1:19">
      <c r="A41" s="2" t="s">
        <v>390</v>
      </c>
      <c r="B41" s="2" t="s">
        <v>2255</v>
      </c>
      <c r="C41" s="2" t="s">
        <v>2285</v>
      </c>
      <c r="D41" s="2" t="s">
        <v>2286</v>
      </c>
      <c r="E41" s="2" t="s">
        <v>3943</v>
      </c>
      <c r="F41" s="2" t="s">
        <v>3944</v>
      </c>
      <c r="G41" s="2" t="s">
        <v>3945</v>
      </c>
      <c r="H41" s="2" t="s">
        <v>2287</v>
      </c>
      <c r="I41" s="2" t="s">
        <v>2288</v>
      </c>
      <c r="J41" s="2" t="s">
        <v>3946</v>
      </c>
      <c r="K41" s="3" t="s">
        <v>3947</v>
      </c>
      <c r="L41" s="3" t="s">
        <v>3919</v>
      </c>
      <c r="M41" s="3" t="s">
        <v>54</v>
      </c>
      <c r="N41" s="3" t="s">
        <v>3920</v>
      </c>
      <c r="O41" s="3" t="s">
        <v>3921</v>
      </c>
      <c r="P41" s="2" t="s">
        <v>162</v>
      </c>
      <c r="Q41" s="2" t="s">
        <v>2266</v>
      </c>
      <c r="R41" s="2" t="s">
        <v>3717</v>
      </c>
      <c r="S41" s="2" t="s">
        <v>3928</v>
      </c>
    </row>
    <row r="42" ht="77" customHeight="1" spans="1:19">
      <c r="A42" s="2" t="s">
        <v>2291</v>
      </c>
      <c r="B42" s="2" t="s">
        <v>2292</v>
      </c>
      <c r="C42" s="2" t="s">
        <v>2285</v>
      </c>
      <c r="D42" s="2" t="s">
        <v>2293</v>
      </c>
      <c r="E42" s="2" t="s">
        <v>3948</v>
      </c>
      <c r="F42" s="2" t="s">
        <v>3949</v>
      </c>
      <c r="G42" s="2" t="s">
        <v>3950</v>
      </c>
      <c r="H42" s="2" t="s">
        <v>2294</v>
      </c>
      <c r="I42" s="2" t="s">
        <v>2295</v>
      </c>
      <c r="J42" s="2" t="s">
        <v>401</v>
      </c>
      <c r="K42" s="3" t="s">
        <v>3951</v>
      </c>
      <c r="L42" s="3" t="s">
        <v>3919</v>
      </c>
      <c r="M42" s="3" t="s">
        <v>2296</v>
      </c>
      <c r="N42" s="3" t="s">
        <v>3920</v>
      </c>
      <c r="O42" s="3" t="s">
        <v>3921</v>
      </c>
      <c r="P42" s="2" t="s">
        <v>162</v>
      </c>
      <c r="Q42" s="2" t="s">
        <v>2266</v>
      </c>
      <c r="R42" s="2" t="s">
        <v>3717</v>
      </c>
      <c r="S42" s="2" t="s">
        <v>3928</v>
      </c>
    </row>
    <row r="43" ht="103" customHeight="1" spans="1:19">
      <c r="A43" s="2" t="s">
        <v>383</v>
      </c>
      <c r="B43" s="2" t="s">
        <v>2297</v>
      </c>
      <c r="C43" s="2" t="s">
        <v>2285</v>
      </c>
      <c r="D43" s="2" t="s">
        <v>2298</v>
      </c>
      <c r="E43" s="2" t="s">
        <v>3952</v>
      </c>
      <c r="F43" s="2" t="s">
        <v>3953</v>
      </c>
      <c r="G43" s="2" t="s">
        <v>3954</v>
      </c>
      <c r="H43" s="2" t="s">
        <v>2299</v>
      </c>
      <c r="I43" s="2" t="s">
        <v>2300</v>
      </c>
      <c r="J43" s="2" t="s">
        <v>381</v>
      </c>
      <c r="K43" s="3" t="s">
        <v>3955</v>
      </c>
      <c r="L43" s="3" t="s">
        <v>3919</v>
      </c>
      <c r="M43" s="3" t="s">
        <v>2301</v>
      </c>
      <c r="N43" s="3" t="s">
        <v>3920</v>
      </c>
      <c r="O43" s="3" t="s">
        <v>3921</v>
      </c>
      <c r="P43" s="2" t="s">
        <v>162</v>
      </c>
      <c r="Q43" s="2" t="s">
        <v>2266</v>
      </c>
      <c r="R43" s="2" t="s">
        <v>3717</v>
      </c>
      <c r="S43" s="2" t="s">
        <v>3928</v>
      </c>
    </row>
    <row r="44" ht="116" customHeight="1" spans="1:19">
      <c r="A44" s="2" t="s">
        <v>83</v>
      </c>
      <c r="B44" s="2" t="s">
        <v>2255</v>
      </c>
      <c r="C44" s="2" t="s">
        <v>2285</v>
      </c>
      <c r="D44" s="2" t="s">
        <v>2302</v>
      </c>
      <c r="E44" s="2" t="s">
        <v>3956</v>
      </c>
      <c r="F44" s="2" t="s">
        <v>3957</v>
      </c>
      <c r="G44" s="2" t="s">
        <v>3958</v>
      </c>
      <c r="H44" s="2" t="s">
        <v>2304</v>
      </c>
      <c r="I44" s="2" t="s">
        <v>2305</v>
      </c>
      <c r="J44" s="2" t="s">
        <v>3959</v>
      </c>
      <c r="K44" s="3" t="s">
        <v>3960</v>
      </c>
      <c r="L44" s="3" t="s">
        <v>3919</v>
      </c>
      <c r="M44" s="3" t="s">
        <v>54</v>
      </c>
      <c r="N44" s="3" t="s">
        <v>3920</v>
      </c>
      <c r="O44" s="3" t="s">
        <v>3921</v>
      </c>
      <c r="P44" s="2" t="s">
        <v>3922</v>
      </c>
      <c r="Q44" s="2" t="s">
        <v>2303</v>
      </c>
      <c r="R44" s="2" t="s">
        <v>3717</v>
      </c>
      <c r="S44" s="2" t="s">
        <v>3923</v>
      </c>
    </row>
    <row r="45" ht="129" customHeight="1" spans="1:19">
      <c r="A45" s="2" t="s">
        <v>2308</v>
      </c>
      <c r="B45" s="2" t="s">
        <v>2309</v>
      </c>
      <c r="C45" s="2" t="s">
        <v>2256</v>
      </c>
      <c r="D45" s="2" t="s">
        <v>2310</v>
      </c>
      <c r="E45" s="2" t="s">
        <v>3961</v>
      </c>
      <c r="F45" s="2" t="s">
        <v>3962</v>
      </c>
      <c r="G45" s="2" t="s">
        <v>3963</v>
      </c>
      <c r="H45" s="2" t="s">
        <v>2311</v>
      </c>
      <c r="I45" s="2" t="s">
        <v>2312</v>
      </c>
      <c r="J45" s="2" t="s">
        <v>424</v>
      </c>
      <c r="K45" s="3" t="s">
        <v>3964</v>
      </c>
      <c r="L45" s="3" t="s">
        <v>3919</v>
      </c>
      <c r="M45" s="3" t="s">
        <v>2314</v>
      </c>
      <c r="N45" s="3" t="s">
        <v>3920</v>
      </c>
      <c r="O45" s="3" t="s">
        <v>3921</v>
      </c>
      <c r="P45" s="2" t="s">
        <v>162</v>
      </c>
      <c r="Q45" s="2" t="s">
        <v>2266</v>
      </c>
      <c r="R45" s="2" t="s">
        <v>3717</v>
      </c>
      <c r="S45" s="2" t="s">
        <v>3928</v>
      </c>
    </row>
    <row r="46" ht="51" customHeight="1" spans="1:19">
      <c r="A46" s="2" t="s">
        <v>65</v>
      </c>
      <c r="B46" s="2" t="s">
        <v>2255</v>
      </c>
      <c r="C46" s="2" t="s">
        <v>2256</v>
      </c>
      <c r="D46" s="2" t="s">
        <v>2315</v>
      </c>
      <c r="E46" s="2" t="s">
        <v>3965</v>
      </c>
      <c r="F46" s="2" t="s">
        <v>3966</v>
      </c>
      <c r="G46" s="2" t="s">
        <v>3967</v>
      </c>
      <c r="H46" s="2" t="s">
        <v>2317</v>
      </c>
      <c r="I46" s="2" t="s">
        <v>2318</v>
      </c>
      <c r="J46" s="2" t="s">
        <v>154</v>
      </c>
      <c r="K46" s="3" t="s">
        <v>3968</v>
      </c>
      <c r="L46" s="3" t="s">
        <v>3919</v>
      </c>
      <c r="M46" s="3" t="s">
        <v>54</v>
      </c>
      <c r="N46" s="3" t="s">
        <v>3920</v>
      </c>
      <c r="O46" s="3" t="s">
        <v>3921</v>
      </c>
      <c r="P46" s="2" t="s">
        <v>3922</v>
      </c>
      <c r="Q46" s="2" t="s">
        <v>2316</v>
      </c>
      <c r="R46" s="2" t="s">
        <v>3717</v>
      </c>
      <c r="S46" s="2" t="s">
        <v>3923</v>
      </c>
    </row>
    <row r="47" ht="77" customHeight="1" spans="1:19">
      <c r="A47" s="2" t="s">
        <v>52</v>
      </c>
      <c r="B47" s="2" t="s">
        <v>2320</v>
      </c>
      <c r="C47" s="2" t="s">
        <v>2285</v>
      </c>
      <c r="D47" s="2" t="s">
        <v>2321</v>
      </c>
      <c r="E47" s="2" t="s">
        <v>3969</v>
      </c>
      <c r="F47" s="2" t="s">
        <v>3970</v>
      </c>
      <c r="G47" s="2" t="s">
        <v>3971</v>
      </c>
      <c r="H47" s="2" t="s">
        <v>2324</v>
      </c>
      <c r="I47" s="2" t="s">
        <v>2325</v>
      </c>
      <c r="J47" s="2" t="s">
        <v>3972</v>
      </c>
      <c r="K47" s="3" t="s">
        <v>3973</v>
      </c>
      <c r="L47" s="3" t="s">
        <v>3974</v>
      </c>
      <c r="M47" s="3" t="s">
        <v>2328</v>
      </c>
      <c r="N47" s="3" t="s">
        <v>3920</v>
      </c>
      <c r="O47" s="3" t="s">
        <v>3921</v>
      </c>
      <c r="P47" s="2" t="s">
        <v>3975</v>
      </c>
      <c r="Q47" s="2" t="s">
        <v>2323</v>
      </c>
      <c r="R47" s="2" t="s">
        <v>3717</v>
      </c>
      <c r="S47" s="2" t="s">
        <v>3976</v>
      </c>
    </row>
    <row r="48" ht="77" customHeight="1" spans="1:19">
      <c r="A48" s="2" t="s">
        <v>153</v>
      </c>
      <c r="B48" s="2" t="s">
        <v>2320</v>
      </c>
      <c r="C48" s="2" t="s">
        <v>2285</v>
      </c>
      <c r="D48" s="2" t="s">
        <v>2330</v>
      </c>
      <c r="E48" s="2" t="s">
        <v>3977</v>
      </c>
      <c r="F48" s="2" t="s">
        <v>3978</v>
      </c>
      <c r="G48" s="2" t="s">
        <v>3979</v>
      </c>
      <c r="H48" s="2" t="s">
        <v>2332</v>
      </c>
      <c r="I48" s="2" t="s">
        <v>2333</v>
      </c>
      <c r="J48" s="2" t="s">
        <v>150</v>
      </c>
      <c r="K48" s="3" t="s">
        <v>3980</v>
      </c>
      <c r="L48" s="3" t="s">
        <v>3974</v>
      </c>
      <c r="M48" s="3" t="s">
        <v>2335</v>
      </c>
      <c r="N48" s="3" t="s">
        <v>3920</v>
      </c>
      <c r="O48" s="3" t="s">
        <v>3921</v>
      </c>
      <c r="P48" s="2" t="s">
        <v>3975</v>
      </c>
      <c r="Q48" s="2" t="s">
        <v>2331</v>
      </c>
      <c r="R48" s="2" t="s">
        <v>3717</v>
      </c>
      <c r="S48" s="2" t="s">
        <v>3976</v>
      </c>
    </row>
    <row r="49" ht="64" customHeight="1" spans="1:19">
      <c r="A49" s="2" t="s">
        <v>2336</v>
      </c>
      <c r="B49" s="2" t="s">
        <v>2337</v>
      </c>
      <c r="C49" s="2" t="s">
        <v>2256</v>
      </c>
      <c r="D49" s="2" t="s">
        <v>2338</v>
      </c>
      <c r="E49" s="2" t="s">
        <v>3981</v>
      </c>
      <c r="F49" s="2" t="s">
        <v>3982</v>
      </c>
      <c r="G49" s="2" t="s">
        <v>3983</v>
      </c>
      <c r="H49" s="2" t="s">
        <v>2340</v>
      </c>
      <c r="I49" s="2" t="s">
        <v>2341</v>
      </c>
      <c r="J49" s="2" t="s">
        <v>154</v>
      </c>
      <c r="K49" s="3" t="s">
        <v>3984</v>
      </c>
      <c r="L49" s="3" t="s">
        <v>3985</v>
      </c>
      <c r="M49" s="3" t="s">
        <v>2343</v>
      </c>
      <c r="N49" s="3" t="s">
        <v>3920</v>
      </c>
      <c r="O49" s="3" t="s">
        <v>3921</v>
      </c>
      <c r="P49" s="2" t="s">
        <v>3975</v>
      </c>
      <c r="Q49" s="2" t="s">
        <v>2339</v>
      </c>
      <c r="R49" s="2" t="s">
        <v>3717</v>
      </c>
      <c r="S49" s="2" t="s">
        <v>3976</v>
      </c>
    </row>
    <row r="50" ht="64" customHeight="1" spans="1:19">
      <c r="A50" s="2" t="s">
        <v>419</v>
      </c>
      <c r="B50" s="2" t="s">
        <v>2344</v>
      </c>
      <c r="C50" s="2" t="s">
        <v>2285</v>
      </c>
      <c r="D50" s="2" t="s">
        <v>2345</v>
      </c>
      <c r="E50" s="2" t="s">
        <v>3986</v>
      </c>
      <c r="F50" s="2" t="s">
        <v>3987</v>
      </c>
      <c r="G50" s="2" t="s">
        <v>3988</v>
      </c>
      <c r="H50" s="2" t="s">
        <v>2347</v>
      </c>
      <c r="I50" s="2" t="s">
        <v>2348</v>
      </c>
      <c r="J50" s="2" t="s">
        <v>3989</v>
      </c>
      <c r="K50" s="3" t="s">
        <v>3990</v>
      </c>
      <c r="L50" s="3" t="s">
        <v>3991</v>
      </c>
      <c r="M50" s="3" t="s">
        <v>2351</v>
      </c>
      <c r="N50" s="3" t="s">
        <v>3920</v>
      </c>
      <c r="O50" s="3" t="s">
        <v>3921</v>
      </c>
      <c r="P50" s="2" t="s">
        <v>162</v>
      </c>
      <c r="Q50" s="2" t="s">
        <v>2266</v>
      </c>
      <c r="R50" s="2" t="s">
        <v>3717</v>
      </c>
      <c r="S50" s="2" t="s">
        <v>3928</v>
      </c>
    </row>
    <row r="51" ht="90" customHeight="1" spans="1:19">
      <c r="A51" s="2" t="s">
        <v>78</v>
      </c>
      <c r="B51" s="2" t="s">
        <v>2344</v>
      </c>
      <c r="C51" s="2" t="s">
        <v>2256</v>
      </c>
      <c r="D51" s="2" t="s">
        <v>2352</v>
      </c>
      <c r="E51" s="2" t="s">
        <v>3992</v>
      </c>
      <c r="F51" s="2" t="s">
        <v>3993</v>
      </c>
      <c r="G51" s="2" t="s">
        <v>3994</v>
      </c>
      <c r="H51" s="2" t="s">
        <v>2354</v>
      </c>
      <c r="I51" s="2" t="s">
        <v>2355</v>
      </c>
      <c r="J51" s="2" t="s">
        <v>3995</v>
      </c>
      <c r="K51" s="3" t="s">
        <v>3996</v>
      </c>
      <c r="L51" s="3" t="s">
        <v>3991</v>
      </c>
      <c r="M51" s="3" t="s">
        <v>2358</v>
      </c>
      <c r="N51" s="3" t="s">
        <v>3920</v>
      </c>
      <c r="O51" s="3" t="s">
        <v>3921</v>
      </c>
      <c r="P51" s="2" t="s">
        <v>3997</v>
      </c>
      <c r="Q51" s="2" t="s">
        <v>2353</v>
      </c>
      <c r="R51" s="2" t="s">
        <v>3717</v>
      </c>
      <c r="S51" s="2" t="s">
        <v>3998</v>
      </c>
    </row>
    <row r="54" ht="38" customHeight="1" spans="1:19">
      <c r="A54" s="5" t="s">
        <v>3999</v>
      </c>
      <c r="B54" s="5" t="s">
        <v>2237</v>
      </c>
      <c r="C54" s="5" t="s">
        <v>2238</v>
      </c>
      <c r="D54" s="5" t="s">
        <v>3751</v>
      </c>
      <c r="E54" s="5" t="s">
        <v>4000</v>
      </c>
      <c r="F54" s="5" t="s">
        <v>4001</v>
      </c>
      <c r="G54" s="5" t="s">
        <v>3906</v>
      </c>
      <c r="H54" s="5" t="s">
        <v>4002</v>
      </c>
      <c r="I54" s="5" t="s">
        <v>2244</v>
      </c>
      <c r="J54" s="5" t="s">
        <v>4003</v>
      </c>
      <c r="K54" s="5" t="s">
        <v>3753</v>
      </c>
      <c r="L54" s="5" t="s">
        <v>3754</v>
      </c>
      <c r="M54" s="5" t="s">
        <v>2246</v>
      </c>
      <c r="N54" s="5" t="s">
        <v>4004</v>
      </c>
      <c r="O54" s="5" t="s">
        <v>3570</v>
      </c>
    </row>
    <row r="55" ht="64" customHeight="1" spans="1:19">
      <c r="A55" s="2" t="s">
        <v>2359</v>
      </c>
      <c r="B55" s="2" t="s">
        <v>2297</v>
      </c>
      <c r="C55" s="2" t="s">
        <v>2256</v>
      </c>
      <c r="D55" s="2" t="s">
        <v>2360</v>
      </c>
      <c r="E55" s="2" t="s">
        <v>4005</v>
      </c>
      <c r="F55" s="2" t="s">
        <v>2361</v>
      </c>
      <c r="G55" s="2" t="s">
        <v>4006</v>
      </c>
      <c r="H55" s="2" t="s">
        <v>2362</v>
      </c>
      <c r="I55" s="2" t="s">
        <v>2363</v>
      </c>
      <c r="J55" s="2" t="s">
        <v>4007</v>
      </c>
      <c r="K55" s="2" t="s">
        <v>4008</v>
      </c>
      <c r="L55" s="2" t="s">
        <v>4009</v>
      </c>
      <c r="M55" s="2" t="s">
        <v>2364</v>
      </c>
      <c r="N55" s="2" t="s">
        <v>2322</v>
      </c>
      <c r="O55" s="2" t="s">
        <v>3717</v>
      </c>
    </row>
  </sheetData>
  <dataValidations count="1">
    <dataValidation type="list" sqref="K2:K33">
      <formula1>"待修改,待确认,待补条件,已修订,已修改待复测,复测通过"</formula1>
    </dataValidation>
  </dataValidation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当前用例与补测</vt:lpstr>
      <vt:lpstr>整改跟进</vt:lpstr>
      <vt:lpstr>业务UI与交互用例</vt:lpstr>
      <vt:lpstr>通用模板UI与交互用例</vt:lpstr>
      <vt:lpstr>范围与依据</vt:lpstr>
      <vt:lpstr>修改清单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Public snapshot</cp:lastModifiedBy>
  <dcterms:created xsi:type="dcterms:W3CDTF">2026-10-14T01:23:00Z</dcterms:created>
  <dcterms:modified xsi:type="dcterms:W3CDTF">2026-10-14T13:19:09Z</dcterms:modified>
</cp:coreProperties>
</file>