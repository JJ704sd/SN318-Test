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ec69193e4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周执行" sheetId="1" r:id="R04292f773b584774"/>
    <x:sheet xmlns:r="http://schemas.openxmlformats.org/officeDocument/2006/relationships" name="前端用例" sheetId="2" r:id="Rf63d385eb5f74f2f"/>
    <x:sheet xmlns:r="http://schemas.openxmlformats.org/officeDocument/2006/relationships" name="工作包对应" sheetId="3" r:id="Raaa3249599e0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243247"/>
      <x:name val="Microsoft YaHei"/>
    </x:font>
    <x:font>
      <x:sz val="10"/>
      <x:color rgb="FF243247"/>
      <x:name val="Microsoft YaHei"/>
    </x:font>
    <x:font>
      <x:b/>
      <x:sz val="10"/>
      <x:color rgb="FFFFFFFF"/>
      <x:name val="Microsoft YaHei"/>
    </x:font>
    <x:font>
      <x:sz val="10"/>
      <x:color rgb="FF53687D"/>
      <x:name val="Microsoft YaHei"/>
    </x:font>
    <x:font>
      <x:b/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79"/>
      </x:patternFill>
    </x:fill>
    <x:fill>
      <x:patternFill patternType="solid">
        <x:fgColor rgb="FFFFF3D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right" vertical="top" wrapText="1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2">
    <x:dxf>
      <x:font>
        <x:color rgb="FF285846"/>
      </x:font>
      <x:fill>
        <x:patternFill patternType="solid">
          <x:bgColor rgb="FFE5F4ED"/>
        </x:patternFill>
      </x:fill>
    </x:dxf>
    <x:dxf>
      <x:font>
        <x:color rgb="FF9A382E"/>
      </x:font>
      <x:fill>
        <x:patternFill patternType="solid">
          <x:bgColor rgb="FFFBE5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439a64b654a82" /><Relationship Type="http://schemas.openxmlformats.org/officeDocument/2006/relationships/theme" Target="/xl/theme/theme1.xml" Id="Rb90b3c5948e542e5" /><Relationship Type="http://schemas.openxmlformats.org/officeDocument/2006/relationships/sharedStrings" Target="/xl/sharedStrings.xml" Id="R185d3f9847094255" /><Relationship Type="http://schemas.openxmlformats.org/officeDocument/2006/relationships/worksheet" Target="/xl/worksheets/sheet1.xml" Id="R04292f773b584774" /><Relationship Type="http://schemas.openxmlformats.org/officeDocument/2006/relationships/worksheet" Target="/xl/worksheets/sheet2.xml" Id="Rf63d385eb5f74f2f" /><Relationship Type="http://schemas.openxmlformats.org/officeDocument/2006/relationships/worksheet" Target="/xl/worksheets/sheet3.xml" Id="Raaa3249599e049e7" /></Relationships>
</file>

<file path=xl/tables/table1.xml><?xml version="1.0" encoding="utf-8"?>
<x:table xmlns:x="http://schemas.openxmlformats.org/spreadsheetml/2006/main" id="3" name="WeekCadence" displayName="WeekCadence" ref="A8:B13" headerRowCount="1" totalsRowCount="0" totalsRowShown="0">
  <x:tableColumns count="2">
    <x:tableColumn id="1" name="时间/任务"/>
    <x:tableColumn id="2" name="本周要做的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FrontendFacts" displayName="FrontendFacts" ref="A16:C23" headerRowCount="1" totalsRowCount="0" totalsRowShown="0">
  <x:tableColumns count="3">
    <x:tableColumn id="1" name="特点"/>
    <x:tableColumn id="2" name="当前证据/边界"/>
    <x:tableColumn id="3" name="用例重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FixtureGuide" displayName="FixtureGuide" ref="A26:C31" headerRowCount="1" totalsRowCount="0" totalsRowShown="0">
  <x:tableColumns count="3">
    <x:tableColumn id="1" name="样本"/>
    <x:tableColumn id="2" name="类型"/>
    <x:tableColumn id="3" name="准备内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CaseSources" displayName="CaseSources" ref="A34:D39" headerRowCount="1" totalsRowCount="0" totalsRowShown="0">
  <x:tableColumns count="4">
    <x:tableColumn id="1" name="编号"/>
    <x:tableColumn id="2" name="来源"/>
    <x:tableColumn id="3" name="版本/读取边界"/>
    <x:tableColumn id="4" name="链接或定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FrontendCases" displayName="FrontendCases" ref="A5:Q102" headerRowCount="1" totalsRowCount="0" totalsRowShown="0">
  <x:tableColumns count="17">
    <x:tableColumn id="1" name="编号"/>
    <x:tableColumn id="2" name="建议安排"/>
    <x:tableColumn id="3" name="模块/组件"/>
    <x:tableColumn id="4" name="工作包范围"/>
    <x:tableColumn id="5" name="具体场景"/>
    <x:tableColumn id="6" name="建议顺序"/>
    <x:tableColumn id="7" name="前置与测试数据"/>
    <x:tableColumn id="8" name="入口与操作步骤"/>
    <x:tableColumn id="9" name="预期可观察结果"/>
    <x:tableColumn id="10" name="依据与适用边界"/>
    <x:tableColumn id="11" name="评审结论"/>
    <x:tableColumn id="12" name="开发自测"/>
    <x:tableColumn id="13" name="提测复核"/>
    <x:tableColumn id="14" name="开发角色/Build/证据"/>
    <x:tableColumn id="15" name="复核角色/Build/证据"/>
    <x:tableColumn id="16" name="关联旧用例"/>
    <x:tableColumn id="17" name="当前记录提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" name="PackageMapping" displayName="PackageMapping" ref="A5:N43" headerRowCount="1" totalsRowCount="0" totalsRowShown="0">
  <x:tableColumns count="14">
    <x:tableColumn id="1" name="排期序号"/>
    <x:tableColumn id="2" name="源表行号"/>
    <x:tableColumn id="3" name="二级目录"/>
    <x:tableColumn id="4" name="工作包"/>
    <x:tableColumn id="5" name="本周节奏"/>
    <x:tableColumn id="6" name="原来源"/>
    <x:tableColumn id="7" name="产品"/>
    <x:tableColumn id="8" name="开发"/>
    <x:tableColumn id="9" name="测试"/>
    <x:tableColumn id="10" name="设计准出用例"/>
    <x:tableColumn id="11" name="适用组件用例"/>
    <x:tableColumn id="12" name="本包专项"/>
    <x:tableColumn id="13" name="上一版周用例"/>
    <x:tableColumn id="14" name="未补齐条件/原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426ead4e19415e" /><Relationship Type="http://schemas.openxmlformats.org/officeDocument/2006/relationships/table" Target="/xl/tables/table2.xml" Id="R0f2b454e81bb4dd7" /><Relationship Type="http://schemas.openxmlformats.org/officeDocument/2006/relationships/table" Target="/xl/tables/table3.xml" Id="Rfe965c334b6a48ba" /><Relationship Type="http://schemas.openxmlformats.org/officeDocument/2006/relationships/table" Target="/xl/tables/table4.xml" Id="Rfbd31a62b32345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2d005038d4ec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0efdc5f5e86c4fe2" /></Relationships>
</file>

<file path=xl/worksheets/sheet1.xml><?xml version="1.0" encoding="utf-8"?>
<x:worksheet xmlns:x="http://schemas.openxmlformats.org/spreadsheetml/2006/main">
  <x:sheetPr>
    <x:tabColor rgb="FF244D79"/>
  </x:sheetPr>
  <x:sheetViews>
    <x:sheetView showGridLines="0" workbookViewId="0"/>
  </x:sheetViews>
  <x:sheetFormatPr defaultRowHeight="15"/>
  <x:cols>
    <x:col min="1" max="1" width="34" hidden="0" customWidth="1"/>
    <x:col min="2" max="2" width="114" hidden="0" customWidth="1"/>
    <x:col min="3" max="3" width="85" hidden="0" customWidth="1"/>
    <x:col min="4" max="4" width="9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2" ht="29" customHeight="1">
      <x:c r="A2" s="1" t="str">
        <x:v>PCS W2 前端用例与执行安排</x:v>
      </x:c>
      <x:c r="B2" s="21"/>
      <x:c r="C2" s="21"/>
      <x:c r="D2" s="21"/>
      <x:c r="E2" s="21"/>
      <x:c r="F2" s="21"/>
      <x:c r="G2" s="21"/>
      <x:c r="H2" s="21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27" customHeight="1">
      <x:c r="A4" s="19" t="str">
        <x:v>前端用例</x:v>
      </x:c>
      <x:c r="B4" s="19" t="n">
        <x:f>COUNTA('前端用例'!A6:A102)</x:f>
        <x:v>97</x:v>
      </x:c>
      <x:c r="C4" s="19" t="str">
        <x:v>W2工作包</x:v>
      </x:c>
      <x:c r="D4" s="19" t="n">
        <x:f>COUNTA('工作包对应'!A6:A43)</x:f>
        <x:v>38</x:v>
      </x:c>
      <x:c r="E4" s="19" t="str">
        <x:v>待评审/依据</x:v>
      </x:c>
      <x:c r="F4" s="19" t="n">
        <x:f>COUNTIFS('前端用例'!Q6:Q102,"待评审/依据")</x:f>
        <x:v>97</x:v>
      </x:c>
      <x:c r="G4" s="19" t="str">
        <x:v>有效复核通过</x:v>
      </x:c>
      <x:c r="H4" s="19" t="n">
        <x:f>COUNTIFS('前端用例'!Q6:Q102,"本轮复核通过")</x:f>
        <x:v>0</x:v>
      </x:c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16" t="str">
        <x:v>12条设计准出＋47条组件交互＋38条业务页面专项；业务类目前均未执行。</x:v>
      </x:c>
      <x:c r="B6" s="21"/>
      <x:c r="C6" s="21"/>
      <x:c r="D6" s="21"/>
      <x:c r="E6" s="21"/>
      <x:c r="F6" s="21"/>
      <x:c r="G6" s="21"/>
      <x:c r="H6" s="21"/>
    </x:row>
    <x:row r="7">
      <x:c r="A7" s="21"/>
      <x:c r="B7" s="21"/>
      <x:c r="C7" s="21"/>
      <x:c r="D7" s="21"/>
      <x:c r="E7" s="21"/>
      <x:c r="F7" s="21"/>
      <x:c r="G7" s="21"/>
      <x:c r="H7" s="21"/>
    </x:row>
    <x:row r="8" ht="36" customHeight="1">
      <x:c r="A8" s="13" t="str">
        <x:v>时间/任务</x:v>
      </x:c>
      <x:c r="B8" s="15" t="str">
        <x:v>本周要做的事</x:v>
      </x:c>
      <x:c r="C8" s="21"/>
      <x:c r="D8" s="21"/>
      <x:c r="E8" s="21"/>
      <x:c r="F8" s="21"/>
      <x:c r="G8" s="21"/>
      <x:c r="H8" s="21"/>
    </x:row>
    <x:row r="9" ht="46" customHeight="1">
      <x:c r="A9" s="4" t="str">
        <x:v>10/12 范围/设计准备</x:v>
      </x:c>
      <x:c r="B9" s="4" t="str">
        <x:v>继续闭环RV01–12；10/12是任务计划，未提供已完成证据。</x:v>
      </x:c>
      <x:c r="C9" s="21"/>
      <x:c r="D9" s="21"/>
      <x:c r="E9" s="21"/>
      <x:c r="F9" s="21"/>
      <x:c r="G9" s="21"/>
      <x:c r="H9" s="21"/>
    </x:row>
    <x:row r="10" ht="46" customHeight="1">
      <x:c r="A10" s="4" t="str">
        <x:v>10/13 基础配置与服务管理</x:v>
      </x:c>
      <x:c r="B10" s="4" t="str">
        <x:v>50/51/56优先评审并复测4类历史问题；服务管理准备BP01–05/07–11。</x:v>
      </x:c>
      <x:c r="C10" s="21"/>
      <x:c r="D10" s="21"/>
      <x:c r="E10" s="21"/>
      <x:c r="F10" s="21"/>
      <x:c r="G10" s="21"/>
      <x:c r="H10" s="21"/>
    </x:row>
    <x:row r="11" ht="46" customHeight="1">
      <x:c r="A11" s="4" t="str">
        <x:v>10/14 价格维护</x:v>
      </x:c>
      <x:c r="B11" s="4" t="str">
        <x:v>12–29以字段切换、明细行、分区选择/页签及燃油区间为重点；原型缺PRD先评审。</x:v>
      </x:c>
      <x:c r="C11" s="21"/>
      <x:c r="D11" s="21"/>
      <x:c r="E11" s="21"/>
      <x:c r="F11" s="21"/>
      <x:c r="G11" s="21"/>
      <x:c r="H11" s="21"/>
    </x:row>
    <x:row r="12" ht="46" customHeight="1">
      <x:c r="A12" s="4" t="str">
        <x:v>10/15 剩余配置/日志</x:v>
      </x:c>
      <x:c r="B12" s="4" t="str">
        <x:v>52–55/57–58/65逐项补入口和契约；日志测试负责人待认领。</x:v>
      </x:c>
      <x:c r="C12" s="21"/>
      <x:c r="D12" s="21"/>
      <x:c r="E12" s="21"/>
      <x:c r="F12" s="21"/>
      <x:c r="G12" s="21"/>
      <x:c r="H12" s="21"/>
    </x:row>
    <x:row r="13" ht="46" customHeight="1">
      <x:c r="A13" s="4" t="str">
        <x:v>10/16 提测复核与周结</x:v>
      </x:c>
      <x:c r="B13" s="4" t="str">
        <x:v>只对已交付包运行FE/BP；核对开发自测和提测复核各自证据，输出遗留与下周提测建议。</x:v>
      </x:c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2" t="str">
        <x:v>PCS前端特点与测试重点</x:v>
      </x:c>
      <x:c r="B15" s="21"/>
      <x:c r="C15" s="21"/>
      <x:c r="D15" s="21"/>
      <x:c r="E15" s="21"/>
      <x:c r="F15" s="21"/>
      <x:c r="G15" s="21"/>
      <x:c r="H15" s="21"/>
    </x:row>
    <x:row r="16" ht="36" customHeight="1">
      <x:c r="A16" s="13" t="str">
        <x:v>特点</x:v>
      </x:c>
      <x:c r="B16" s="14" t="str">
        <x:v>当前证据/边界</x:v>
      </x:c>
      <x:c r="C16" s="15" t="str">
        <x:v>用例重点</x:v>
      </x:c>
      <x:c r="D16" s="21"/>
      <x:c r="E16" s="21"/>
      <x:c r="F16" s="21"/>
      <x:c r="G16" s="21"/>
      <x:c r="H16" s="21"/>
    </x:row>
    <x:row r="17" ht="46" customHeight="1">
      <x:c r="A17" s="4" t="str">
        <x:v>Vue路由＋权限菜单</x:v>
      </x:c>
      <x:c r="B17" s="4" t="str">
        <x:v>源码已核对；业务路由当前仍示例/登录/异常</x:v>
      </x:c>
      <x:c r="C17" s="4" t="str">
        <x:v>FE01–04/46；页面与接口权限一起验证</x:v>
      </x:c>
      <x:c r="D17" s="21"/>
      <x:c r="E17" s="21"/>
      <x:c r="F17" s="21"/>
      <x:c r="G17" s="21"/>
      <x:c r="H17" s="21"/>
    </x:row>
    <x:row r="18" ht="46" customHeight="1">
      <x:c r="A18" s="4" t="str">
        <x:v>三档侧栏与异步骨架</x:v>
      </x:c>
      <x:c r="B18" s="4" t="str">
        <x:v>源码已核对1279/1280/1439/1440边界逻辑</x:v>
      </x:c>
      <x:c r="C18" s="4" t="str">
        <x:v>FE05–08；旧请求不覆盖新页面</x:v>
      </x:c>
      <x:c r="D18" s="21"/>
      <x:c r="E18" s="21"/>
      <x:c r="F18" s="21"/>
      <x:c r="G18" s="21"/>
      <x:c r="H18" s="21"/>
    </x:row>
    <x:row r="19" ht="46" customHeight="1">
      <x:c r="A19" s="4" t="str">
        <x:v>列表查询、分页、固定列与批量</x:v>
      </x:c>
      <x:c r="B19" s="4" t="str">
        <x:v>示例使用useTableList，批量/导出部分仅提示</x:v>
      </x:c>
      <x:c r="C19" s="4" t="str">
        <x:v>FE12–25/42；计数、对象ID和真实文件留证</x:v>
      </x:c>
      <x:c r="D19" s="21"/>
      <x:c r="E19" s="21"/>
      <x:c r="F19" s="21"/>
      <x:c r="G19" s="21"/>
      <x:c r="H19" s="21"/>
    </x:row>
    <x:row r="20" ht="46" customHeight="1">
      <x:c r="A20" s="4" t="str">
        <x:v>受控表单与条件字段</x:v>
      </x:c>
      <x:c r="B20" s="4" t="str">
        <x:v>示例amount2位/weight3位；取消与回填需业务复测</x:v>
      </x:c>
      <x:c r="C20" s="4" t="str">
        <x:v>FE26–33/39–41；字段契约按PRD，不套模板精度</x:v>
      </x:c>
      <x:c r="D20" s="21"/>
      <x:c r="E20" s="21"/>
      <x:c r="F20" s="21"/>
      <x:c r="G20" s="21"/>
      <x:c r="H20" s="21"/>
    </x:row>
    <x:row r="21" ht="46" customHeight="1">
      <x:c r="A21" s="4" t="str">
        <x:v>懒加载Drawer与行内编辑</x:v>
      </x:c>
      <x:c r="B21" s="4" t="str">
        <x:v>关闭和detail独立；示例关下拉后提交本地状态</x:v>
      </x:c>
      <x:c r="C21" s="4" t="str">
        <x:v>FE34–37；承载/失焦按批准设计，业务需读回</x:v>
      </x:c>
      <x:c r="D21" s="21"/>
      <x:c r="E21" s="21"/>
      <x:c r="F21" s="21"/>
      <x:c r="G21" s="21"/>
      <x:c r="H21" s="21"/>
    </x:row>
    <x:row r="22" ht="46" customHeight="1">
      <x:c r="A22" s="4" t="str">
        <x:v>导入与AI开关</x:v>
      </x:c>
      <x:c r="B22" s="4" t="str">
        <x:v>示例导入只执行刷新；AI是否纳入按本期范围</x:v>
      </x:c>
      <x:c r="C22" s="4" t="str">
        <x:v>FE43–45；解析/预览/确认/正式结果分别核对</x:v>
      </x:c>
      <x:c r="D22" s="21"/>
      <x:c r="E22" s="21"/>
      <x:c r="F22" s="21"/>
      <x:c r="G22" s="21"/>
      <x:c r="H22" s="21"/>
    </x:row>
    <x:row r="23" ht="46" customHeight="1">
      <x:c r="A23" s="4" t="str">
        <x:v>当前可执行边界</x:v>
      </x:c>
      <x:c r="B23" s="4" t="str">
        <x:v>2026-10-13在线PCS回统一登录；本地BFF只healthz+TODO</x:v>
      </x:c>
      <x:c r="C23" s="4" t="str">
        <x:v>业务页截图和4类问题沿用10/12；本轮仅梳理，不报告执行通过</x:v>
      </x:c>
      <x:c r="D23" s="21"/>
      <x:c r="E23" s="21"/>
      <x:c r="F23" s="21"/>
      <x:c r="G23" s="21"/>
      <x:c r="H23" s="21"/>
    </x:row>
    <x:row r="24">
      <x:c r="A24" s="21"/>
      <x:c r="B24" s="21"/>
      <x:c r="C24" s="21"/>
      <x:c r="D24" s="21"/>
      <x:c r="E24" s="21"/>
      <x:c r="F24" s="21"/>
      <x:c r="G24" s="21"/>
      <x:c r="H24" s="21"/>
    </x:row>
    <x:row r="25">
      <x:c r="A25" s="22" t="str">
        <x:v>执行数据与留证</x:v>
      </x:c>
      <x:c r="B25" s="21"/>
      <x:c r="C25" s="21"/>
      <x:c r="D25" s="21"/>
      <x:c r="E25" s="21"/>
      <x:c r="F25" s="21"/>
      <x:c r="G25" s="21"/>
      <x:c r="H25" s="21"/>
    </x:row>
    <x:row r="26" ht="36" customHeight="1">
      <x:c r="A26" s="13" t="str">
        <x:v>样本</x:v>
      </x:c>
      <x:c r="B26" s="14" t="str">
        <x:v>类型</x:v>
      </x:c>
      <x:c r="C26" s="15" t="str">
        <x:v>准备内容</x:v>
      </x:c>
      <x:c r="D26" s="21"/>
      <x:c r="E26" s="21"/>
      <x:c r="F26" s="21"/>
      <x:c r="G26" s="21"/>
      <x:c r="H26" s="21"/>
    </x:row>
    <x:row r="27" ht="46" customHeight="1">
      <x:c r="A27" s="4" t="str">
        <x:v>D01</x:v>
      </x:c>
      <x:c r="B27" s="4" t="str">
        <x:v>身份与对象</x:v>
      </x:c>
      <x:c r="C27" s="4" t="str">
        <x:v>角色A/B、已知对象A/B、合法/引用受限对象；记录ID及批准状态</x:v>
      </x:c>
      <x:c r="D27" s="21"/>
      <x:c r="E27" s="21"/>
      <x:c r="F27" s="21"/>
      <x:c r="G27" s="21"/>
      <x:c r="H27" s="21"/>
    </x:row>
    <x:row r="28" ht="46" customHeight="1">
      <x:c r="A28" s="4" t="str">
        <x:v>D02</x:v>
      </x:c>
      <x:c r="B28" s="4" t="str">
        <x:v>列表数量</x:v>
      </x:c>
      <x:c r="C28" s="4" t="str">
        <x:v>0/1/N/N+1/2N+1；N为批准页容量，模板20仅是示例</x:v>
      </x:c>
      <x:c r="D28" s="21"/>
      <x:c r="E28" s="21"/>
      <x:c r="F28" s="21"/>
      <x:c r="G28" s="21"/>
      <x:c r="H28" s="21"/>
    </x:row>
    <x:row r="29" ht="46" customHeight="1">
      <x:c r="A29" s="4" t="str">
        <x:v>D03</x:v>
      </x:c>
      <x:c r="B29" s="4" t="str">
        <x:v>字符与数字</x:v>
      </x:c>
      <x:c r="C29" s="4" t="str">
        <x:v>L-1/L/L+1；中文、粘贴、空格；空、0、合法边界、小数；L/精度取字段PRD</x:v>
      </x:c>
      <x:c r="D29" s="21"/>
      <x:c r="E29" s="21"/>
      <x:c r="F29" s="21"/>
      <x:c r="G29" s="21"/>
      <x:c r="H29" s="21"/>
    </x:row>
    <x:row r="30" ht="46" customHeight="1">
      <x:c r="A30" s="4" t="str">
        <x:v>D04</x:v>
      </x:c>
      <x:c r="B30" s="4" t="str">
        <x:v>异步与错误</x:v>
      </x:c>
      <x:c r="C30" s="4" t="str">
        <x:v>本地合成A800ms/B100ms、超时、403、500；不直接修改真实服务</x:v>
      </x:c>
      <x:c r="D30" s="21"/>
      <x:c r="E30" s="21"/>
      <x:c r="F30" s="21"/>
      <x:c r="G30" s="21"/>
      <x:c r="H30" s="21"/>
    </x:row>
    <x:row r="31" ht="46" customHeight="1">
      <x:c r="A31" s="4" t="str">
        <x:v>D05</x:v>
      </x:c>
      <x:c r="B31" s="4" t="str">
        <x:v>文件/版本</x:v>
      </x:c>
      <x:c r="C31" s="4" t="str">
        <x:v>合成有效文件、一行错误文件；真实可打开导出文件；有2历史版本对象</x:v>
      </x:c>
      <x:c r="D31" s="21"/>
      <x:c r="E31" s="21"/>
      <x:c r="F31" s="21"/>
      <x:c r="G31" s="21"/>
      <x:c r="H31" s="21"/>
    </x:row>
    <x:row r="32">
      <x:c r="A32" s="21"/>
      <x:c r="B32" s="21"/>
      <x:c r="C32" s="21"/>
      <x:c r="D32" s="21"/>
      <x:c r="E32" s="21"/>
      <x:c r="F32" s="21"/>
      <x:c r="G32" s="21"/>
      <x:c r="H32" s="21"/>
    </x:row>
    <x:row r="33">
      <x:c r="A33" s="22" t="str">
        <x:v>资料来源与版本</x:v>
      </x:c>
      <x:c r="B33" s="21"/>
      <x:c r="C33" s="21"/>
      <x:c r="D33" s="21"/>
      <x:c r="E33" s="21"/>
      <x:c r="F33" s="21"/>
      <x:c r="G33" s="21"/>
      <x:c r="H33" s="21"/>
    </x:row>
    <x:row r="34" ht="36" customHeight="1">
      <x:c r="A34" s="13" t="str">
        <x:v>编号</x:v>
      </x:c>
      <x:c r="B34" s="14" t="str">
        <x:v>来源</x:v>
      </x:c>
      <x:c r="C34" s="14" t="str">
        <x:v>版本/读取边界</x:v>
      </x:c>
      <x:c r="D34" s="15" t="str">
        <x:v>链接或定位</x:v>
      </x:c>
      <x:c r="E34" s="21"/>
      <x:c r="F34" s="21"/>
      <x:c r="G34" s="21"/>
      <x:c r="H34" s="21"/>
    </x:row>
    <x:row r="35" ht="46" customHeight="1">
      <x:c r="A35" s="4" t="str">
        <x:v>S01</x:v>
      </x:c>
      <x:c r="B35" s="4" t="str">
        <x:v>W2排期</x:v>
      </x:c>
      <x:c r="C35" s="4" t="str">
        <x:v>飞书rev988；本轮10/13读取，38项未变</x:v>
      </x:c>
      <x:c r="D35" s="4" t="str">
        <x:v>https://example.invalid/source/7cdefbaffe</x:v>
      </x:c>
      <x:c r="E35" s="21"/>
      <x:c r="F35" s="21"/>
      <x:c r="G35" s="21"/>
      <x:c r="H35" s="21"/>
    </x:row>
    <x:row r="36" ht="46" customHeight="1">
      <x:c r="A36" s="4" t="str">
        <x:v>S02</x:v>
      </x:c>
      <x:c r="B36" s="4" t="str">
        <x:v>产品与UI资料</x:v>
      </x:c>
      <x:c r="C36" s="4" t="str">
        <x:v>PRD8345、Review680、规范5256、公共基准95均为10/12快照；采纳状态另确认</x:v>
      </x:c>
      <x:c r="D36" s="4" t="str">
        <x:v>上一版W2工作簿及其来源；本轮未声称这些快照为10/13最新</x:v>
      </x:c>
      <x:c r="E36" s="21"/>
      <x:c r="F36" s="21"/>
      <x:c r="G36" s="21"/>
      <x:c r="H36" s="21"/>
    </x:row>
    <x:row r="37" ht="46" customHeight="1">
      <x:c r="A37" s="4" t="str">
        <x:v>S03</x:v>
      </x:c>
      <x:c r="B37" s="4" t="str">
        <x:v>pcs-front源码</x:v>
      </x:c>
      <x:c r="C37" s="4" t="str">
        <x:v>commit 66a11b60e756454108a9bd396ed4db74b64f0c61；本轮只读核对</x:v>
      </x:c>
      <x:c r="D37" s="4" t="str">
        <x:v>router/routes.ts；layout/BasicLayout/AppSider/PageHeader；demo/composables及FormFields/ListStatusCell；bff/app.ts</x:v>
      </x:c>
      <x:c r="E37" s="21"/>
      <x:c r="F37" s="21"/>
      <x:c r="G37" s="21"/>
      <x:c r="H37" s="21"/>
    </x:row>
    <x:row r="38" ht="46" customHeight="1">
      <x:c r="A38" s="4" t="str">
        <x:v>S04</x:v>
      </x:c>
      <x:c r="B38" s="4" t="str">
        <x:v>引用聊天</x:v>
      </x:c>
      <x:c r="C38" s="4" t="str">
        <x:v>探索 pcs-front 前端界面；10/13本地启动结果已读取</x:v>
      </x:c>
      <x:c r="D38" s="4" t="str">
        <x:v>本地登录页/健康检查成功不代表业务接口完成</x:v>
      </x:c>
      <x:c r="E38" s="21"/>
      <x:c r="F38" s="21"/>
      <x:c r="G38" s="21"/>
      <x:c r="H38" s="21"/>
    </x:row>
    <x:row r="39" ht="46" customHeight="1">
      <x:c r="A39" s="4" t="str">
        <x:v>S05</x:v>
      </x:c>
      <x:c r="B39" s="4" t="str">
        <x:v>PCS页面观察</x:v>
      </x:c>
      <x:c r="C39" s="4" t="str">
        <x:v>10/13已回统一登录；业务观察使用10/12留存证据</x:v>
      </x:c>
      <x:c r="D39" s="4" t="str">
        <x:v>https://localhost/pcs/system-config/master-data?group=fee&amp;resource=fee_item</x:v>
      </x:c>
      <x:c r="E39" s="21"/>
      <x:c r="F39" s="21"/>
      <x:c r="G39" s="21"/>
      <x:c r="H39" s="21"/>
    </x:row>
  </x:sheetData>
  <x:pageMargins left="0.7" right="0.7" top="0.75" bottom="0.75" header="0.3" footer="0.3"/>
  <x:tableParts count="4">
    <x:tablePart xmlns:r="http://schemas.openxmlformats.org/officeDocument/2006/relationships" r:id="R1b426ead4e19415e"/>
    <x:tablePart xmlns:r="http://schemas.openxmlformats.org/officeDocument/2006/relationships" r:id="R0f2b454e81bb4dd7"/>
    <x:tablePart xmlns:r="http://schemas.openxmlformats.org/officeDocument/2006/relationships" r:id="Rfe965c334b6a48ba"/>
    <x:tablePart xmlns:r="http://schemas.openxmlformats.org/officeDocument/2006/relationships" r:id="Rfbd31a62b323456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3" hidden="0" customWidth="1"/>
    <x:col min="4" max="4" width="21" hidden="0" customWidth="1"/>
    <x:col min="5" max="5" width="36" hidden="0" customWidth="1"/>
    <x:col min="6" max="6" width="13" hidden="0" customWidth="1"/>
    <x:col min="7" max="7" width="59" hidden="0" customWidth="1"/>
    <x:col min="8" max="8" width="68" hidden="0" customWidth="1"/>
    <x:col min="9" max="9" width="74" hidden="0" customWidth="1"/>
    <x:col min="10" max="10" width="70" hidden="0" customWidth="1"/>
    <x:col min="11" max="11" width="16" hidden="0" customWidth="1"/>
    <x:col min="12" max="12" width="16" hidden="0" customWidth="1"/>
    <x:col min="13" max="13" width="16" hidden="0" customWidth="1"/>
    <x:col min="14" max="14" width="43" hidden="0" customWidth="1"/>
    <x:col min="15" max="15" width="43" hidden="0" customWidth="1"/>
    <x:col min="16" max="16" width="42" hidden="0" customWidth="1"/>
    <x:col min="17" max="17" width="26" hidden="0" customWidth="1"/>
  </x:cols>
  <x:sheetData>
    <x:row r="2" ht="29" customHeight="1">
      <x:c r="A2" s="1" t="str">
        <x:v>PCS 前端用例：评审、自测与提测复核分别记录</x:v>
      </x:c>
    </x:row>
    <x:row r="3">
      <x:c r="A3" s="16" t="str">
        <x:v>仅对实际支持的页面能力执行；同组件不同页面分别留证，模板结果不代替业务通过。</x:v>
      </x:c>
    </x:row>
    <x:row r="5" ht="36" customHeight="1">
      <x:c r="A5" s="13" t="str">
        <x:v>编号</x:v>
      </x:c>
      <x:c r="B5" s="14" t="str">
        <x:v>建议安排</x:v>
      </x:c>
      <x:c r="C5" s="14" t="str">
        <x:v>模块/组件</x:v>
      </x:c>
      <x:c r="D5" s="14" t="str">
        <x:v>工作包范围</x:v>
      </x:c>
      <x:c r="E5" s="14" t="str">
        <x:v>具体场景</x:v>
      </x:c>
      <x:c r="F5" s="14" t="str">
        <x:v>建议顺序</x:v>
      </x:c>
      <x:c r="G5" s="14" t="str">
        <x:v>前置与测试数据</x:v>
      </x:c>
      <x:c r="H5" s="14" t="str">
        <x:v>入口与操作步骤</x:v>
      </x:c>
      <x:c r="I5" s="14" t="str">
        <x:v>预期可观察结果</x:v>
      </x:c>
      <x:c r="J5" s="14" t="str">
        <x:v>依据与适用边界</x:v>
      </x:c>
      <x:c r="K5" s="14" t="str">
        <x:v>评审结论</x:v>
      </x:c>
      <x:c r="L5" s="14" t="str">
        <x:v>开发自测</x:v>
      </x:c>
      <x:c r="M5" s="14" t="str">
        <x:v>提测复核</x:v>
      </x:c>
      <x:c r="N5" s="14" t="str">
        <x:v>开发角色/Build/证据</x:v>
      </x:c>
      <x:c r="O5" s="14" t="str">
        <x:v>复核角色/Build/证据</x:v>
      </x:c>
      <x:c r="P5" s="14" t="str">
        <x:v>关联旧用例</x:v>
      </x:c>
      <x:c r="Q5" s="15" t="str">
        <x:v>当前记录提示</x:v>
      </x:c>
    </x:row>
    <x:row r="6" ht="54" customHeight="1">
      <x:c r="A6" s="4" t="str">
        <x:v>RV01</x:v>
      </x:c>
      <x:c r="B6" s="4" t="str">
        <x:v>10/13，评审未闭环项</x:v>
      </x:c>
      <x:c r="C6" s="4" t="str">
        <x:v>设计准出</x:v>
      </x:c>
      <x:c r="D6" s="4" t="str">
        <x:v>全部W2</x:v>
      </x:c>
      <x:c r="E6" s="4" t="str">
        <x:v>本期范围与前端入口</x:v>
      </x:c>
      <x:c r="F6" s="4" t="str">
        <x:v>优先</x:v>
      </x:c>
      <x:c r="G6" s="4" t="str">
        <x:v>封板基线、W2排期和模块交付清单</x:v>
      </x:c>
      <x:c r="H6" s="4" t="str">
        <x:v>1.逐项核对38项。
2.记录角色、入口、控件与用户可见结果。
3.原型有而PRD未定位的逐项确认纳入或本期不做。</x:v>
      </x:c>
      <x:c r="I6" s="4" t="str">
        <x:v>38项都有书面范围及承载位置；缺口记录具体资料，不能仅凭UI/开计已交付。</x:v>
      </x:c>
      <x:c r="J6" s="4" t="str">
        <x:v>阶段共识2–4、9、12、16–17</x:v>
      </x:c>
      <x:c r="K6" s="17" t="str">
        <x:v>待评审</x:v>
      </x:c>
      <x:c r="L6" s="17" t="str">
        <x:v>不适用</x:v>
      </x:c>
      <x:c r="M6" s="17" t="str">
        <x:v>不适用</x:v>
      </x:c>
      <x:c r="N6" s="17" t="str"/>
      <x:c r="O6" s="17" t="str"/>
      <x:c r="P6" s="4" t="str"/>
      <x:c r="Q6" s="4" t="str">
        <x:f>IF(K6="不纳入","不纳入",IF(K6="可执行","评审闭环","待评审/依据"))</x:f>
        <x:v>待评审/依据</x:v>
      </x:c>
    </x:row>
    <x:row r="7" ht="46" customHeight="1">
      <x:c r="A7" s="4" t="str">
        <x:v>RV02</x:v>
      </x:c>
      <x:c r="B7" s="4" t="str">
        <x:v>10/13，评审未闭环项</x:v>
      </x:c>
      <x:c r="C7" s="4" t="str">
        <x:v>设计准出</x:v>
      </x:c>
      <x:c r="D7" s="4" t="str">
        <x:v>3</x:v>
      </x:c>
      <x:c r="E7" s="4" t="str">
        <x:v>服务单元新建承载方案</x:v>
      </x:c>
      <x:c r="F7" s="4" t="str">
        <x:v>优先</x:v>
      </x:c>
      <x:c r="G7" s="4" t="str">
        <x:v>排期序号3、UI35组合方案</x:v>
      </x:c>
      <x:c r="H7" s="4" t="str">
        <x:v>1.对照排期弹窗与Review独立页。
2.明确采用稿版本、字段分组和返回路径。</x:v>
      </x:c>
      <x:c r="I7" s="4" t="str">
        <x:v>只按采纳的一种承载设计执行，旧弹窗描述同步校准。</x:v>
      </x:c>
      <x:c r="J7" s="4" t="str">
        <x:v>UI35；Review快照rev680</x:v>
      </x:c>
      <x:c r="K7" s="17" t="str">
        <x:v>待评审</x:v>
      </x:c>
      <x:c r="L7" s="17" t="str">
        <x:v>不适用</x:v>
      </x:c>
      <x:c r="M7" s="17" t="str">
        <x:v>不适用</x:v>
      </x:c>
      <x:c r="N7" s="17" t="str"/>
      <x:c r="O7" s="17" t="str"/>
      <x:c r="P7" s="4" t="str"/>
      <x:c r="Q7" s="4" t="str">
        <x:f>IF(K7="不纳入","不纳入",IF(K7="可执行","评审闭环","待评审/依据"))</x:f>
        <x:v>待评审/依据</x:v>
      </x:c>
    </x:row>
    <x:row r="8" ht="46" customHeight="1">
      <x:c r="A8" s="4" t="str">
        <x:v>RV03</x:v>
      </x:c>
      <x:c r="B8" s="4" t="str">
        <x:v>10/13，评审未闭环项</x:v>
      </x:c>
      <x:c r="C8" s="4" t="str">
        <x:v>设计准出</x:v>
      </x:c>
      <x:c r="D8" s="4" t="str">
        <x:v>4</x:v>
      </x:c>
      <x:c r="E8" s="4" t="str">
        <x:v>服务单元详情整页或Drawer</x:v>
      </x:c>
      <x:c r="F8" s="4" t="str">
        <x:v>优先</x:v>
      </x:c>
      <x:c r="G8" s="4" t="str">
        <x:v>UI18及UI50的冲突记录</x:v>
      </x:c>
      <x:c r="H8" s="4" t="str">
        <x:v>1.拆分当前详情与历史视图。
2.裁决详情整页或Drawer并记录排除项。</x:v>
      </x:c>
      <x:c r="I8" s="4" t="str">
        <x:v>UI18/UI50互斥执行且附裁决；Zone抽屉不代替服务单元详情。</x:v>
      </x:c>
      <x:c r="J8" s="4" t="str">
        <x:v>UI18/UI50；Review快照rev680</x:v>
      </x:c>
      <x:c r="K8" s="17" t="str">
        <x:v>待评审</x:v>
      </x:c>
      <x:c r="L8" s="17" t="str">
        <x:v>不适用</x:v>
      </x:c>
      <x:c r="M8" s="17" t="str">
        <x:v>不适用</x:v>
      </x:c>
      <x:c r="N8" s="17" t="str"/>
      <x:c r="O8" s="17" t="str"/>
      <x:c r="P8" s="4" t="str"/>
      <x:c r="Q8" s="4" t="str">
        <x:f>IF(K8="不纳入","不纳入",IF(K8="可执行","评审闭环","待评审/依据"))</x:f>
        <x:v>待评审/依据</x:v>
      </x:c>
    </x:row>
    <x:row r="9" ht="46" customHeight="1">
      <x:c r="A9" s="4" t="str">
        <x:v>RV04</x:v>
      </x:c>
      <x:c r="B9" s="4" t="str">
        <x:v>10/13，评审未闭环项</x:v>
      </x:c>
      <x:c r="C9" s="4" t="str">
        <x:v>设计准出</x:v>
      </x:c>
      <x:c r="D9" s="4" t="str">
        <x:v>4、9</x:v>
      </x:c>
      <x:c r="E9" s="4" t="str">
        <x:v>历史版本视图适用边界</x:v>
      </x:c>
      <x:c r="F9" s="4" t="str">
        <x:v>优先</x:v>
      </x:c>
      <x:c r="G9" s="4" t="str">
        <x:v>来源服务单元UI51与组合版本PRD</x:v>
      </x:c>
      <x:c r="H9" s="4" t="str">
        <x:v>1.核对两个模块的版本入口。
2.确认各自采用的历史列表/详情形式。</x:v>
      </x:c>
      <x:c r="I9" s="4" t="str">
        <x:v>服务单元版本抽屉不直接套给服务组合；每个模块有独立采纳稿。</x:v>
      </x:c>
      <x:c r="J9" s="4" t="str">
        <x:v>UI51；PRD8345快照</x:v>
      </x:c>
      <x:c r="K9" s="17" t="str">
        <x:v>待评审</x:v>
      </x:c>
      <x:c r="L9" s="17" t="str">
        <x:v>不适用</x:v>
      </x:c>
      <x:c r="M9" s="17" t="str">
        <x:v>不适用</x:v>
      </x:c>
      <x:c r="N9" s="17" t="str"/>
      <x:c r="O9" s="17" t="str"/>
      <x:c r="P9" s="4" t="str"/>
      <x:c r="Q9" s="4" t="str">
        <x:f>IF(K9="不纳入","不纳入",IF(K9="可执行","评审闭环","待评审/依据"))</x:f>
        <x:v>待评审/依据</x:v>
      </x:c>
    </x:row>
    <x:row r="10" ht="46" customHeight="1">
      <x:c r="A10" s="4" t="str">
        <x:v>RV05</x:v>
      </x:c>
      <x:c r="B10" s="4" t="str">
        <x:v>10/13，评审未闭环项</x:v>
      </x:c>
      <x:c r="C10" s="4" t="str">
        <x:v>设计准出</x:v>
      </x:c>
      <x:c r="D10" s="4" t="str">
        <x:v>15</x:v>
      </x:c>
      <x:c r="E10" s="4" t="str">
        <x:v>行内编辑的提交和取消规则</x:v>
      </x:c>
      <x:c r="F10" s="4" t="str">
        <x:v>优先</x:v>
      </x:c>
      <x:c r="G10" s="4" t="str">
        <x:v>全局行内规范修改中；本地示例关闭下拉即提交</x:v>
      </x:c>
      <x:c r="H10" s="4" t="str">
        <x:v>1.确定编辑触发、Enter/Esc、失焦、切行与错误行为。
2.明确显式保存还是失焦提交。</x:v>
      </x:c>
      <x:c r="I10" s="4" t="str">
        <x:v>业务规则先书面定稿；不把示例失焦提交作为价卡验收规则。</x:v>
      </x:c>
      <x:c r="J10" s="4" t="str">
        <x:v>UI42；useStatusEdit/ListStatusCell（源码事实）</x:v>
      </x:c>
      <x:c r="K10" s="17" t="str">
        <x:v>待评审</x:v>
      </x:c>
      <x:c r="L10" s="17" t="str">
        <x:v>不适用</x:v>
      </x:c>
      <x:c r="M10" s="17" t="str">
        <x:v>不适用</x:v>
      </x:c>
      <x:c r="N10" s="17" t="str"/>
      <x:c r="O10" s="17" t="str"/>
      <x:c r="P10" s="4" t="str"/>
      <x:c r="Q10" s="4" t="str">
        <x:f>IF(K10="不纳入","不纳入",IF(K10="可执行","评审闭环","待评审/依据"))</x:f>
        <x:v>待评审/依据</x:v>
      </x:c>
    </x:row>
    <x:row r="11" ht="46" customHeight="1">
      <x:c r="A11" s="4" t="str">
        <x:v>RV06</x:v>
      </x:c>
      <x:c r="B11" s="4" t="str">
        <x:v>10/13，评审未闭环项</x:v>
      </x:c>
      <x:c r="C11" s="4" t="str">
        <x:v>设计准出</x:v>
      </x:c>
      <x:c r="D11" s="4" t="str">
        <x:v>50、56、57</x:v>
      </x:c>
      <x:c r="E11" s="4" t="str">
        <x:v>三类空态的可达条件</x:v>
      </x:c>
      <x:c r="F11" s="4" t="str">
        <x:v>优先</x:v>
      </x:c>
      <x:c r="G11" s="4" t="str">
        <x:v>正常/从未有数据/筛选无结果/删空样本</x:v>
      </x:c>
      <x:c r="H11" s="4" t="str">
        <x:v>1.核对哪类空态能由合法业务动作到达。
2.闭环可接货型是否至少保留一项。</x:v>
      </x:c>
      <x:c r="I11" s="4" t="str">
        <x:v>UI定义完整；规则禁止删空时不通过非法造数据验收删空。</x:v>
      </x:c>
      <x:c r="J11" s="4" t="str">
        <x:v>阶段共识13；PRD快照c18</x:v>
      </x:c>
      <x:c r="K11" s="17" t="str">
        <x:v>待评审</x:v>
      </x:c>
      <x:c r="L11" s="17" t="str">
        <x:v>不适用</x:v>
      </x:c>
      <x:c r="M11" s="17" t="str">
        <x:v>不适用</x:v>
      </x:c>
      <x:c r="N11" s="17" t="str"/>
      <x:c r="O11" s="17" t="str"/>
      <x:c r="P11" s="4" t="str"/>
      <x:c r="Q11" s="4" t="str">
        <x:f>IF(K11="不纳入","不纳入",IF(K11="可执行","评审闭环","待评审/依据"))</x:f>
        <x:v>待评审/依据</x:v>
      </x:c>
    </x:row>
    <x:row r="12" ht="46" customHeight="1">
      <x:c r="A12" s="4" t="str">
        <x:v>RV07</x:v>
      </x:c>
      <x:c r="B12" s="4" t="str">
        <x:v>10/13，评审未闭环项</x:v>
      </x:c>
      <x:c r="C12" s="4" t="str">
        <x:v>设计准出</x:v>
      </x:c>
      <x:c r="D12" s="4" t="str">
        <x:v>54</x:v>
      </x:c>
      <x:c r="E12" s="4" t="str">
        <x:v>计费方式适用要素控件契约</x:v>
      </x:c>
      <x:c r="F12" s="4" t="str">
        <x:v>优先</x:v>
      </x:c>
      <x:c r="G12" s="4" t="str">
        <x:v>适用要素文本/清单来源待明确</x:v>
      </x:c>
      <x:c r="H12" s="4" t="str">
        <x:v>1.确认控件形式、选项来源和输入限制。
2.回写字段校验与错误文案。</x:v>
      </x:c>
      <x:c r="I12" s="4" t="str">
        <x:v>有书面结论后才造合法/非法样本，评论不充当批准规则。</x:v>
      </x:c>
      <x:c r="J12" s="4" t="str">
        <x:v>PRD8345快照c19；SM86</x:v>
      </x:c>
      <x:c r="K12" s="17" t="str">
        <x:v>待评审</x:v>
      </x:c>
      <x:c r="L12" s="17" t="str">
        <x:v>不适用</x:v>
      </x:c>
      <x:c r="M12" s="17" t="str">
        <x:v>不适用</x:v>
      </x:c>
      <x:c r="N12" s="17" t="str"/>
      <x:c r="O12" s="17" t="str"/>
      <x:c r="P12" s="4" t="str"/>
      <x:c r="Q12" s="4" t="str">
        <x:f>IF(K12="不纳入","不纳入",IF(K12="可执行","评审闭环","待评审/依据"))</x:f>
        <x:v>待评审/依据</x:v>
      </x:c>
    </x:row>
    <x:row r="13" ht="46" customHeight="1">
      <x:c r="A13" s="4" t="str">
        <x:v>RV08</x:v>
      </x:c>
      <x:c r="B13" s="4" t="str">
        <x:v>10/13，评审未闭环项</x:v>
      </x:c>
      <x:c r="C13" s="4" t="str">
        <x:v>设计准出</x:v>
      </x:c>
      <x:c r="D13" s="4" t="str">
        <x:v>50、58</x:v>
      </x:c>
      <x:c r="E13" s="4" t="str">
        <x:v>费用项与财务同步本期范围</x:v>
      </x:c>
      <x:c r="F13" s="4" t="str">
        <x:v>优先</x:v>
      </x:c>
      <x:c r="G13" s="4" t="str">
        <x:v>人工维护、财务同步入口、异常回退资料</x:v>
      </x:c>
      <x:c r="H13" s="4" t="str">
        <x:v>1.确认本期是否人工维护。
2.同步若纳入，取得入口及可用接口证据。</x:v>
      </x:c>
      <x:c r="I13" s="4" t="str">
        <x:v>未纳入的同步不要求现场成功；已纳入的不能靠按钮可见算可用。</x:v>
      </x:c>
      <x:c r="J13" s="4" t="str">
        <x:v>PRD8345快照c20；SM84</x:v>
      </x:c>
      <x:c r="K13" s="17" t="str">
        <x:v>待评审</x:v>
      </x:c>
      <x:c r="L13" s="17" t="str">
        <x:v>不适用</x:v>
      </x:c>
      <x:c r="M13" s="17" t="str">
        <x:v>不适用</x:v>
      </x:c>
      <x:c r="N13" s="17" t="str"/>
      <x:c r="O13" s="17" t="str"/>
      <x:c r="P13" s="4" t="str"/>
      <x:c r="Q13" s="4" t="str">
        <x:f>IF(K13="不纳入","不纳入",IF(K13="可执行","评审闭环","待评审/依据"))</x:f>
        <x:v>待评审/依据</x:v>
      </x:c>
    </x:row>
    <x:row r="14" ht="54" customHeight="1">
      <x:c r="A14" s="4" t="str">
        <x:v>RV09</x:v>
      </x:c>
      <x:c r="B14" s="4" t="str">
        <x:v>10/13，评审未闭环项</x:v>
      </x:c>
      <x:c r="C14" s="4" t="str">
        <x:v>设计准出</x:v>
      </x:c>
      <x:c r="D14" s="4" t="str">
        <x:v>17、18、19、20、21、24、25、28、29、58、65</x:v>
      </x:c>
      <x:c r="E14" s="4" t="str">
        <x:v>原型功能转为执行条件</x:v>
      </x:c>
      <x:c r="F14" s="4" t="str">
        <x:v>优先</x:v>
      </x:c>
      <x:c r="G14" s="4" t="str">
        <x:v>本周范围中缺PRD或承载的条目</x:v>
      </x:c>
      <x:c r="H14" s="4" t="str">
        <x:v>1.定位正文和批准数据契约。
2.补入口、错误状态与可控测试样本。</x:v>
      </x:c>
      <x:c r="I14" s="4" t="str">
        <x:v>资料/入口齐备才安排业务执行；否则仅完成设计评审并登记依赖。</x:v>
      </x:c>
      <x:c r="J14" s="4" t="str">
        <x:v>阶段共识2–3、9、12</x:v>
      </x:c>
      <x:c r="K14" s="17" t="str">
        <x:v>待评审</x:v>
      </x:c>
      <x:c r="L14" s="17" t="str">
        <x:v>不适用</x:v>
      </x:c>
      <x:c r="M14" s="17" t="str">
        <x:v>不适用</x:v>
      </x:c>
      <x:c r="N14" s="17" t="str"/>
      <x:c r="O14" s="17" t="str"/>
      <x:c r="P14" s="4" t="str"/>
      <x:c r="Q14" s="4" t="str">
        <x:f>IF(K14="不纳入","不纳入",IF(K14="可执行","评审闭环","待评审/依据"))</x:f>
        <x:v>待评审/依据</x:v>
      </x:c>
    </x:row>
    <x:row r="15" ht="46" customHeight="1">
      <x:c r="A15" s="4" t="str">
        <x:v>RV10</x:v>
      </x:c>
      <x:c r="B15" s="4" t="str">
        <x:v>10/13，评审未闭环项</x:v>
      </x:c>
      <x:c r="C15" s="4" t="str">
        <x:v>设计准出</x:v>
      </x:c>
      <x:c r="D15" s="4" t="str">
        <x:v>22、23、28、57、54</x:v>
      </x:c>
      <x:c r="E15" s="4" t="str">
        <x:v>相似页面与对象不能互相代验</x:v>
      </x:c>
      <x:c r="F15" s="4" t="str">
        <x:v>优先</x:v>
      </x:c>
      <x:c r="G15" s="4" t="str">
        <x:v>参考Zone、价格维护Zone、货物类型、可接货型、运输方式</x:v>
      </x:c>
      <x:c r="H15" s="4" t="str">
        <x:v>1.标注各自对象和数据源。
2.核对路由、关联ID及主子作用域。</x:v>
      </x:c>
      <x:c r="I15" s="4" t="str">
        <x:v>参考Zone≠价格维护Zone；货物类型≠可接货型；运输方式≠计费方式。</x:v>
      </x:c>
      <x:c r="J15" s="4" t="str">
        <x:v>W2范围/SM43/72/86/87</x:v>
      </x:c>
      <x:c r="K15" s="17" t="str">
        <x:v>待评审</x:v>
      </x:c>
      <x:c r="L15" s="17" t="str">
        <x:v>不适用</x:v>
      </x:c>
      <x:c r="M15" s="17" t="str">
        <x:v>不适用</x:v>
      </x:c>
      <x:c r="N15" s="17" t="str"/>
      <x:c r="O15" s="17" t="str"/>
      <x:c r="P15" s="4" t="str"/>
      <x:c r="Q15" s="4" t="str">
        <x:f>IF(K15="不纳入","不纳入",IF(K15="可执行","评审闭环","待评审/依据"))</x:f>
        <x:v>待评审/依据</x:v>
      </x:c>
    </x:row>
    <x:row r="16" ht="54" customHeight="1">
      <x:c r="A16" s="4" t="str">
        <x:v>RV11</x:v>
      </x:c>
      <x:c r="B16" s="4" t="str">
        <x:v>10/13，评审未闭环项</x:v>
      </x:c>
      <x:c r="C16" s="4" t="str">
        <x:v>设计准出</x:v>
      </x:c>
      <x:c r="D16" s="4" t="str">
        <x:v>全部W2</x:v>
      </x:c>
      <x:c r="E16" s="4" t="str">
        <x:v>文案、数字精度与状态依据</x:v>
      </x:c>
      <x:c r="F16" s="4" t="str">
        <x:v>优先</x:v>
      </x:c>
      <x:c r="G16" s="4" t="str">
        <x:v>PRD与采用设计稿；输入精度/展示精度</x:v>
      </x:c>
      <x:c r="H16" s="4" t="str">
        <x:v>1.规则、单位、枚举、文案取PRD。
2.视觉、对齐、色彩取设计稿。
3.登记混合条目的各自依据。</x:v>
      </x:c>
      <x:c r="I16" s="4" t="str">
        <x:v>业务精度不套示例amount的2位；输入/存储/显示精度分别核对。</x:v>
      </x:c>
      <x:c r="J16" s="4" t="str">
        <x:v>阶段共识1、5、14、20；UI22/29</x:v>
      </x:c>
      <x:c r="K16" s="17" t="str">
        <x:v>待评审</x:v>
      </x:c>
      <x:c r="L16" s="17" t="str">
        <x:v>不适用</x:v>
      </x:c>
      <x:c r="M16" s="17" t="str">
        <x:v>不适用</x:v>
      </x:c>
      <x:c r="N16" s="17" t="str"/>
      <x:c r="O16" s="17" t="str"/>
      <x:c r="P16" s="4" t="str"/>
      <x:c r="Q16" s="4" t="str">
        <x:f>IF(K16="不纳入","不纳入",IF(K16="可执行","评审闭环","待评审/依据"))</x:f>
        <x:v>待评审/依据</x:v>
      </x:c>
    </x:row>
    <x:row r="17" ht="46" customHeight="1">
      <x:c r="A17" s="4" t="str">
        <x:v>RV12</x:v>
      </x:c>
      <x:c r="B17" s="4" t="str">
        <x:v>10/13，评审未闭环项</x:v>
      </x:c>
      <x:c r="C17" s="4" t="str">
        <x:v>设计准出</x:v>
      </x:c>
      <x:c r="D17" s="4" t="str">
        <x:v>全部W2</x:v>
      </x:c>
      <x:c r="E17" s="4" t="str">
        <x:v>按包提测与证据要求</x:v>
      </x:c>
      <x:c r="F17" s="4" t="str">
        <x:v>优先</x:v>
      </x:c>
      <x:c r="G17" s="4" t="str">
        <x:v>角色、入口、Build、合成数据、采用稿</x:v>
      </x:c>
      <x:c r="H17" s="4" t="str">
        <x:v>1.确认开发已运行主流程。
2.列出测试要复核的页面/状态。</x:v>
      </x:c>
      <x:c r="I17" s="4" t="str">
        <x:v>框架组件结果与PCS业务结果分别记录；健康检查不等于业务就绪。</x:v>
      </x:c>
      <x:c r="J17" s="4" t="str">
        <x:v>阶段共识16–17；BFF仅healthz及TODO</x:v>
      </x:c>
      <x:c r="K17" s="17" t="str">
        <x:v>待评审</x:v>
      </x:c>
      <x:c r="L17" s="17" t="str">
        <x:v>不适用</x:v>
      </x:c>
      <x:c r="M17" s="17" t="str">
        <x:v>不适用</x:v>
      </x:c>
      <x:c r="N17" s="17" t="str"/>
      <x:c r="O17" s="17" t="str"/>
      <x:c r="P17" s="4" t="str"/>
      <x:c r="Q17" s="4" t="str">
        <x:f>IF(K17="不纳入","不纳入",IF(K17="可执行","评审闭环","待评审/依据"))</x:f>
        <x:v>待评审/依据</x:v>
      </x:c>
    </x:row>
    <x:row r="18" ht="54" customHeight="1">
      <x:c r="A18" s="4" t="str">
        <x:v>FE01</x:v>
      </x:c>
      <x:c r="B18" s="4" t="str">
        <x:v>10/13–10/16，按交付执行</x:v>
      </x:c>
      <x:c r="C18" s="4" t="str">
        <x:v>导航</x:v>
      </x:c>
      <x:c r="D18" s="4" t="str">
        <x:v>全部W2</x:v>
      </x:c>
      <x:c r="E18" s="4" t="str">
        <x:v>深链接、刷新与登录返回</x:v>
      </x:c>
      <x:c r="F18" s="4" t="str">
        <x:v>常规</x:v>
      </x:c>
      <x:c r="G18" s="4" t="str">
        <x:v>合法账号；费用项group=fee/resource=fee_item及币种另一路径</x:v>
      </x:c>
      <x:c r="H18" s="4" t="str">
        <x:v>1.从目标URL进入。
2.刷新；前进/返回。
3.会话过期后登录返回同一路径。</x:v>
      </x:c>
      <x:c r="I18" s="4" t="str">
        <x:v>原路径及必要参数保留，group/resource不串对象；越权路径按契约处理。</x:v>
      </x:c>
      <x:c r="J18" s="4" t="str">
        <x:v>批准UI规范/PRD；routes.ts、menu.ts</x:v>
      </x:c>
      <x:c r="K18" s="17" t="str">
        <x:v>待评审</x:v>
      </x:c>
      <x:c r="L18" s="17" t="str">
        <x:v>未执行</x:v>
      </x:c>
      <x:c r="M18" s="17" t="str">
        <x:v>未执行</x:v>
      </x:c>
      <x:c r="N18" s="17" t="str"/>
      <x:c r="O18" s="17" t="str"/>
      <x:c r="P18" s="4" t="str">
        <x:v>UI17、SM03/04</x:v>
      </x:c>
      <x:c r="Q18" s="4" t="str">
        <x:f>IF(K18="不纳入","不纳入",IF(L18="失败",IF(LEN(TRIM(N18))=0,"开发失败缺证据","开发自测失败"),IF(M18="失败",IF(LEN(TRIM(O18))=0,"复核失败缺证据","提测复核失败"),IF(K18&lt;&gt;"可执行","待评审/依据",IF(L18="受阻","开发自测受阻",IF(L18&lt;&gt;"通过","待开发自测",IF(LEN(TRIM(N18))=0,"缺开发Build/证据",IF(M18="受阻","提测复核受阻",IF(M18&lt;&gt;"通过","待提测复核",IF(LEN(TRIM(O18))=0,"缺复核Build/证据","本轮复核通过"))))))))))</x:f>
        <x:v>待评审/依据</x:v>
      </x:c>
    </x:row>
    <x:row r="19" ht="54" customHeight="1">
      <x:c r="A19" s="4" t="str">
        <x:v>FE02</x:v>
      </x:c>
      <x:c r="B19" s="4" t="str">
        <x:v>10/13–10/16，按交付执行</x:v>
      </x:c>
      <x:c r="C19" s="4" t="str">
        <x:v>导航</x:v>
      </x:c>
      <x:c r="D19" s="4" t="str">
        <x:v>全部W2</x:v>
      </x:c>
      <x:c r="E19" s="4" t="str">
        <x:v>跨分类选择与手动多组展开</x:v>
      </x:c>
      <x:c r="F19" s="4" t="str">
        <x:v>常规</x:v>
      </x:c>
      <x:c r="G19" s="4" t="str">
        <x:v>至少两组有可访问子菜单；UI02菜单专项已采用</x:v>
      </x:c>
      <x:c r="H19" s="4" t="str">
        <x:v>1.手动展开A、B组。
2.选择B组子项。
3.返回A组子项。</x:v>
      </x:c>
      <x:c r="I19" s="4" t="str">
        <x:v>手动允许多组，跨组选择按采纳稿收起其他组；选中路径一致；仅一组时记录条件不足。</x:v>
      </x:c>
      <x:c r="J19" s="4" t="str">
        <x:v>批准UI规范/PRD；AppSider.vue accordion=true为已知差异</x:v>
      </x:c>
      <x:c r="K19" s="17" t="str">
        <x:v>待评审</x:v>
      </x:c>
      <x:c r="L19" s="17" t="str">
        <x:v>未执行</x:v>
      </x:c>
      <x:c r="M19" s="17" t="str">
        <x:v>未执行</x:v>
      </x:c>
      <x:c r="N19" s="17" t="str"/>
      <x:c r="O19" s="17" t="str"/>
      <x:c r="P19" s="4" t="str">
        <x:v>UI02</x:v>
      </x:c>
      <x:c r="Q19" s="4" t="str">
        <x:f>IF(K19="不纳入","不纳入",IF(L19="失败",IF(LEN(TRIM(N19))=0,"开发失败缺证据","开发自测失败"),IF(M19="失败",IF(LEN(TRIM(O19))=0,"复核失败缺证据","提测复核失败"),IF(K19&lt;&gt;"可执行","待评审/依据",IF(L19="受阻","开发自测受阻",IF(L19&lt;&gt;"通过","待开发自测",IF(LEN(TRIM(N19))=0,"缺开发Build/证据",IF(M19="受阻","提测复核受阻",IF(M19&lt;&gt;"通过","待提测复核",IF(LEN(TRIM(O19))=0,"缺复核Build/证据","本轮复核通过"))))))))))</x:f>
        <x:v>待评审/依据</x:v>
      </x:c>
    </x:row>
    <x:row r="20" ht="54" customHeight="1">
      <x:c r="A20" s="4" t="str">
        <x:v>FE03</x:v>
      </x:c>
      <x:c r="B20" s="4" t="str">
        <x:v>10/13–10/16，按交付执行</x:v>
      </x:c>
      <x:c r="C20" s="4" t="str">
        <x:v>导航</x:v>
      </x:c>
      <x:c r="D20" s="4" t="str">
        <x:v>全部W2</x:v>
      </x:c>
      <x:c r="E20" s="4" t="str">
        <x:v>权限加载后菜单恢复</x:v>
      </x:c>
      <x:c r="F20" s="4" t="str">
        <x:v>常规</x:v>
      </x:c>
      <x:c r="G20" s="4" t="str">
        <x:v>低速权限响应；目标角色允许某菜单</x:v>
      </x:c>
      <x:c r="H20" s="4" t="str">
        <x:v>1.刷新进入权限加载态。
2.等待权限结果。
3.展开目标菜单。</x:v>
      </x:c>
      <x:c r="I20" s="4" t="str">
        <x:v>加载期间有骨架；成功后按权限显示菜单，无永久空菜单。</x:v>
      </x:c>
      <x:c r="J20" s="4" t="str">
        <x:v>批准UI规范/PRD；AppSider.vue permissionStore.loaded</x:v>
      </x:c>
      <x:c r="K20" s="17" t="str">
        <x:v>待评审</x:v>
      </x:c>
      <x:c r="L20" s="17" t="str">
        <x:v>未执行</x:v>
      </x:c>
      <x:c r="M20" s="17" t="str">
        <x:v>未执行</x:v>
      </x:c>
      <x:c r="N20" s="17" t="str"/>
      <x:c r="O20" s="17" t="str"/>
      <x:c r="P20" s="4" t="str">
        <x:v>UI06、SM02</x:v>
      </x:c>
      <x:c r="Q20" s="4" t="str">
        <x:f>IF(K20="不纳入","不纳入",IF(L20="失败",IF(LEN(TRIM(N20))=0,"开发失败缺证据","开发自测失败"),IF(M20="失败",IF(LEN(TRIM(O20))=0,"复核失败缺证据","提测复核失败"),IF(K20&lt;&gt;"可执行","待评审/依据",IF(L20="受阻","开发自测受阻",IF(L20&lt;&gt;"通过","待开发自测",IF(LEN(TRIM(N20))=0,"缺开发Build/证据",IF(M20="受阻","提测复核受阻",IF(M20&lt;&gt;"通过","待提测复核",IF(LEN(TRIM(O20))=0,"缺复核Build/证据","本轮复核通过"))))))))))</x:f>
        <x:v>待评审/依据</x:v>
      </x:c>
    </x:row>
    <x:row r="21" ht="54" customHeight="1">
      <x:c r="A21" s="4" t="str">
        <x:v>FE04</x:v>
      </x:c>
      <x:c r="B21" s="4" t="str">
        <x:v>10/13–10/16，按交付执行</x:v>
      </x:c>
      <x:c r="C21" s="4" t="str">
        <x:v>导航</x:v>
      </x:c>
      <x:c r="D21" s="4" t="str">
        <x:v>全部W2</x:v>
      </x:c>
      <x:c r="E21" s="4" t="str">
        <x:v>权限变化后旧入口与数据清理</x:v>
      </x:c>
      <x:c r="F21" s="4" t="str">
        <x:v>常规</x:v>
      </x:c>
      <x:c r="G21" s="4" t="str">
        <x:v>两种受控测试角色；同一业务对象</x:v>
      </x:c>
      <x:c r="H21" s="4" t="str">
        <x:v>1.高权限查看页面。
2.切低权限角色并刷新权限。
3.尝试原深链接。</x:v>
      </x:c>
      <x:c r="I21" s="4" t="str">
        <x:v>失效菜单/展开状态清理；旧对象不泄露；菜单隐藏不代替接口权限检查。</x:v>
      </x:c>
      <x:c r="J21" s="4" t="str">
        <x:v>批准UI规范/PRD；menu.ts及AppSider.vue</x:v>
      </x:c>
      <x:c r="K21" s="17" t="str">
        <x:v>待评审</x:v>
      </x:c>
      <x:c r="L21" s="17" t="str">
        <x:v>未执行</x:v>
      </x:c>
      <x:c r="M21" s="17" t="str">
        <x:v>未执行</x:v>
      </x:c>
      <x:c r="N21" s="17" t="str"/>
      <x:c r="O21" s="17" t="str"/>
      <x:c r="P21" s="4" t="str">
        <x:v>SM02、UI06</x:v>
      </x:c>
      <x:c r="Q21" s="4" t="str">
        <x:f>IF(K21="不纳入","不纳入",IF(L21="失败",IF(LEN(TRIM(N21))=0,"开发失败缺证据","开发自测失败"),IF(M21="失败",IF(LEN(TRIM(O21))=0,"复核失败缺证据","提测复核失败"),IF(K21&lt;&gt;"可执行","待评审/依据",IF(L21="受阻","开发自测受阻",IF(L21&lt;&gt;"通过","待开发自测",IF(LEN(TRIM(N21))=0,"缺开发Build/证据",IF(M21="受阻","提测复核受阻",IF(M21&lt;&gt;"通过","待提测复核",IF(LEN(TRIM(O21))=0,"缺复核Build/证据","本轮复核通过"))))))))))</x:f>
        <x:v>待评审/依据</x:v>
      </x:c>
    </x:row>
    <x:row r="22" ht="54" customHeight="1">
      <x:c r="A22" s="4" t="str">
        <x:v>FE05</x:v>
      </x:c>
      <x:c r="B22" s="4" t="str">
        <x:v>10/13–10/16，按交付执行</x:v>
      </x:c>
      <x:c r="C22" s="4" t="str">
        <x:v>响应式</x:v>
      </x:c>
      <x:c r="D22" s="4" t="str">
        <x:v>全部W2</x:v>
      </x:c>
      <x:c r="E22" s="4" t="str">
        <x:v>1279/1280/1439/1440宽度边界</x:v>
      </x:c>
      <x:c r="F22" s="4" t="str">
        <x:v>常规</x:v>
      </x:c>
      <x:c r="G22" s="4" t="str">
        <x:v>桌面采纳稿和可调整视口</x:v>
      </x:c>
      <x:c r="H22" s="4" t="str">
        <x:v>1.依次测试4个边界宽度。
2.核对侧栏和内容。
3.打开菜单并选择子项。</x:v>
      </x:c>
      <x:c r="I22" s="4" t="str">
        <x:v>按采用断点检查常驻展开/折叠/抽屉，表格及底部动作不被遮挡；业务最小宽度按基线。</x:v>
      </x:c>
      <x:c r="J22" s="4" t="str">
        <x:v>批准UI规范/PRD；BasicLayout:220/56/280px；1280/1440为框架实现值</x:v>
      </x:c>
      <x:c r="K22" s="17" t="str">
        <x:v>待评审</x:v>
      </x:c>
      <x:c r="L22" s="17" t="str">
        <x:v>未执行</x:v>
      </x:c>
      <x:c r="M22" s="17" t="str">
        <x:v>未执行</x:v>
      </x:c>
      <x:c r="N22" s="17" t="str"/>
      <x:c r="O22" s="17" t="str"/>
      <x:c r="P22" s="4" t="str">
        <x:v>UI24</x:v>
      </x:c>
      <x:c r="Q22" s="4" t="str">
        <x:f>IF(K22="不纳入","不纳入",IF(L22="失败",IF(LEN(TRIM(N22))=0,"开发失败缺证据","开发自测失败"),IF(M22="失败",IF(LEN(TRIM(O22))=0,"复核失败缺证据","提测复核失败"),IF(K22&lt;&gt;"可执行","待评审/依据",IF(L22="受阻","开发自测受阻",IF(L22&lt;&gt;"通过","待开发自测",IF(LEN(TRIM(N22))=0,"缺开发Build/证据",IF(M22="受阻","提测复核受阻",IF(M22&lt;&gt;"通过","待提测复核",IF(LEN(TRIM(O22))=0,"缺复核Build/证据","本轮复核通过"))))))))))</x:f>
        <x:v>待评审/依据</x:v>
      </x:c>
    </x:row>
    <x:row r="23" ht="54" customHeight="1">
      <x:c r="A23" s="4" t="str">
        <x:v>FE06</x:v>
      </x:c>
      <x:c r="B23" s="4" t="str">
        <x:v>10/13–10/16，按交付执行</x:v>
      </x:c>
      <x:c r="C23" s="4" t="str">
        <x:v>响应式</x:v>
      </x:c>
      <x:c r="D23" s="4" t="str">
        <x:v>全部W2</x:v>
      </x:c>
      <x:c r="E23" s="4" t="str">
        <x:v>同断点内手动折叠保持</x:v>
      </x:c>
      <x:c r="F23" s="4" t="str">
        <x:v>常规</x:v>
      </x:c>
      <x:c r="G23" s="4" t="str">
        <x:v>1440以上与1280–1439同档宽度各两组</x:v>
      </x:c>
      <x:c r="H23" s="4" t="str">
        <x:v>1.手动折叠/展开。
2.在同档内微调宽度。
3.跨档再返回。</x:v>
      </x:c>
      <x:c r="I23" s="4" t="str">
        <x:v>同档不反复覆盖用户选择；跨档按采用策略重置，菜单选中保持。</x:v>
      </x:c>
      <x:c r="J23" s="4" t="str">
        <x:v>批准UI规范/PRD；BasicLayout desktopMode watch</x:v>
      </x:c>
      <x:c r="K23" s="17" t="str">
        <x:v>待评审</x:v>
      </x:c>
      <x:c r="L23" s="17" t="str">
        <x:v>未执行</x:v>
      </x:c>
      <x:c r="M23" s="17" t="str">
        <x:v>未执行</x:v>
      </x:c>
      <x:c r="N23" s="17" t="str"/>
      <x:c r="O23" s="17" t="str"/>
      <x:c r="P23" s="4" t="str">
        <x:v>UI24、UI06</x:v>
      </x:c>
      <x:c r="Q23" s="4" t="str">
        <x:f>IF(K23="不纳入","不纳入",IF(L23="失败",IF(LEN(TRIM(N23))=0,"开发失败缺证据","开发自测失败"),IF(M23="失败",IF(LEN(TRIM(O23))=0,"复核失败缺证据","提测复核失败"),IF(K23&lt;&gt;"可执行","待评审/依据",IF(L23="受阻","开发自测受阻",IF(L23&lt;&gt;"通过","待开发自测",IF(LEN(TRIM(N23))=0,"缺开发Build/证据",IF(M23="受阻","提测复核受阻",IF(M23&lt;&gt;"通过","待提测复核",IF(LEN(TRIM(O23))=0,"缺复核Build/证据","本轮复核通过"))))))))))</x:f>
        <x:v>待评审/依据</x:v>
      </x:c>
    </x:row>
    <x:row r="24" ht="54" customHeight="1">
      <x:c r="A24" s="4" t="str">
        <x:v>FE07</x:v>
      </x:c>
      <x:c r="B24" s="4" t="str">
        <x:v>10/13–10/16，按交付执行</x:v>
      </x:c>
      <x:c r="C24" s="4" t="str">
        <x:v>加载</x:v>
      </x:c>
      <x:c r="D24" s="4" t="str">
        <x:v>全部W2</x:v>
      </x:c>
      <x:c r="E24" s="4" t="str">
        <x:v>快慢路由切换不串骨架</x:v>
      </x:c>
      <x:c r="F24" s="4" t="str">
        <x:v>常规</x:v>
      </x:c>
      <x:c r="G24" s="4" t="str">
        <x:v>A页慢、B页快的本地合成延迟</x:v>
      </x:c>
      <x:c r="H24" s="4" t="str">
        <x:v>1.打开A立即切B。
2.等待A返回。
3.连续切3次。</x:v>
      </x:c>
      <x:c r="I24" s="4" t="str">
        <x:v>最终展示B；旧完成事件不提前清掉B加载态；非首次切页仍保留导航。</x:v>
      </x:c>
      <x:c r="J24" s="4" t="str">
        <x:v>批准UI规范/PRD；useRouteNavigationLoading activeRouteKey</x:v>
      </x:c>
      <x:c r="K24" s="17" t="str">
        <x:v>待评审</x:v>
      </x:c>
      <x:c r="L24" s="17" t="str">
        <x:v>未执行</x:v>
      </x:c>
      <x:c r="M24" s="17" t="str">
        <x:v>未执行</x:v>
      </x:c>
      <x:c r="N24" s="17" t="str"/>
      <x:c r="O24" s="17" t="str"/>
      <x:c r="P24" s="4" t="str">
        <x:v>UI23、UI47</x:v>
      </x:c>
      <x:c r="Q24" s="4" t="str">
        <x:f>IF(K24="不纳入","不纳入",IF(L24="失败",IF(LEN(TRIM(N24))=0,"开发失败缺证据","开发自测失败"),IF(M24="失败",IF(LEN(TRIM(O24))=0,"复核失败缺证据","提测复核失败"),IF(K24&lt;&gt;"可执行","待评审/依据",IF(L24="受阻","开发自测受阻",IF(L24&lt;&gt;"通过","待开发自测",IF(LEN(TRIM(N24))=0,"缺开发Build/证据",IF(M24="受阻","提测复核受阻",IF(M24&lt;&gt;"通过","待提测复核",IF(LEN(TRIM(O24))=0,"缺复核Build/证据","本轮复核通过"))))))))))</x:f>
        <x:v>待评审/依据</x:v>
      </x:c>
    </x:row>
    <x:row r="25" ht="54" customHeight="1">
      <x:c r="A25" s="4" t="str">
        <x:v>FE08</x:v>
      </x:c>
      <x:c r="B25" s="4" t="str">
        <x:v>10/13–10/16，按交付执行</x:v>
      </x:c>
      <x:c r="C25" s="4" t="str">
        <x:v>加载</x:v>
      </x:c>
      <x:c r="D25" s="4" t="str">
        <x:v>全部W2</x:v>
      </x:c>
      <x:c r="E25" s="4" t="str">
        <x:v>懒加载或请求失败后恢复</x:v>
      </x:c>
      <x:c r="F25" s="4" t="str">
        <x:v>常规</x:v>
      </x:c>
      <x:c r="G25" s="4" t="str">
        <x:v>可控404/500/离线响应；不改真实服务</x:v>
      </x:c>
      <x:c r="H25" s="4" t="str">
        <x:v>1.打开一个失败页面。
2.关闭错误或重试。
3.切到可用菜单。</x:v>
      </x:c>
      <x:c r="I25" s="4" t="str">
        <x:v>加载态结束，有失败及恢复入口；页面仍可导航，不残留全局遮罩。</x:v>
      </x:c>
      <x:c r="J25" s="4" t="str">
        <x:v>批准UI规范/PRD；router.onError及异常页</x:v>
      </x:c>
      <x:c r="K25" s="17" t="str">
        <x:v>待评审</x:v>
      </x:c>
      <x:c r="L25" s="17" t="str">
        <x:v>未执行</x:v>
      </x:c>
      <x:c r="M25" s="17" t="str">
        <x:v>未执行</x:v>
      </x:c>
      <x:c r="N25" s="17" t="str"/>
      <x:c r="O25" s="17" t="str"/>
      <x:c r="P25" s="4" t="str">
        <x:v>UI23、UI47</x:v>
      </x:c>
      <x:c r="Q25" s="4" t="str">
        <x:f>IF(K25="不纳入","不纳入",IF(L25="失败",IF(LEN(TRIM(N25))=0,"开发失败缺证据","开发自测失败"),IF(M25="失败",IF(LEN(TRIM(O25))=0,"复核失败缺证据","提测复核失败"),IF(K25&lt;&gt;"可执行","待评审/依据",IF(L25="受阻","开发自测受阻",IF(L25&lt;&gt;"通过","待开发自测",IF(LEN(TRIM(N25))=0,"缺开发Build/证据",IF(M25="受阻","提测复核受阻",IF(M25&lt;&gt;"通过","待提测复核",IF(LEN(TRIM(O25))=0,"缺复核Build/证据","本轮复核通过"))))))))))</x:f>
        <x:v>待评审/依据</x:v>
      </x:c>
    </x:row>
    <x:row r="26" ht="46" customHeight="1">
      <x:c r="A26" s="4" t="str">
        <x:v>FE09</x:v>
      </x:c>
      <x:c r="B26" s="4" t="str">
        <x:v>10/13–10/16，按交付执行</x:v>
      </x:c>
      <x:c r="C26" s="4" t="str">
        <x:v>页头</x:v>
      </x:c>
      <x:c r="D26" s="4" t="str">
        <x:v>全部W2</x:v>
      </x:c>
      <x:c r="E26" s="4" t="str">
        <x:v>唯一页头、面包屑与动作归属</x:v>
      </x:c>
      <x:c r="F26" s="4" t="str">
        <x:v>常规</x:v>
      </x:c>
      <x:c r="G26" s="4" t="str">
        <x:v>各模块列表/详情/编辑的采用稿</x:v>
      </x:c>
      <x:c r="H26" s="4" t="str">
        <x:v>1.进入三种页面。
2.核对H1、面包屑和按钮。</x:v>
      </x:c>
      <x:c r="I26" s="4" t="str">
        <x:v>一个主标题；面包屑/返回与页面角色对应；新增动作与当前对象一致。</x:v>
      </x:c>
      <x:c r="J26" s="4" t="str">
        <x:v>批准UI规范/PRD；PageHeader.vue；不以示例标题代验</x:v>
      </x:c>
      <x:c r="K26" s="17" t="str">
        <x:v>待评审</x:v>
      </x:c>
      <x:c r="L26" s="17" t="str">
        <x:v>未执行</x:v>
      </x:c>
      <x:c r="M26" s="17" t="str">
        <x:v>未执行</x:v>
      </x:c>
      <x:c r="N26" s="17" t="str"/>
      <x:c r="O26" s="17" t="str"/>
      <x:c r="P26" s="4" t="str">
        <x:v>UI08、UI36</x:v>
      </x:c>
      <x:c r="Q26" s="4" t="str">
        <x:f>IF(K26="不纳入","不纳入",IF(L26="失败",IF(LEN(TRIM(N26))=0,"开发失败缺证据","开发自测失败"),IF(M26="失败",IF(LEN(TRIM(O26))=0,"复核失败缺证据","提测复核失败"),IF(K26&lt;&gt;"可执行","待评审/依据",IF(L26="受阻","开发自测受阻",IF(L26&lt;&gt;"通过","待开发自测",IF(LEN(TRIM(N26))=0,"缺开发Build/证据",IF(M26="受阻","提测复核受阻",IF(M26&lt;&gt;"通过","待提测复核",IF(LEN(TRIM(O26))=0,"缺复核Build/证据","本轮复核通过"))))))))))</x:f>
        <x:v>待评审/依据</x:v>
      </x:c>
    </x:row>
    <x:row r="27" ht="54" customHeight="1">
      <x:c r="A27" s="4" t="str">
        <x:v>FE10</x:v>
      </x:c>
      <x:c r="B27" s="4" t="str">
        <x:v>10/13–10/16，按交付执行</x:v>
      </x:c>
      <x:c r="C27" s="4" t="str">
        <x:v>Tabs</x:v>
      </x:c>
      <x:c r="D27" s="4" t="str">
        <x:v>22、23、50、51、56</x:v>
      </x:c>
      <x:c r="E27" s="4" t="str">
        <x:v>页签选中、键盘与内容关联</x:v>
      </x:c>
      <x:c r="F27" s="4" t="str">
        <x:v>常规</x:v>
      </x:c>
      <x:c r="G27" s="4" t="str">
        <x:v>实际页签组件；批准两层分类设计</x:v>
      </x:c>
      <x:c r="H27" s="4" t="str">
        <x:v>1.鼠标切换。
2.用方向键/Home/End。
3.核对ARIA与tabpanel。</x:v>
      </x:c>
      <x:c r="I27" s="4" t="str">
        <x:v>单一选中；键盘/焦点和内容同步；普通分组按钮不能直接当Tabs通过。</x:v>
      </x:c>
      <x:c r="J27" s="4" t="str">
        <x:v>批准UI规范/PRD；UI规范§5.17</x:v>
      </x:c>
      <x:c r="K27" s="17" t="str">
        <x:v>待评审</x:v>
      </x:c>
      <x:c r="L27" s="17" t="str">
        <x:v>未执行</x:v>
      </x:c>
      <x:c r="M27" s="17" t="str">
        <x:v>未执行</x:v>
      </x:c>
      <x:c r="N27" s="17" t="str"/>
      <x:c r="O27" s="17" t="str"/>
      <x:c r="P27" s="4" t="str">
        <x:v>UI01、UI34、UI49</x:v>
      </x:c>
      <x:c r="Q27" s="4" t="str">
        <x:f>IF(K27="不纳入","不纳入",IF(L27="失败",IF(LEN(TRIM(N27))=0,"开发失败缺证据","开发自测失败"),IF(M27="失败",IF(LEN(TRIM(O27))=0,"复核失败缺证据","提测复核失败"),IF(K27&lt;&gt;"可执行","待评审/依据",IF(L27="受阻","开发自测受阻",IF(L27&lt;&gt;"通过","待开发自测",IF(LEN(TRIM(N27))=0,"缺开发Build/证据",IF(M27="受阻","提测复核受阻",IF(M27&lt;&gt;"通过","待提测复核",IF(LEN(TRIM(O27))=0,"缺复核Build/证据","本轮复核通过"))))))))))</x:f>
        <x:v>待评审/依据</x:v>
      </x:c>
    </x:row>
    <x:row r="28" ht="54" customHeight="1">
      <x:c r="A28" s="4" t="str">
        <x:v>FE11</x:v>
      </x:c>
      <x:c r="B28" s="4" t="str">
        <x:v>10/13–10/16，按交付执行</x:v>
      </x:c>
      <x:c r="C28" s="4" t="str">
        <x:v>基础配置</x:v>
      </x:c>
      <x:c r="D28" s="4" t="str">
        <x:v>50、51、56</x:v>
      </x:c>
      <x:c r="E28" s="4" t="str">
        <x:v>切对象后新增/列表/表单同源</x:v>
      </x:c>
      <x:c r="F28" s="4" t="str">
        <x:v>常规</x:v>
      </x:c>
      <x:c r="G28" s="4" t="str">
        <x:v>费用项、币种、汇率及一个业务字典</x:v>
      </x:c>
      <x:c r="H28" s="4" t="str">
        <x:v>1.切A→B。
2.打开B新增再取消。
3.回A。</x:v>
      </x:c>
      <x:c r="I28" s="4" t="str">
        <x:v>标题、列、筛选、按钮和表单属于当前对象；A临时编辑不污染B。</x:v>
      </x:c>
      <x:c r="J28" s="4" t="str">
        <x:v>批准UI规范/PRD；10/12 PCS分组/对象侧栏观察</x:v>
      </x:c>
      <x:c r="K28" s="17" t="str">
        <x:v>待评审</x:v>
      </x:c>
      <x:c r="L28" s="17" t="str">
        <x:v>未执行</x:v>
      </x:c>
      <x:c r="M28" s="17" t="str">
        <x:v>未执行</x:v>
      </x:c>
      <x:c r="N28" s="17" t="str"/>
      <x:c r="O28" s="17" t="str"/>
      <x:c r="P28" s="4" t="str">
        <x:v>UI01、SM03</x:v>
      </x:c>
      <x:c r="Q28" s="4" t="str">
        <x:f>IF(K28="不纳入","不纳入",IF(L28="失败",IF(LEN(TRIM(N28))=0,"开发失败缺证据","开发自测失败"),IF(M28="失败",IF(LEN(TRIM(O28))=0,"复核失败缺证据","提测复核失败"),IF(K28&lt;&gt;"可执行","待评审/依据",IF(L28="受阻","开发自测受阻",IF(L28&lt;&gt;"通过","待开发自测",IF(LEN(TRIM(N28))=0,"缺开发Build/证据",IF(M28="受阻","提测复核受阻",IF(M28&lt;&gt;"通过","待提测复核",IF(LEN(TRIM(O28))=0,"缺复核Build/证据","本轮复核通过"))))))))))</x:f>
        <x:v>待评审/依据</x:v>
      </x:c>
    </x:row>
    <x:row r="29" ht="54" customHeight="1">
      <x:c r="A29" s="4" t="str">
        <x:v>FE12</x:v>
      </x:c>
      <x:c r="B29" s="4" t="str">
        <x:v>10/13–10/16，按交付执行</x:v>
      </x:c>
      <x:c r="C29" s="4" t="str">
        <x:v>查询</x:v>
      </x:c>
      <x:c r="D29" s="4" t="str">
        <x:v>列表类（见索引）</x:v>
      </x:c>
      <x:c r="E29" s="4" t="str">
        <x:v>关键词和多条件查询</x:v>
      </x:c>
      <x:c r="F29" s="4" t="str">
        <x:v>常规</x:v>
      </x:c>
      <x:c r="G29" s="4" t="str">
        <x:v>已知记录A/B、合法状态及无匹配关键词</x:v>
      </x:c>
      <x:c r="H29" s="4" t="str">
        <x:v>1.输入已知名称查询。
2.叠加合法条件查询。
3.清空一项再查询。</x:v>
      </x:c>
      <x:c r="I29" s="4" t="str">
        <x:v>字段和值按PRD；结果交集、总数、列表刷新反馈正确，不拉伸字段凑列数。</x:v>
      </x:c>
      <x:c r="J29" s="4" t="str">
        <x:v>批准UI规范/PRD；useTableList；业务数据源另验</x:v>
      </x:c>
      <x:c r="K29" s="17" t="str">
        <x:v>待评审</x:v>
      </x:c>
      <x:c r="L29" s="17" t="str">
        <x:v>未执行</x:v>
      </x:c>
      <x:c r="M29" s="17" t="str">
        <x:v>未执行</x:v>
      </x:c>
      <x:c r="N29" s="17" t="str"/>
      <x:c r="O29" s="17" t="str"/>
      <x:c r="P29" s="4" t="str">
        <x:v>UI09、SM06/07</x:v>
      </x:c>
      <x:c r="Q29" s="4" t="str">
        <x:f>IF(K29="不纳入","不纳入",IF(L29="失败",IF(LEN(TRIM(N29))=0,"开发失败缺证据","开发自测失败"),IF(M29="失败",IF(LEN(TRIM(O29))=0,"复核失败缺证据","提测复核失败"),IF(K29&lt;&gt;"可执行","待评审/依据",IF(L29="受阻","开发自测受阻",IF(L29&lt;&gt;"通过","待开发自测",IF(LEN(TRIM(N29))=0,"缺开发Build/证据",IF(M29="受阻","提测复核受阻",IF(M29&lt;&gt;"通过","待提测复核",IF(LEN(TRIM(O29))=0,"缺复核Build/证据","本轮复核通过"))))))))))</x:f>
        <x:v>待评审/依据</x:v>
      </x:c>
    </x:row>
    <x:row r="30" ht="54" customHeight="1">
      <x:c r="A30" s="4" t="str">
        <x:v>FE13</x:v>
      </x:c>
      <x:c r="B30" s="4" t="str">
        <x:v>10/13–10/16，按交付执行</x:v>
      </x:c>
      <x:c r="C30" s="4" t="str">
        <x:v>查询</x:v>
      </x:c>
      <x:c r="D30" s="4" t="str">
        <x:v>列表类（见索引）</x:v>
      </x:c>
      <x:c r="E30" s="4" t="str">
        <x:v>重置全部筛选和页码</x:v>
      </x:c>
      <x:c r="F30" s="4" t="str">
        <x:v>常规</x:v>
      </x:c>
      <x:c r="G30" s="4" t="str">
        <x:v>关键词/状态/日期均填；当前第2页</x:v>
      </x:c>
      <x:c r="H30" s="4" t="str">
        <x:v>1.查询。
2.重置。
3.核对控件、请求和列表。</x:v>
      </x:c>
      <x:c r="I30" s="4" t="str">
        <x:v>全部条件恢复批准默认值；日期也清空；页码、总数及当前对象一致。</x:v>
      </x:c>
      <x:c r="J30" s="4" t="str">
        <x:v>批准UI规范/PRD；useWaybillListPage reset清dateRange</x:v>
      </x:c>
      <x:c r="K30" s="17" t="str">
        <x:v>待评审</x:v>
      </x:c>
      <x:c r="L30" s="17" t="str">
        <x:v>未执行</x:v>
      </x:c>
      <x:c r="M30" s="17" t="str">
        <x:v>未执行</x:v>
      </x:c>
      <x:c r="N30" s="17" t="str"/>
      <x:c r="O30" s="17" t="str"/>
      <x:c r="P30" s="4" t="str">
        <x:v>UI09、SM07</x:v>
      </x:c>
      <x:c r="Q30" s="4" t="str">
        <x:f>IF(K30="不纳入","不纳入",IF(L30="失败",IF(LEN(TRIM(N30))=0,"开发失败缺证据","开发自测失败"),IF(M30="失败",IF(LEN(TRIM(O30))=0,"复核失败缺证据","提测复核失败"),IF(K30&lt;&gt;"可执行","待评审/依据",IF(L30="受阻","开发自测受阻",IF(L30&lt;&gt;"通过","待开发自测",IF(LEN(TRIM(N30))=0,"缺开发Build/证据",IF(M30="受阻","提测复核受阻",IF(M30&lt;&gt;"通过","待提测复核",IF(LEN(TRIM(O30))=0,"缺复核Build/证据","本轮复核通过"))))))))))</x:f>
        <x:v>待评审/依据</x:v>
      </x:c>
    </x:row>
    <x:row r="31" ht="46" customHeight="1">
      <x:c r="A31" s="4" t="str">
        <x:v>FE14</x:v>
      </x:c>
      <x:c r="B31" s="4" t="str">
        <x:v>10/13–10/16，按交付执行</x:v>
      </x:c>
      <x:c r="C31" s="4" t="str">
        <x:v>查询</x:v>
      </x:c>
      <x:c r="D31" s="4" t="str">
        <x:v>列表类（见索引）</x:v>
      </x:c>
      <x:c r="E31" s="4" t="str">
        <x:v>旧查询不能覆盖新结果</x:v>
      </x:c>
      <x:c r="F31" s="4" t="str">
        <x:v>常规</x:v>
      </x:c>
      <x:c r="G31" s="4" t="str">
        <x:v>查询A延迟800ms，B延迟100ms</x:v>
      </x:c>
      <x:c r="H31" s="4" t="str">
        <x:v>1.查询A后立即查B。
2.等待两个结果。</x:v>
      </x:c>
      <x:c r="I31" s="4" t="str">
        <x:v>页面与当前条件B匹配；旧A不覆盖列表、总数和加载状态。</x:v>
      </x:c>
      <x:c r="J31" s="4" t="str">
        <x:v>批准UI规范/PRD；响应乱序测试设计；需可控接口</x:v>
      </x:c>
      <x:c r="K31" s="17" t="str">
        <x:v>待评审</x:v>
      </x:c>
      <x:c r="L31" s="17" t="str">
        <x:v>未执行</x:v>
      </x:c>
      <x:c r="M31" s="17" t="str">
        <x:v>未执行</x:v>
      </x:c>
      <x:c r="N31" s="17" t="str"/>
      <x:c r="O31" s="17" t="str"/>
      <x:c r="P31" s="4" t="str">
        <x:v>UI47</x:v>
      </x:c>
      <x:c r="Q31" s="4" t="str">
        <x:f>IF(K31="不纳入","不纳入",IF(L31="失败",IF(LEN(TRIM(N31))=0,"开发失败缺证据","开发自测失败"),IF(M31="失败",IF(LEN(TRIM(O31))=0,"复核失败缺证据","提测复核失败"),IF(K31&lt;&gt;"可执行","待评审/依据",IF(L31="受阻","开发自测受阻",IF(L31&lt;&gt;"通过","待开发自测",IF(LEN(TRIM(N31))=0,"缺开发Build/证据",IF(M31="受阻","提测复核受阻",IF(M31&lt;&gt;"通过","待提测复核",IF(LEN(TRIM(O31))=0,"缺复核Build/证据","本轮复核通过"))))))))))</x:f>
        <x:v>待评审/依据</x:v>
      </x:c>
    </x:row>
    <x:row r="32" ht="46" customHeight="1">
      <x:c r="A32" s="4" t="str">
        <x:v>FE15</x:v>
      </x:c>
      <x:c r="B32" s="4" t="str">
        <x:v>10/13–10/16，按交付执行</x:v>
      </x:c>
      <x:c r="C32" s="4" t="str">
        <x:v>表格</x:v>
      </x:c>
      <x:c r="D32" s="4" t="str">
        <x:v>列表类（见索引）</x:v>
      </x:c>
      <x:c r="E32" s="4" t="str">
        <x:v>行高、数字对齐和操作间距</x:v>
      </x:c>
      <x:c r="F32" s="4" t="str">
        <x:v>常规</x:v>
      </x:c>
      <x:c r="G32" s="4" t="str">
        <x:v>短/长文本及带小数数字样本</x:v>
      </x:c>
      <x:c r="H32" s="4" t="str">
        <x:v>1.量测表头/行。
2.核对文字、数字、操作组。</x:v>
      </x:c>
      <x:c r="I32" s="4" t="str">
        <x:v>采用规格48px行高；数字右对齐、操作左对齐及16px间距；精度按PRD。</x:v>
      </x:c>
      <x:c r="J32" s="4" t="str">
        <x:v>批准UI规范/PRD；10/12币种/汇率数字left与操作gap4px；待本Build复测</x:v>
      </x:c>
      <x:c r="K32" s="17" t="str">
        <x:v>待评审</x:v>
      </x:c>
      <x:c r="L32" s="17" t="str">
        <x:v>未执行</x:v>
      </x:c>
      <x:c r="M32" s="17" t="str">
        <x:v>未执行</x:v>
      </x:c>
      <x:c r="N32" s="17" t="str"/>
      <x:c r="O32" s="17" t="str"/>
      <x:c r="P32" s="4" t="str">
        <x:v>UI20/21/22</x:v>
      </x:c>
      <x:c r="Q32" s="4" t="str">
        <x:f>IF(K32="不纳入","不纳入",IF(L32="失败",IF(LEN(TRIM(N32))=0,"开发失败缺证据","开发自测失败"),IF(M32="失败",IF(LEN(TRIM(O32))=0,"复核失败缺证据","提测复核失败"),IF(K32&lt;&gt;"可执行","待评审/依据",IF(L32="受阻","开发自测受阻",IF(L32&lt;&gt;"通过","待开发自测",IF(LEN(TRIM(N32))=0,"缺开发Build/证据",IF(M32="受阻","提测复核受阻",IF(M32&lt;&gt;"通过","待提测复核",IF(LEN(TRIM(O32))=0,"缺复核Build/证据","本轮复核通过"))))))))))</x:f>
        <x:v>待评审/依据</x:v>
      </x:c>
    </x:row>
    <x:row r="33" ht="54" customHeight="1">
      <x:c r="A33" s="4" t="str">
        <x:v>FE16</x:v>
      </x:c>
      <x:c r="B33" s="4" t="str">
        <x:v>10/13–10/16，按交付执行</x:v>
      </x:c>
      <x:c r="C33" s="4" t="str">
        <x:v>表格</x:v>
      </x:c>
      <x:c r="D33" s="4" t="str">
        <x:v>列表类（见索引）</x:v>
      </x:c>
      <x:c r="E33" s="4" t="str">
        <x:v>长文本与固定列滚动</x:v>
      </x:c>
      <x:c r="F33" s="4" t="str">
        <x:v>常规</x:v>
      </x:c>
      <x:c r="G33" s="4" t="str">
        <x:v>超长标识、说明、足够多列</x:v>
      </x:c>
      <x:c r="H33" s="4" t="str">
        <x:v>1.滚到左/中/右。
2.悬停长文本。
3.点击右侧最后操作。</x:v>
      </x:c>
      <x:c r="I33" s="4" t="str">
        <x:v>必要标识及操作列保持可见；按钮不截切、不同层不穿透；全文按采纳方案可读。</x:v>
      </x:c>
      <x:c r="J33" s="4" t="str">
        <x:v>批准UI规范/PRD；listConfig fixed列；price/Zone另核</x:v>
      </x:c>
      <x:c r="K33" s="17" t="str">
        <x:v>待评审</x:v>
      </x:c>
      <x:c r="L33" s="17" t="str">
        <x:v>未执行</x:v>
      </x:c>
      <x:c r="M33" s="17" t="str">
        <x:v>未执行</x:v>
      </x:c>
      <x:c r="N33" s="17" t="str"/>
      <x:c r="O33" s="17" t="str"/>
      <x:c r="P33" s="4" t="str">
        <x:v>UI12、UI26</x:v>
      </x:c>
      <x:c r="Q33" s="4" t="str">
        <x:f>IF(K33="不纳入","不纳入",IF(L33="失败",IF(LEN(TRIM(N33))=0,"开发失败缺证据","开发自测失败"),IF(M33="失败",IF(LEN(TRIM(O33))=0,"复核失败缺证据","提测复核失败"),IF(K33&lt;&gt;"可执行","待评审/依据",IF(L33="受阻","开发自测受阻",IF(L33&lt;&gt;"通过","待开发自测",IF(LEN(TRIM(N33))=0,"缺开发Build/证据",IF(M33="受阻","提测复核受阻",IF(M33&lt;&gt;"通过","待提测复核",IF(LEN(TRIM(O33))=0,"缺复核Build/证据","本轮复核通过"))))))))))</x:f>
        <x:v>待评审/依据</x:v>
      </x:c>
    </x:row>
    <x:row r="34" ht="54" customHeight="1">
      <x:c r="A34" s="4" t="str">
        <x:v>FE17</x:v>
      </x:c>
      <x:c r="B34" s="4" t="str">
        <x:v>10/13–10/16，按交付执行</x:v>
      </x:c>
      <x:c r="C34" s="4" t="str">
        <x:v>空态</x:v>
      </x:c>
      <x:c r="D34" s="4" t="str">
        <x:v>列表类（见索引）</x:v>
      </x:c>
      <x:c r="E34" s="4" t="str">
        <x:v>真实无数据的新增引导</x:v>
      </x:c>
      <x:c r="F34" s="4" t="str">
        <x:v>常规</x:v>
      </x:c>
      <x:c r="G34" s="4" t="str">
        <x:v>无筛选、确认数据库确无记录的测试对象</x:v>
      </x:c>
      <x:c r="H34" s="4" t="str">
        <x:v>1.打开列表。
2.等待加载结束。
3.点击新增后取消。</x:v>
      </x:c>
      <x:c r="I34" s="4" t="str">
        <x:v>真无数据空态和当前对象新增入口正确；不把加载中的0条误判无数据。</x:v>
      </x:c>
      <x:c r="J34" s="4" t="str">
        <x:v>批准UI规范/PRD；阶段共识13</x:v>
      </x:c>
      <x:c r="K34" s="17" t="str">
        <x:v>待评审</x:v>
      </x:c>
      <x:c r="L34" s="17" t="str">
        <x:v>未执行</x:v>
      </x:c>
      <x:c r="M34" s="17" t="str">
        <x:v>未执行</x:v>
      </x:c>
      <x:c r="N34" s="17" t="str"/>
      <x:c r="O34" s="17" t="str"/>
      <x:c r="P34" s="4" t="str">
        <x:v>UI23</x:v>
      </x:c>
      <x:c r="Q34" s="4" t="str">
        <x:f>IF(K34="不纳入","不纳入",IF(L34="失败",IF(LEN(TRIM(N34))=0,"开发失败缺证据","开发自测失败"),IF(M34="失败",IF(LEN(TRIM(O34))=0,"复核失败缺证据","提测复核失败"),IF(K34&lt;&gt;"可执行","待评审/依据",IF(L34="受阻","开发自测受阻",IF(L34&lt;&gt;"通过","待开发自测",IF(LEN(TRIM(N34))=0,"缺开发Build/证据",IF(M34="受阻","提测复核受阻",IF(M34&lt;&gt;"通过","待提测复核",IF(LEN(TRIM(O34))=0,"缺复核Build/证据","本轮复核通过"))))))))))</x:f>
        <x:v>待评审/依据</x:v>
      </x:c>
    </x:row>
    <x:row r="35" ht="54" customHeight="1">
      <x:c r="A35" s="4" t="str">
        <x:v>FE18</x:v>
      </x:c>
      <x:c r="B35" s="4" t="str">
        <x:v>10/13–10/16，按交付执行</x:v>
      </x:c>
      <x:c r="C35" s="4" t="str">
        <x:v>空态</x:v>
      </x:c>
      <x:c r="D35" s="4" t="str">
        <x:v>列表类（见索引）</x:v>
      </x:c>
      <x:c r="E35" s="4" t="str">
        <x:v>筛选无结果和重置恢复</x:v>
      </x:c>
      <x:c r="F35" s="4" t="str">
        <x:v>常规</x:v>
      </x:c>
      <x:c r="G35" s="4" t="str">
        <x:v>先证明有已知记录，再使用W2_NO_MATCH</x:v>
      </x:c>
      <x:c r="H35" s="4" t="str">
        <x:v>1.查无匹配关键词。
2.观察空态。
3.重置读回记录。</x:v>
      </x:c>
      <x:c r="I35" s="4" t="str">
        <x:v>无结果引导调整/清空条件；重置恢复，不能误称从未有数据。</x:v>
      </x:c>
      <x:c r="J35" s="4" t="str">
        <x:v>批准UI规范/PRD；10/12费用项问题W2-F01</x:v>
      </x:c>
      <x:c r="K35" s="17" t="str">
        <x:v>待评审</x:v>
      </x:c>
      <x:c r="L35" s="17" t="str">
        <x:v>未执行</x:v>
      </x:c>
      <x:c r="M35" s="17" t="str">
        <x:v>未执行</x:v>
      </x:c>
      <x:c r="N35" s="17" t="str"/>
      <x:c r="O35" s="17" t="str"/>
      <x:c r="P35" s="4" t="str">
        <x:v>UI09/23/43</x:v>
      </x:c>
      <x:c r="Q35" s="4" t="str">
        <x:f>IF(K35="不纳入","不纳入",IF(L35="失败",IF(LEN(TRIM(N35))=0,"开发失败缺证据","开发自测失败"),IF(M35="失败",IF(LEN(TRIM(O35))=0,"复核失败缺证据","提测复核失败"),IF(K35&lt;&gt;"可执行","待评审/依据",IF(L35="受阻","开发自测受阻",IF(L35&lt;&gt;"通过","待开发自测",IF(LEN(TRIM(N35))=0,"缺开发Build/证据",IF(M35="受阻","提测复核受阻",IF(M35&lt;&gt;"通过","待提测复核",IF(LEN(TRIM(O35))=0,"缺复核Build/证据","本轮复核通过"))))))))))</x:f>
        <x:v>待评审/依据</x:v>
      </x:c>
    </x:row>
    <x:row r="36" ht="46" customHeight="1">
      <x:c r="A36" s="4" t="str">
        <x:v>FE19</x:v>
      </x:c>
      <x:c r="B36" s="4" t="str">
        <x:v>10/13–10/16，按交付执行</x:v>
      </x:c>
      <x:c r="C36" s="4" t="str">
        <x:v>空态</x:v>
      </x:c>
      <x:c r="D36" s="4" t="str">
        <x:v>列表类（见索引）</x:v>
      </x:c>
      <x:c r="E36" s="4" t="str">
        <x:v>失败态不冒充无数据</x:v>
      </x:c>
      <x:c r="F36" s="4" t="str">
        <x:v>常规</x:v>
      </x:c>
      <x:c r="G36" s="4" t="str">
        <x:v>可控500/超时/403及相应角色</x:v>
      </x:c>
      <x:c r="H36" s="4" t="str">
        <x:v>1.分别触发三类失败。
2.按提示重试/申请权限。</x:v>
      </x:c>
      <x:c r="I36" s="4" t="str">
        <x:v>异常和权限态分开；不清空旧数据后宣称暂无数据或自动引导新增。</x:v>
      </x:c>
      <x:c r="J36" s="4" t="str">
        <x:v>批准UI规范/PRD；规范§7.2–7.3</x:v>
      </x:c>
      <x:c r="K36" s="17" t="str">
        <x:v>待评审</x:v>
      </x:c>
      <x:c r="L36" s="17" t="str">
        <x:v>未执行</x:v>
      </x:c>
      <x:c r="M36" s="17" t="str">
        <x:v>未执行</x:v>
      </x:c>
      <x:c r="N36" s="17" t="str"/>
      <x:c r="O36" s="17" t="str"/>
      <x:c r="P36" s="4" t="str">
        <x:v>UI23、SM02</x:v>
      </x:c>
      <x:c r="Q36" s="4" t="str">
        <x:f>IF(K36="不纳入","不纳入",IF(L36="失败",IF(LEN(TRIM(N36))=0,"开发失败缺证据","开发自测失败"),IF(M36="失败",IF(LEN(TRIM(O36))=0,"复核失败缺证据","提测复核失败"),IF(K36&lt;&gt;"可执行","待评审/依据",IF(L36="受阻","开发自测受阻",IF(L36&lt;&gt;"通过","待开发自测",IF(LEN(TRIM(N36))=0,"缺开发Build/证据",IF(M36="受阻","提测复核受阻",IF(M36&lt;&gt;"通过","待提测复核",IF(LEN(TRIM(O36))=0,"缺复核Build/证据","本轮复核通过"))))))))))</x:f>
        <x:v>待评审/依据</x:v>
      </x:c>
    </x:row>
    <x:row r="37" ht="54" customHeight="1">
      <x:c r="A37" s="4" t="str">
        <x:v>FE20</x:v>
      </x:c>
      <x:c r="B37" s="4" t="str">
        <x:v>10/13–10/16，按交付执行</x:v>
      </x:c>
      <x:c r="C37" s="4" t="str">
        <x:v>分页</x:v>
      </x:c>
      <x:c r="D37" s="4" t="str">
        <x:v>列表类（见索引）</x:v>
      </x:c>
      <x:c r="E37" s="4" t="str">
        <x:v>0/1/20/21/41条分页边界</x:v>
      </x:c>
      <x:c r="F37" s="4" t="str">
        <x:v>常规</x:v>
      </x:c>
      <x:c r="G37" s="4" t="str">
        <x:v>20仅作框架页容量样本；业务容量按批准值</x:v>
      </x:c>
      <x:c r="H37" s="4" t="str">
        <x:v>1.核对边界总数。
2.翻页/跳页。
3.逐页比对ID。</x:v>
      </x:c>
      <x:c r="I37" s="4" t="str">
        <x:v>总数、末页、跳页范围正确；不重不漏；无数据时分页呈现按设计。</x:v>
      </x:c>
      <x:c r="J37" s="4" t="str">
        <x:v>批准UI规范/PRD；示例defaultPageSize20不是全模块契约</x:v>
      </x:c>
      <x:c r="K37" s="17" t="str">
        <x:v>待评审</x:v>
      </x:c>
      <x:c r="L37" s="17" t="str">
        <x:v>未执行</x:v>
      </x:c>
      <x:c r="M37" s="17" t="str">
        <x:v>未执行</x:v>
      </x:c>
      <x:c r="N37" s="17" t="str"/>
      <x:c r="O37" s="17" t="str"/>
      <x:c r="P37" s="4" t="str">
        <x:v>UI11、SM08</x:v>
      </x:c>
      <x:c r="Q37" s="4" t="str">
        <x:f>IF(K37="不纳入","不纳入",IF(L37="失败",IF(LEN(TRIM(N37))=0,"开发失败缺证据","开发自测失败"),IF(M37="失败",IF(LEN(TRIM(O37))=0,"复核失败缺证据","提测复核失败"),IF(K37&lt;&gt;"可执行","待评审/依据",IF(L37="受阻","开发自测受阻",IF(L37&lt;&gt;"通过","待开发自测",IF(LEN(TRIM(N37))=0,"缺开发Build/证据",IF(M37="受阻","提测复核受阻",IF(M37&lt;&gt;"通过","待提测复核",IF(LEN(TRIM(O37))=0,"缺复核Build/证据","本轮复核通过"))))))))))</x:f>
        <x:v>待评审/依据</x:v>
      </x:c>
    </x:row>
    <x:row r="38" ht="54" customHeight="1">
      <x:c r="A38" s="4" t="str">
        <x:v>FE21</x:v>
      </x:c>
      <x:c r="B38" s="4" t="str">
        <x:v>10/13–10/16，按交付执行</x:v>
      </x:c>
      <x:c r="C38" s="4" t="str">
        <x:v>分页</x:v>
      </x:c>
      <x:c r="D38" s="4" t="str">
        <x:v>列表类（见索引）</x:v>
      </x:c>
      <x:c r="E38" s="4" t="str">
        <x:v>页容量或筛选改变后页码</x:v>
      </x:c>
      <x:c r="F38" s="4" t="str">
        <x:v>常规</x:v>
      </x:c>
      <x:c r="G38" s="4" t="str">
        <x:v>已有多页且当前末页；实际支持容量切换</x:v>
      </x:c>
      <x:c r="H38" s="4" t="str">
        <x:v>1.改变容量。
2.查询仅1条记录。
3.重置。</x:v>
      </x:c>
      <x:c r="I38" s="4" t="str">
        <x:v>页码按规则归位，无越界空页；容量、总数、条件相互一致。</x:v>
      </x:c>
      <x:c r="J38" s="4" t="str">
        <x:v>批准UI规范/PRD；未交付容量切换时按范围排除</x:v>
      </x:c>
      <x:c r="K38" s="17" t="str">
        <x:v>待评审</x:v>
      </x:c>
      <x:c r="L38" s="17" t="str">
        <x:v>未执行</x:v>
      </x:c>
      <x:c r="M38" s="17" t="str">
        <x:v>未执行</x:v>
      </x:c>
      <x:c r="N38" s="17" t="str"/>
      <x:c r="O38" s="17" t="str"/>
      <x:c r="P38" s="4" t="str">
        <x:v>UI11、UI43</x:v>
      </x:c>
      <x:c r="Q38" s="4" t="str">
        <x:f>IF(K38="不纳入","不纳入",IF(L38="失败",IF(LEN(TRIM(N38))=0,"开发失败缺证据","开发自测失败"),IF(M38="失败",IF(LEN(TRIM(O38))=0,"复核失败缺证据","提测复核失败"),IF(K38&lt;&gt;"可执行","待评审/依据",IF(L38="受阻","开发自测受阻",IF(L38&lt;&gt;"通过","待开发自测",IF(LEN(TRIM(N38))=0,"缺开发Build/证据",IF(M38="受阻","提测复核受阻",IF(M38&lt;&gt;"通过","待提测复核",IF(LEN(TRIM(O38))=0,"缺复核Build/证据","本轮复核通过"))))))))))</x:f>
        <x:v>待评审/依据</x:v>
      </x:c>
    </x:row>
    <x:row r="39" ht="46" customHeight="1">
      <x:c r="A39" s="4" t="str">
        <x:v>FE22</x:v>
      </x:c>
      <x:c r="B39" s="4" t="str">
        <x:v>10/13–10/16，按交付执行</x:v>
      </x:c>
      <x:c r="C39" s="4" t="str">
        <x:v>排序</x:v>
      </x:c>
      <x:c r="D39" s="4" t="str">
        <x:v>列表类（见索引）</x:v>
      </x:c>
      <x:c r="E39" s="4" t="str">
        <x:v>排序循环及查询组合</x:v>
      </x:c>
      <x:c r="F39" s="4" t="str">
        <x:v>常规</x:v>
      </x:c>
      <x:c r="G39" s="4" t="str">
        <x:v>仅PRD确认支持排序的列</x:v>
      </x:c>
      <x:c r="H39" s="4" t="str">
        <x:v>1.升序→降序→默认。
2.叠加筛选并翻页。</x:v>
      </x:c>
      <x:c r="I39" s="4" t="str">
        <x:v>排序规则/空值/同值处理按PRD；控件状态与实际顺序一致。</x:v>
      </x:c>
      <x:c r="J39" s="4" t="str">
        <x:v>批准UI规范/PRD；基础配置缺排序时不强加</x:v>
      </x:c>
      <x:c r="K39" s="17" t="str">
        <x:v>待评审</x:v>
      </x:c>
      <x:c r="L39" s="17" t="str">
        <x:v>未执行</x:v>
      </x:c>
      <x:c r="M39" s="17" t="str">
        <x:v>未执行</x:v>
      </x:c>
      <x:c r="N39" s="17" t="str"/>
      <x:c r="O39" s="17" t="str"/>
      <x:c r="P39" s="4" t="str">
        <x:v>UI43</x:v>
      </x:c>
      <x:c r="Q39" s="4" t="str">
        <x:f>IF(K39="不纳入","不纳入",IF(L39="失败",IF(LEN(TRIM(N39))=0,"开发失败缺证据","开发自测失败"),IF(M39="失败",IF(LEN(TRIM(O39))=0,"复核失败缺证据","提测复核失败"),IF(K39&lt;&gt;"可执行","待评审/依据",IF(L39="受阻","开发自测受阻",IF(L39&lt;&gt;"通过","待开发自测",IF(LEN(TRIM(N39))=0,"缺开发Build/证据",IF(M39="受阻","提测复核受阻",IF(M39&lt;&gt;"通过","待提测复核",IF(LEN(TRIM(O39))=0,"缺复核Build/证据","本轮复核通过"))))))))))</x:f>
        <x:v>待评审/依据</x:v>
      </x:c>
    </x:row>
    <x:row r="40" ht="46" customHeight="1">
      <x:c r="A40" s="4" t="str">
        <x:v>FE23</x:v>
      </x:c>
      <x:c r="B40" s="4" t="str">
        <x:v>10/13–10/16，按交付执行</x:v>
      </x:c>
      <x:c r="C40" s="4" t="str">
        <x:v>选择批量</x:v>
      </x:c>
      <x:c r="D40" s="4" t="str">
        <x:v>2</x:v>
      </x:c>
      <x:c r="E40" s="4" t="str">
        <x:v>0/1/多选与顶部操作栏</x:v>
      </x:c>
      <x:c r="F40" s="4" t="str">
        <x:v>常规</x:v>
      </x:c>
      <x:c r="G40" s="4" t="str">
        <x:v>已交付勾选列；至少3条合法服务单元</x:v>
      </x:c>
      <x:c r="H40" s="4" t="str">
        <x:v>1.0→1→2条选择。
2.取消全部。</x:v>
      </x:c>
      <x:c r="I40" s="4" t="str">
        <x:v>操作栏位置在表格顶部，计数和可用操作正确；不遮住表格；基础配置无勾选列不代验。</x:v>
      </x:c>
      <x:c r="J40" s="4" t="str">
        <x:v>批准UI规范/PRD；模板勾选能力仅组件参考</x:v>
      </x:c>
      <x:c r="K40" s="17" t="str">
        <x:v>待评审</x:v>
      </x:c>
      <x:c r="L40" s="17" t="str">
        <x:v>未执行</x:v>
      </x:c>
      <x:c r="M40" s="17" t="str">
        <x:v>未执行</x:v>
      </x:c>
      <x:c r="N40" s="17" t="str"/>
      <x:c r="O40" s="17" t="str"/>
      <x:c r="P40" s="4" t="str">
        <x:v>UI13、SM28</x:v>
      </x:c>
      <x:c r="Q40" s="4" t="str">
        <x:f>IF(K40="不纳入","不纳入",IF(L40="失败",IF(LEN(TRIM(N40))=0,"开发失败缺证据","开发自测失败"),IF(M40="失败",IF(LEN(TRIM(O40))=0,"复核失败缺证据","提测复核失败"),IF(K40&lt;&gt;"可执行","待评审/依据",IF(L40="受阻","开发自测受阻",IF(L40&lt;&gt;"通过","待开发自测",IF(LEN(TRIM(N40))=0,"缺开发Build/证据",IF(M40="受阻","提测复核受阻",IF(M40&lt;&gt;"通过","待提测复核",IF(LEN(TRIM(O40))=0,"缺复核Build/证据","本轮复核通过"))))))))))</x:f>
        <x:v>待评审/依据</x:v>
      </x:c>
    </x:row>
    <x:row r="41" ht="54" customHeight="1">
      <x:c r="A41" s="4" t="str">
        <x:v>FE24</x:v>
      </x:c>
      <x:c r="B41" s="4" t="str">
        <x:v>10/13–10/16，按交付执行</x:v>
      </x:c>
      <x:c r="C41" s="4" t="str">
        <x:v>选择批量</x:v>
      </x:c>
      <x:c r="D41" s="4" t="str">
        <x:v>2</x:v>
      </x:c>
      <x:c r="E41" s="4" t="str">
        <x:v>跨页选择与最终执行范围</x:v>
      </x:c>
      <x:c r="F41" s="4" t="str">
        <x:v>常规</x:v>
      </x:c>
      <x:c r="G41" s="4" t="str">
        <x:v>两页合成对象；已确认跨页保留/清空规则</x:v>
      </x:c>
      <x:c r="H41" s="4" t="str">
        <x:v>1.选择第一页2条。
2.翻页选择1条。
3.取消其中一条并预览范围。</x:v>
      </x:c>
      <x:c r="I41" s="4" t="str">
        <x:v>选择策略、数量和对象ID一致；最终动作只针对批准范围，不靠Toast计完成。</x:v>
      </x:c>
      <x:c r="J41" s="4" t="str">
        <x:v>批准UI规范/PRD；模板batch仅提示/刷新，业务需真实回读</x:v>
      </x:c>
      <x:c r="K41" s="17" t="str">
        <x:v>待评审</x:v>
      </x:c>
      <x:c r="L41" s="17" t="str">
        <x:v>未执行</x:v>
      </x:c>
      <x:c r="M41" s="17" t="str">
        <x:v>未执行</x:v>
      </x:c>
      <x:c r="N41" s="17" t="str"/>
      <x:c r="O41" s="17" t="str"/>
      <x:c r="P41" s="4" t="str">
        <x:v>SM28、SM55</x:v>
      </x:c>
      <x:c r="Q41" s="4" t="str">
        <x:f>IF(K41="不纳入","不纳入",IF(L41="失败",IF(LEN(TRIM(N41))=0,"开发失败缺证据","开发自测失败"),IF(M41="失败",IF(LEN(TRIM(O41))=0,"复核失败缺证据","提测复核失败"),IF(K41&lt;&gt;"可执行","待评审/依据",IF(L41="受阻","开发自测受阻",IF(L41&lt;&gt;"通过","待开发自测",IF(LEN(TRIM(N41))=0,"缺开发Build/证据",IF(M41="受阻","提测复核受阻",IF(M41&lt;&gt;"通过","待提测复核",IF(LEN(TRIM(O41))=0,"缺复核Build/证据","本轮复核通过"))))))))))</x:f>
        <x:v>待评审/依据</x:v>
      </x:c>
    </x:row>
    <x:row r="42" ht="54" customHeight="1">
      <x:c r="A42" s="4" t="str">
        <x:v>FE25</x:v>
      </x:c>
      <x:c r="B42" s="4" t="str">
        <x:v>10/13–10/16，按交付执行</x:v>
      </x:c>
      <x:c r="C42" s="4" t="str">
        <x:v>选择批量</x:v>
      </x:c>
      <x:c r="D42" s="4" t="str">
        <x:v>2</x:v>
      </x:c>
      <x:c r="E42" s="4" t="str">
        <x:v>选中行的固定区一致性</x:v>
      </x:c>
      <x:c r="F42" s="4" t="str">
        <x:v>常规</x:v>
      </x:c>
      <x:c r="G42" s="4" t="str">
        <x:v>勾选及横向滚动的长表格</x:v>
      </x:c>
      <x:c r="H42" s="4" t="str">
        <x:v>1.勾选一条。
2.横滚。
3.取消并hover。</x:v>
      </x:c>
      <x:c r="I42" s="4" t="str">
        <x:v>行主体、左固定/右固定区域状态同步，默认/hover/选中不割裂。</x:v>
      </x:c>
      <x:c r="J42" s="4" t="str">
        <x:v>批准UI规范/PRD；规范Table行状态</x:v>
      </x:c>
      <x:c r="K42" s="17" t="str">
        <x:v>待评审</x:v>
      </x:c>
      <x:c r="L42" s="17" t="str">
        <x:v>未执行</x:v>
      </x:c>
      <x:c r="M42" s="17" t="str">
        <x:v>未执行</x:v>
      </x:c>
      <x:c r="N42" s="17" t="str"/>
      <x:c r="O42" s="17" t="str"/>
      <x:c r="P42" s="4" t="str">
        <x:v>UI14</x:v>
      </x:c>
      <x:c r="Q42" s="4" t="str">
        <x:f>IF(K42="不纳入","不纳入",IF(L42="失败",IF(LEN(TRIM(N42))=0,"开发失败缺证据","开发自测失败"),IF(M42="失败",IF(LEN(TRIM(O42))=0,"复核失败缺证据","提测复核失败"),IF(K42&lt;&gt;"可执行","待评审/依据",IF(L42="受阻","开发自测受阻",IF(L42&lt;&gt;"通过","待开发自测",IF(LEN(TRIM(N42))=0,"缺开发Build/证据",IF(M42="受阻","提测复核受阻",IF(M42&lt;&gt;"通过","待提测复核",IF(LEN(TRIM(O42))=0,"缺复核Build/证据","本轮复核通过"))))))))))</x:f>
        <x:v>待评审/依据</x:v>
      </x:c>
    </x:row>
    <x:row r="43" ht="54" customHeight="1">
      <x:c r="A43" s="4" t="str">
        <x:v>FE26</x:v>
      </x:c>
      <x:c r="B43" s="4" t="str">
        <x:v>10/13–10/16，按交付执行</x:v>
      </x:c>
      <x:c r="C43" s="4" t="str">
        <x:v>表单</x:v>
      </x:c>
      <x:c r="D43" s="4" t="str">
        <x:v>表单类（见索引）</x:v>
      </x:c>
      <x:c r="E43" s="4" t="str">
        <x:v>编辑回显与只读编码</x:v>
      </x:c>
      <x:c r="F43" s="4" t="str">
        <x:v>常规</x:v>
      </x:c>
      <x:c r="G43" s="4" t="str">
        <x:v>已知对象ID与名称，编码已保存</x:v>
      </x:c>
      <x:c r="H43" s="4" t="str">
        <x:v>1.打开编辑等回填完成。
2.尝试操作只读编码。
3.取消重开。</x:v>
      </x:c>
      <x:c r="I43" s="4" t="str">
        <x:v>回显对象正确；只读字段不可改；异步回填完成后才判空值或错值。</x:v>
      </x:c>
      <x:c r="J43" s="4" t="str">
        <x:v>批准UI规范/PRD；程序化标签见FE41</x:v>
      </x:c>
      <x:c r="K43" s="17" t="str">
        <x:v>待评审</x:v>
      </x:c>
      <x:c r="L43" s="17" t="str">
        <x:v>未执行</x:v>
      </x:c>
      <x:c r="M43" s="17" t="str">
        <x:v>未执行</x:v>
      </x:c>
      <x:c r="N43" s="17" t="str"/>
      <x:c r="O43" s="17" t="str"/>
      <x:c r="P43" s="4" t="str">
        <x:v>UI25、UI41、UI44</x:v>
      </x:c>
      <x:c r="Q43" s="4" t="str">
        <x:f>IF(K43="不纳入","不纳入",IF(L43="失败",IF(LEN(TRIM(N43))=0,"开发失败缺证据","开发自测失败"),IF(M43="失败",IF(LEN(TRIM(O43))=0,"复核失败缺证据","提测复核失败"),IF(K43&lt;&gt;"可执行","待评审/依据",IF(L43="受阻","开发自测受阻",IF(L43&lt;&gt;"通过","待开发自测",IF(LEN(TRIM(N43))=0,"缺开发Build/证据",IF(M43="受阻","提测复核受阻",IF(M43&lt;&gt;"通过","待提测复核",IF(LEN(TRIM(O43))=0,"缺复核Build/证据","本轮复核通过"))))))))))</x:f>
        <x:v>待评审/依据</x:v>
      </x:c>
    </x:row>
    <x:row r="44" ht="54" customHeight="1">
      <x:c r="A44" s="4" t="str">
        <x:v>FE27</x:v>
      </x:c>
      <x:c r="B44" s="4" t="str">
        <x:v>10/13–10/16，按交付执行</x:v>
      </x:c>
      <x:c r="C44" s="4" t="str">
        <x:v>表单</x:v>
      </x:c>
      <x:c r="D44" s="4" t="str">
        <x:v>表单类（见索引）</x:v>
      </x:c>
      <x:c r="E44" s="4" t="str">
        <x:v>必填、字段错误和条件隐藏</x:v>
      </x:c>
      <x:c r="F44" s="4" t="str">
        <x:v>常规</x:v>
      </x:c>
      <x:c r="G44" s="4" t="str">
        <x:v>按PRD列必填及条件字段；合法/缺一项两组数据</x:v>
      </x:c>
      <x:c r="H44" s="4" t="str">
        <x:v>1.缺一必填提交。
2.定位并修复。
3.切条件隐藏相关字段再提交。</x:v>
      </x:c>
      <x:c r="I44" s="4" t="str">
        <x:v>错误就近且能定位；隐藏字段的值/校验按契约清理；不能只看前端星号。</x:v>
      </x:c>
      <x:c r="J44" s="4" t="str">
        <x:v>批准UI规范/PRD；FormFields受控表单；业务字段不套运单</x:v>
      </x:c>
      <x:c r="K44" s="17" t="str">
        <x:v>待评审</x:v>
      </x:c>
      <x:c r="L44" s="17" t="str">
        <x:v>未执行</x:v>
      </x:c>
      <x:c r="M44" s="17" t="str">
        <x:v>未执行</x:v>
      </x:c>
      <x:c r="N44" s="17" t="str"/>
      <x:c r="O44" s="17" t="str"/>
      <x:c r="P44" s="4" t="str">
        <x:v>UI44、UI45</x:v>
      </x:c>
      <x:c r="Q44" s="4" t="str">
        <x:f>IF(K44="不纳入","不纳入",IF(L44="失败",IF(LEN(TRIM(N44))=0,"开发失败缺证据","开发自测失败"),IF(M44="失败",IF(LEN(TRIM(O44))=0,"复核失败缺证据","提测复核失败"),IF(K44&lt;&gt;"可执行","待评审/依据",IF(L44="受阻","开发自测受阻",IF(L44&lt;&gt;"通过","待开发自测",IF(LEN(TRIM(N44))=0,"缺开发Build/证据",IF(M44="受阻","提测复核受阻",IF(M44&lt;&gt;"通过","待提测复核",IF(LEN(TRIM(O44))=0,"缺复核Build/证据","本轮复核通过"))))))))))</x:f>
        <x:v>待评审/依据</x:v>
      </x:c>
    </x:row>
    <x:row r="45" ht="54" customHeight="1">
      <x:c r="A45" s="4" t="str">
        <x:v>FE28</x:v>
      </x:c>
      <x:c r="B45" s="4" t="str">
        <x:v>10/13–10/16，按交付执行</x:v>
      </x:c>
      <x:c r="C45" s="4" t="str">
        <x:v>表单</x:v>
      </x:c>
      <x:c r="D45" s="4" t="str">
        <x:v>表单类（见索引）</x:v>
      </x:c>
      <x:c r="E45" s="4" t="str">
        <x:v>长度L-1/L/L+1与空白输入</x:v>
      </x:c>
      <x:c r="F45" s="4" t="str">
        <x:v>常规</x:v>
      </x:c>
      <x:c r="G45" s="4" t="str">
        <x:v>L取目标字段PRD；含中文/粘贴/全空格</x:v>
      </x:c>
      <x:c r="H45" s="4" t="str">
        <x:v>1.逐组输入或粘贴。
2.失焦/提交。
3.合法组保存读回。</x:v>
      </x:c>
      <x:c r="I45" s="4" t="str">
        <x:v>截断/报错/计数方式按字段契约；trim、中文字符计数不自造规则。</x:v>
      </x:c>
      <x:c r="J45" s="4" t="str">
        <x:v>批准UI规范/PRD；示例remark200不能代替所有字段限长</x:v>
      </x:c>
      <x:c r="K45" s="17" t="str">
        <x:v>待评审</x:v>
      </x:c>
      <x:c r="L45" s="17" t="str">
        <x:v>未执行</x:v>
      </x:c>
      <x:c r="M45" s="17" t="str">
        <x:v>未执行</x:v>
      </x:c>
      <x:c r="N45" s="17" t="str"/>
      <x:c r="O45" s="17" t="str"/>
      <x:c r="P45" s="4" t="str">
        <x:v>UI44、SM83/86</x:v>
      </x:c>
      <x:c r="Q45" s="4" t="str">
        <x:f>IF(K45="不纳入","不纳入",IF(L45="失败",IF(LEN(TRIM(N45))=0,"开发失败缺证据","开发自测失败"),IF(M45="失败",IF(LEN(TRIM(O45))=0,"复核失败缺证据","提测复核失败"),IF(K45&lt;&gt;"可执行","待评审/依据",IF(L45="受阻","开发自测受阻",IF(L45&lt;&gt;"通过","待开发自测",IF(LEN(TRIM(N45))=0,"缺开发Build/证据",IF(M45="受阻","提测复核受阻",IF(M45&lt;&gt;"通过","待提测复核",IF(LEN(TRIM(O45))=0,"缺复核Build/证据","本轮复核通过"))))))))))</x:f>
        <x:v>待评审/依据</x:v>
      </x:c>
    </x:row>
    <x:row r="46" ht="54" customHeight="1">
      <x:c r="A46" s="4" t="str">
        <x:v>FE29</x:v>
      </x:c>
      <x:c r="B46" s="4" t="str">
        <x:v>10/13–10/16，按交付执行</x:v>
      </x:c>
      <x:c r="C46" s="4" t="str">
        <x:v>表单</x:v>
      </x:c>
      <x:c r="D46" s="4" t="str">
        <x:v>表单类（见索引）</x:v>
      </x:c>
      <x:c r="E46" s="4" t="str">
        <x:v>空值、零值、精度和单位</x:v>
      </x:c>
      <x:c r="F46" s="4" t="str">
        <x:v>常规</x:v>
      </x:c>
      <x:c r="G46" s="4" t="str">
        <x:v>允许字段的数据0、空、边界及12345.6789</x:v>
      </x:c>
      <x:c r="H46" s="4" t="str">
        <x:v>1.输入合法零。
2.清空再填小数。
3.保存/读回/列表展示。</x:v>
      </x:c>
      <x:c r="I46" s="4" t="str">
        <x:v>空不当零、真零不当缺失；存储精度和显示精度分开，币种/单位明确。</x:v>
      </x:c>
      <x:c r="J46" s="4" t="str">
        <x:v>批准UI规范/PRD；示例amount精度2/weight3仅本地实现</x:v>
      </x:c>
      <x:c r="K46" s="17" t="str">
        <x:v>待评审</x:v>
      </x:c>
      <x:c r="L46" s="17" t="str">
        <x:v>未执行</x:v>
      </x:c>
      <x:c r="M46" s="17" t="str">
        <x:v>未执行</x:v>
      </x:c>
      <x:c r="N46" s="17" t="str"/>
      <x:c r="O46" s="17" t="str"/>
      <x:c r="P46" s="4" t="str">
        <x:v>UI22、UI29</x:v>
      </x:c>
      <x:c r="Q46" s="4" t="str">
        <x:f>IF(K46="不纳入","不纳入",IF(L46="失败",IF(LEN(TRIM(N46))=0,"开发失败缺证据","开发自测失败"),IF(M46="失败",IF(LEN(TRIM(O46))=0,"复核失败缺证据","提测复核失败"),IF(K46&lt;&gt;"可执行","待评审/依据",IF(L46="受阻","开发自测受阻",IF(L46&lt;&gt;"通过","待开发自测",IF(LEN(TRIM(N46))=0,"缺开发Build/证据",IF(M46="受阻","提测复核受阻",IF(M46&lt;&gt;"通过","待提测复核",IF(LEN(TRIM(O46))=0,"缺复核Build/证据","本轮复核通过"))))))))))</x:f>
        <x:v>待评审/依据</x:v>
      </x:c>
    </x:row>
    <x:row r="47" ht="46" customHeight="1">
      <x:c r="A47" s="4" t="str">
        <x:v>FE30</x:v>
      </x:c>
      <x:c r="B47" s="4" t="str">
        <x:v>10/13–10/16，按交付执行</x:v>
      </x:c>
      <x:c r="C47" s="4" t="str">
        <x:v>表单</x:v>
      </x:c>
      <x:c r="D47" s="4" t="str">
        <x:v>表单类（见索引）</x:v>
      </x:c>
      <x:c r="E47" s="4" t="str">
        <x:v>取消、关闭、返回与脏数据</x:v>
      </x:c>
      <x:c r="F47" s="4" t="str">
        <x:v>常规</x:v>
      </x:c>
      <x:c r="G47" s="4" t="str">
        <x:v>改名称为W2_CANCEL；不提交</x:v>
      </x:c>
      <x:c r="H47" s="4" t="str">
        <x:v>1.分别取消/关闭/返回。
2.重新打开A，再打开B。</x:v>
      </x:c>
      <x:c r="I47" s="4" t="str">
        <x:v>A恢复正式保存值，不污染B；未保存提醒按批准方案，不能假定全站强弹提醒。</x:v>
      </x:c>
      <x:c r="J47" s="4" t="str">
        <x:v>批准UI规范/PRD；10/12费用项取消重开名称恢复</x:v>
      </x:c>
      <x:c r="K47" s="17" t="str">
        <x:v>待评审</x:v>
      </x:c>
      <x:c r="L47" s="17" t="str">
        <x:v>未执行</x:v>
      </x:c>
      <x:c r="M47" s="17" t="str">
        <x:v>未执行</x:v>
      </x:c>
      <x:c r="N47" s="17" t="str"/>
      <x:c r="O47" s="17" t="str"/>
      <x:c r="P47" s="4" t="str">
        <x:v>UI48、SM13</x:v>
      </x:c>
      <x:c r="Q47" s="4" t="str">
        <x:f>IF(K47="不纳入","不纳入",IF(L47="失败",IF(LEN(TRIM(N47))=0,"开发失败缺证据","开发自测失败"),IF(M47="失败",IF(LEN(TRIM(O47))=0,"复核失败缺证据","提测复核失败"),IF(K47&lt;&gt;"可执行","待评审/依据",IF(L47="受阻","开发自测受阻",IF(L47&lt;&gt;"通过","待开发自测",IF(LEN(TRIM(N47))=0,"缺开发Build/证据",IF(M47="受阻","提测复核受阻",IF(M47&lt;&gt;"通过","待提测复核",IF(LEN(TRIM(O47))=0,"缺复核Build/证据","本轮复核通过"))))))))))</x:f>
        <x:v>待评审/依据</x:v>
      </x:c>
    </x:row>
    <x:row r="48" ht="54" customHeight="1">
      <x:c r="A48" s="4" t="str">
        <x:v>FE31</x:v>
      </x:c>
      <x:c r="B48" s="4" t="str">
        <x:v>10/13–10/16，按交付执行</x:v>
      </x:c>
      <x:c r="C48" s="4" t="str">
        <x:v>提交</x:v>
      </x:c>
      <x:c r="D48" s="4" t="str">
        <x:v>表单类（见索引）</x:v>
      </x:c>
      <x:c r="E48" s="4" t="str">
        <x:v>加载和防重复提交</x:v>
      </x:c>
      <x:c r="F48" s="4" t="str">
        <x:v>常规</x:v>
      </x:c>
      <x:c r="G48" s="4" t="str">
        <x:v>可写合成对象；慢保存响应</x:v>
      </x:c>
      <x:c r="H48" s="4" t="str">
        <x:v>1.点击保存。
2.加载中再点击或按Enter。
3.读回对象数。</x:v>
      </x:c>
      <x:c r="I48" s="4" t="str">
        <x:v>请求期间有反馈且防重；一次合法提交仅产生一份批准结果，不仅禁用按钮。</x:v>
      </x:c>
      <x:c r="J48" s="4" t="str">
        <x:v>批准UI规范/PRD；记录请求次数与对象ID</x:v>
      </x:c>
      <x:c r="K48" s="17" t="str">
        <x:v>待评审</x:v>
      </x:c>
      <x:c r="L48" s="17" t="str">
        <x:v>未执行</x:v>
      </x:c>
      <x:c r="M48" s="17" t="str">
        <x:v>未执行</x:v>
      </x:c>
      <x:c r="N48" s="17" t="str"/>
      <x:c r="O48" s="17" t="str"/>
      <x:c r="P48" s="4" t="str">
        <x:v>UI47</x:v>
      </x:c>
      <x:c r="Q48" s="4" t="str">
        <x:f>IF(K48="不纳入","不纳入",IF(L48="失败",IF(LEN(TRIM(N48))=0,"开发失败缺证据","开发自测失败"),IF(M48="失败",IF(LEN(TRIM(O48))=0,"复核失败缺证据","提测复核失败"),IF(K48&lt;&gt;"可执行","待评审/依据",IF(L48="受阻","开发自测受阻",IF(L48&lt;&gt;"通过","待开发自测",IF(LEN(TRIM(N48))=0,"缺开发Build/证据",IF(M48="受阻","提测复核受阻",IF(M48&lt;&gt;"通过","待提测复核",IF(LEN(TRIM(O48))=0,"缺复核Build/证据","本轮复核通过"))))))))))</x:f>
        <x:v>待评审/依据</x:v>
      </x:c>
    </x:row>
    <x:row r="49" ht="54" customHeight="1">
      <x:c r="A49" s="4" t="str">
        <x:v>FE32</x:v>
      </x:c>
      <x:c r="B49" s="4" t="str">
        <x:v>10/13–10/16，按交付执行</x:v>
      </x:c>
      <x:c r="C49" s="4" t="str">
        <x:v>提交</x:v>
      </x:c>
      <x:c r="D49" s="4" t="str">
        <x:v>表单类（见索引）</x:v>
      </x:c>
      <x:c r="E49" s="4" t="str">
        <x:v>成功提示后的持久化</x:v>
      </x:c>
      <x:c r="F49" s="4" t="str">
        <x:v>常规</x:v>
      </x:c>
      <x:c r="G49" s="4" t="str">
        <x:v>合法合成数据；真实保存接口已交付</x:v>
      </x:c>
      <x:c r="H49" s="4" t="str">
        <x:v>1.保存并记录ID。
2.刷新或重新进入。
3.从关联页面读取。</x:v>
      </x:c>
      <x:c r="I49" s="4" t="str">
        <x:v>真实值及关联关系持续存在；本地数组变化、Toast或healthz不能判业务通过。</x:v>
      </x:c>
      <x:c r="J49" s="4" t="str">
        <x:v>批准UI规范/PRD；示例状态仅target.status本地更新</x:v>
      </x:c>
      <x:c r="K49" s="17" t="str">
        <x:v>待评审</x:v>
      </x:c>
      <x:c r="L49" s="17" t="str">
        <x:v>未执行</x:v>
      </x:c>
      <x:c r="M49" s="17" t="str">
        <x:v>未执行</x:v>
      </x:c>
      <x:c r="N49" s="17" t="str"/>
      <x:c r="O49" s="17" t="str"/>
      <x:c r="P49" s="4" t="str">
        <x:v>SM11/12、UI47</x:v>
      </x:c>
      <x:c r="Q49" s="4" t="str">
        <x:f>IF(K49="不纳入","不纳入",IF(L49="失败",IF(LEN(TRIM(N49))=0,"开发失败缺证据","开发自测失败"),IF(M49="失败",IF(LEN(TRIM(O49))=0,"复核失败缺证据","提测复核失败"),IF(K49&lt;&gt;"可执行","待评审/依据",IF(L49="受阻","开发自测受阻",IF(L49&lt;&gt;"通过","待开发自测",IF(LEN(TRIM(N49))=0,"缺开发Build/证据",IF(M49="受阻","提测复核受阻",IF(M49&lt;&gt;"通过","待提测复核",IF(LEN(TRIM(O49))=0,"缺复核Build/证据","本轮复核通过"))))))))))</x:f>
        <x:v>待评审/依据</x:v>
      </x:c>
    </x:row>
    <x:row r="50" ht="54" customHeight="1">
      <x:c r="A50" s="4" t="str">
        <x:v>FE33</x:v>
      </x:c>
      <x:c r="B50" s="4" t="str">
        <x:v>10/13–10/16，按交付执行</x:v>
      </x:c>
      <x:c r="C50" s="4" t="str">
        <x:v>提交</x:v>
      </x:c>
      <x:c r="D50" s="4" t="str">
        <x:v>表单类（见索引）</x:v>
      </x:c>
      <x:c r="E50" s="4" t="str">
        <x:v>失败重试与并发冲突保护</x:v>
      </x:c>
      <x:c r="F50" s="4" t="str">
        <x:v>常规</x:v>
      </x:c>
      <x:c r="G50" s="4" t="str">
        <x:v>可控失败及两个会话修改同一测试记录</x:v>
      </x:c>
      <x:c r="H50" s="4" t="str">
        <x:v>1.保存失败。
2.核对输入再重试。
3.制造版本冲突。</x:v>
      </x:c>
      <x:c r="I50" s="4" t="str">
        <x:v>输入不无故丢失；冲突提示和刷新/恢复按PRD；不覆盖别人成功保存值。</x:v>
      </x:c>
      <x:c r="J50" s="4" t="str">
        <x:v>批准UI规范/PRD；只验证实际声明的并发契约</x:v>
      </x:c>
      <x:c r="K50" s="17" t="str">
        <x:v>待评审</x:v>
      </x:c>
      <x:c r="L50" s="17" t="str">
        <x:v>未执行</x:v>
      </x:c>
      <x:c r="M50" s="17" t="str">
        <x:v>未执行</x:v>
      </x:c>
      <x:c r="N50" s="17" t="str"/>
      <x:c r="O50" s="17" t="str"/>
      <x:c r="P50" s="4" t="str">
        <x:v>SM54、UI47</x:v>
      </x:c>
      <x:c r="Q50" s="4" t="str">
        <x:f>IF(K50="不纳入","不纳入",IF(L50="失败",IF(LEN(TRIM(N50))=0,"开发失败缺证据","开发自测失败"),IF(M50="失败",IF(LEN(TRIM(O50))=0,"复核失败缺证据","提测复核失败"),IF(K50&lt;&gt;"可执行","待评审/依据",IF(L50="受阻","开发自测受阻",IF(L50&lt;&gt;"通过","待开发自测",IF(LEN(TRIM(N50))=0,"缺开发Build/证据",IF(M50="受阻","提测复核受阻",IF(M50&lt;&gt;"通过","待提测复核",IF(LEN(TRIM(O50))=0,"缺复核Build/证据","本轮复核通过"))))))))))</x:f>
        <x:v>待评审/依据</x:v>
      </x:c>
    </x:row>
    <x:row r="51" ht="54" customHeight="1">
      <x:c r="A51" s="4" t="str">
        <x:v>FE34</x:v>
      </x:c>
      <x:c r="B51" s="4" t="str">
        <x:v>10/13–10/16，按交付执行</x:v>
      </x:c>
      <x:c r="C51" s="4" t="str">
        <x:v>抽屉</x:v>
      </x:c>
      <x:c r="D51" s="4" t="str">
        <x:v>4、9、23</x:v>
      </x:c>
      <x:c r="E51" s="4" t="str">
        <x:v>加载中关闭后不自动重开</x:v>
      </x:c>
      <x:c r="F51" s="4" t="str">
        <x:v>常规</x:v>
      </x:c>
      <x:c r="G51" s="4" t="str">
        <x:v>慢详情响应；来源视图已采用Drawer</x:v>
      </x:c>
      <x:c r="H51" s="4" t="str">
        <x:v>1.打开A后立即关闭。
2.等待响应。
3.再打开B。</x:v>
      </x:c>
      <x:c r="I51" s="4" t="str">
        <x:v>加载中可关闭；A响应不重开抽屉、不串B；关闭后列表可操作。</x:v>
      </x:c>
      <x:c r="J51" s="4" t="str">
        <x:v>批准UI规范/PRD；useListDetailDrawer visible独立于detail</x:v>
      </x:c>
      <x:c r="K51" s="17" t="str">
        <x:v>待评审</x:v>
      </x:c>
      <x:c r="L51" s="17" t="str">
        <x:v>未执行</x:v>
      </x:c>
      <x:c r="M51" s="17" t="str">
        <x:v>未执行</x:v>
      </x:c>
      <x:c r="N51" s="17" t="str"/>
      <x:c r="O51" s="17" t="str"/>
      <x:c r="P51" s="4" t="str">
        <x:v>UI18/50/51、UI26</x:v>
      </x:c>
      <x:c r="Q51" s="4" t="str">
        <x:f>IF(K51="不纳入","不纳入",IF(L51="失败",IF(LEN(TRIM(N51))=0,"开发失败缺证据","开发自测失败"),IF(M51="失败",IF(LEN(TRIM(O51))=0,"复核失败缺证据","提测复核失败"),IF(K51&lt;&gt;"可执行","待评审/依据",IF(L51="受阻","开发自测受阻",IF(L51&lt;&gt;"通过","待开发自测",IF(LEN(TRIM(N51))=0,"缺开发Build/证据",IF(M51="受阻","提测复核受阻",IF(M51&lt;&gt;"通过","待提测复核",IF(LEN(TRIM(O51))=0,"缺复核Build/证据","本轮复核通过"))))))))))</x:f>
        <x:v>待评审/依据</x:v>
      </x:c>
    </x:row>
    <x:row r="52" ht="46" customHeight="1">
      <x:c r="A52" s="4" t="str">
        <x:v>FE35</x:v>
      </x:c>
      <x:c r="B52" s="4" t="str">
        <x:v>10/13–10/16，按交付执行</x:v>
      </x:c>
      <x:c r="C52" s="4" t="str">
        <x:v>抽屉</x:v>
      </x:c>
      <x:c r="D52" s="4" t="str">
        <x:v>4、9、23</x:v>
      </x:c>
      <x:c r="E52" s="4" t="str">
        <x:v>快速换记录避免详情串位</x:v>
      </x:c>
      <x:c r="F52" s="4" t="str">
        <x:v>常规</x:v>
      </x:c>
      <x:c r="G52" s="4" t="str">
        <x:v>A/B两条记录，A慢B快</x:v>
      </x:c>
      <x:c r="H52" s="4" t="str">
        <x:v>1.连续打开A、B。
2.等待响应并查看标题和字段。</x:v>
      </x:c>
      <x:c r="I52" s="4" t="str">
        <x:v>标题、字段、对象ID都属于最终B，不混用A；独立页方案复用该乱序断言。</x:v>
      </x:c>
      <x:c r="J52" s="4" t="str">
        <x:v>批准UI规范/PRD；useDetail懒加载，业务需实测</x:v>
      </x:c>
      <x:c r="K52" s="17" t="str">
        <x:v>待评审</x:v>
      </x:c>
      <x:c r="L52" s="17" t="str">
        <x:v>未执行</x:v>
      </x:c>
      <x:c r="M52" s="17" t="str">
        <x:v>未执行</x:v>
      </x:c>
      <x:c r="N52" s="17" t="str"/>
      <x:c r="O52" s="17" t="str"/>
      <x:c r="P52" s="4" t="str">
        <x:v>UI41、UI47</x:v>
      </x:c>
      <x:c r="Q52" s="4" t="str">
        <x:f>IF(K52="不纳入","不纳入",IF(L52="失败",IF(LEN(TRIM(N52))=0,"开发失败缺证据","开发自测失败"),IF(M52="失败",IF(LEN(TRIM(O52))=0,"复核失败缺证据","提测复核失败"),IF(K52&lt;&gt;"可执行","待评审/依据",IF(L52="受阻","开发自测受阻",IF(L52&lt;&gt;"通过","待开发自测",IF(LEN(TRIM(N52))=0,"缺开发Build/证据",IF(M52="受阻","提测复核受阻",IF(M52&lt;&gt;"通过","待提测复核",IF(LEN(TRIM(O52))=0,"缺复核Build/证据","本轮复核通过"))))))))))</x:f>
        <x:v>待评审/依据</x:v>
      </x:c>
    </x:row>
    <x:row r="53" ht="46" customHeight="1">
      <x:c r="A53" s="4" t="str">
        <x:v>FE36</x:v>
      </x:c>
      <x:c r="B53" s="4" t="str">
        <x:v>10/13–10/16，按交付执行</x:v>
      </x:c>
      <x:c r="C53" s="4" t="str">
        <x:v>详情版本</x:v>
      </x:c>
      <x:c r="D53" s="4" t="str">
        <x:v>4、9</x:v>
      </x:c>
      <x:c r="E53" s="4" t="str">
        <x:v>历史列表/详情返回与只读</x:v>
      </x:c>
      <x:c r="F53" s="4" t="str">
        <x:v>常规</x:v>
      </x:c>
      <x:c r="G53" s="4" t="str">
        <x:v>至少两个批准版本及来源快照</x:v>
      </x:c>
      <x:c r="H53" s="4" t="str">
        <x:v>1.列表→V1详情→返回。
2.打开V2再关闭。</x:v>
      </x:c>
      <x:c r="I53" s="4" t="str">
        <x:v>版本身份清楚、只读快照不覆盖；返回原列表位置/条件符合采纳稿。</x:v>
      </x:c>
      <x:c r="J53" s="4" t="str">
        <x:v>批准UI规范/PRD；服务单元/组合分别取稿</x:v>
      </x:c>
      <x:c r="K53" s="17" t="str">
        <x:v>待评审</x:v>
      </x:c>
      <x:c r="L53" s="17" t="str">
        <x:v>未执行</x:v>
      </x:c>
      <x:c r="M53" s="17" t="str">
        <x:v>未执行</x:v>
      </x:c>
      <x:c r="N53" s="17" t="str"/>
      <x:c r="O53" s="17" t="str"/>
      <x:c r="P53" s="4" t="str">
        <x:v>UI51、SM31/82</x:v>
      </x:c>
      <x:c r="Q53" s="4" t="str">
        <x:f>IF(K53="不纳入","不纳入",IF(L53="失败",IF(LEN(TRIM(N53))=0,"开发失败缺证据","开发自测失败"),IF(M53="失败",IF(LEN(TRIM(O53))=0,"复核失败缺证据","提测复核失败"),IF(K53&lt;&gt;"可执行","待评审/依据",IF(L53="受阻","开发自测受阻",IF(L53&lt;&gt;"通过","待开发自测",IF(LEN(TRIM(N53))=0,"缺开发Build/证据",IF(M53="受阻","提测复核受阻",IF(M53&lt;&gt;"通过","待提测复核",IF(LEN(TRIM(O53))=0,"缺复核Build/证据","本轮复核通过"))))))))))</x:f>
        <x:v>待评审/依据</x:v>
      </x:c>
    </x:row>
    <x:row r="54" ht="54" customHeight="1">
      <x:c r="A54" s="4" t="str">
        <x:v>FE37</x:v>
      </x:c>
      <x:c r="B54" s="4" t="str">
        <x:v>10/13–10/16，按交付执行</x:v>
      </x:c>
      <x:c r="C54" s="4" t="str">
        <x:v>行内编辑</x:v>
      </x:c>
      <x:c r="D54" s="4" t="str">
        <x:v>15</x:v>
      </x:c>
      <x:c r="E54" s="4" t="str">
        <x:v>Enter/Esc/失焦和切行</x:v>
      </x:c>
      <x:c r="F54" s="4" t="str">
        <x:v>常规</x:v>
      </x:c>
      <x:c r="G54" s="4" t="str">
        <x:v>RV05已闭环；合成明细行A/B</x:v>
      </x:c>
      <x:c r="H54" s="4" t="str">
        <x:v>1.修改后Enter。
2.修改后Esc。
3.修改后失焦/切行。</x:v>
      </x:c>
      <x:c r="I54" s="4" t="str">
        <x:v>按定稿明确提交或取消；失败保留编辑值；未改变值不重复提交；弹窗不替代行内。</x:v>
      </x:c>
      <x:c r="J54" s="4" t="str">
        <x:v>批准UI规范/PRD；ListStatusCell关闭下拉即stop-edit为示例事实</x:v>
      </x:c>
      <x:c r="K54" s="17" t="str">
        <x:v>待评审</x:v>
      </x:c>
      <x:c r="L54" s="17" t="str">
        <x:v>未执行</x:v>
      </x:c>
      <x:c r="M54" s="17" t="str">
        <x:v>未执行</x:v>
      </x:c>
      <x:c r="N54" s="17" t="str"/>
      <x:c r="O54" s="17" t="str"/>
      <x:c r="P54" s="4" t="str">
        <x:v>UI42、UI44/48</x:v>
      </x:c>
      <x:c r="Q54" s="4" t="str">
        <x:f>IF(K54="不纳入","不纳入",IF(L54="失败",IF(LEN(TRIM(N54))=0,"开发失败缺证据","开发自测失败"),IF(M54="失败",IF(LEN(TRIM(O54))=0,"复核失败缺证据","提测复核失败"),IF(K54&lt;&gt;"可执行","待评审/依据",IF(L54="受阻","开发自测受阻",IF(L54&lt;&gt;"通过","待开发自测",IF(LEN(TRIM(N54))=0,"缺开发Build/证据",IF(M54="受阻","提测复核受阻",IF(M54&lt;&gt;"通过","待提测复核",IF(LEN(TRIM(O54))=0,"缺复核Build/证据","本轮复核通过"))))))))))</x:f>
        <x:v>待评审/依据</x:v>
      </x:c>
    </x:row>
    <x:row r="55" ht="54" customHeight="1">
      <x:c r="A55" s="4" t="str">
        <x:v>FE38</x:v>
      </x:c>
      <x:c r="B55" s="4" t="str">
        <x:v>10/13–10/16，按交付执行</x:v>
      </x:c>
      <x:c r="C55" s="4" t="str">
        <x:v>危险操作</x:v>
      </x:c>
      <x:c r="D55" s="4" t="str">
        <x:v>5、10、15、50、52、53、55、56、57</x:v>
      </x:c>
      <x:c r="E55" s="4" t="str">
        <x:v>确认取消、引用阻断和结果读回</x:v>
      </x:c>
      <x:c r="F55" s="4" t="str">
        <x:v>常规</x:v>
      </x:c>
      <x:c r="G55" s="4" t="str">
        <x:v>允许删/不允许删引用对象各一；写入动作另授权</x:v>
      </x:c>
      <x:c r="H55" s="4" t="str">
        <x:v>1.打开确认先取消。
2.确认合法操作。
3.对引用对象触发阻断。</x:v>
      </x:c>
      <x:c r="I55" s="4" t="str">
        <x:v>取消不变更；风险图标与影响范围符合采纳稿；成功后刷新回读，受限对象保留。</x:v>
      </x:c>
      <x:c r="J55" s="4" t="str">
        <x:v>批准UI规范/PRD；模板批量/启用Toast不算业务结果</x:v>
      </x:c>
      <x:c r="K55" s="17" t="str">
        <x:v>待评审</x:v>
      </x:c>
      <x:c r="L55" s="17" t="str">
        <x:v>未执行</x:v>
      </x:c>
      <x:c r="M55" s="17" t="str">
        <x:v>未执行</x:v>
      </x:c>
      <x:c r="N55" s="17" t="str"/>
      <x:c r="O55" s="17" t="str"/>
      <x:c r="P55" s="4" t="str">
        <x:v>UI04/46、SM22/33</x:v>
      </x:c>
      <x:c r="Q55" s="4" t="str">
        <x:f>IF(K55="不纳入","不纳入",IF(L55="失败",IF(LEN(TRIM(N55))=0,"开发失败缺证据","开发自测失败"),IF(M55="失败",IF(LEN(TRIM(O55))=0,"复核失败缺证据","提测复核失败"),IF(K55&lt;&gt;"可执行","待评审/依据",IF(L55="受阻","开发自测受阻",IF(L55&lt;&gt;"通过","待开发自测",IF(LEN(TRIM(N55))=0,"缺开发Build/证据",IF(M55="受阻","提测复核受阻",IF(M55&lt;&gt;"通过","待提测复核",IF(LEN(TRIM(O55))=0,"缺复核Build/证据","本轮复核通过"))))))))))</x:f>
        <x:v>待评审/依据</x:v>
      </x:c>
    </x:row>
    <x:row r="56" ht="54" customHeight="1">
      <x:c r="A56" s="4" t="str">
        <x:v>FE39</x:v>
      </x:c>
      <x:c r="B56" s="4" t="str">
        <x:v>10/13–10/16，按交付执行</x:v>
      </x:c>
      <x:c r="C56" s="4" t="str">
        <x:v>选择器</x:v>
      </x:c>
      <x:c r="D56" s="4" t="str">
        <x:v>3、8、16、22、23、25、55、57</x:v>
      </x:c>
      <x:c r="E56" s="4" t="str">
        <x:v>关联对象异步回填与搜索</x:v>
      </x:c>
      <x:c r="F56" s="4" t="str">
        <x:v>常规</x:v>
      </x:c>
      <x:c r="G56" s="4" t="str">
        <x:v>A/B名称近似、不同ID；延迟回填</x:v>
      </x:c>
      <x:c r="H56" s="4" t="str">
        <x:v>1.等默认值完成。
2.搜索选择B并保存/重开。
3.取消一次选择。</x:v>
      </x:c>
      <x:c r="I56" s="4" t="str">
        <x:v>ID/名称/编码同源；晚到A不覆盖B；搜索与已选反馈按採纳稿。</x:v>
      </x:c>
      <x:c r="J56" s="4" t="str">
        <x:v>批准UI规范/PRD；下单规则去重复反馈需采纳确认</x:v>
      </x:c>
      <x:c r="K56" s="17" t="str">
        <x:v>待评审</x:v>
      </x:c>
      <x:c r="L56" s="17" t="str">
        <x:v>未执行</x:v>
      </x:c>
      <x:c r="M56" s="17" t="str">
        <x:v>未执行</x:v>
      </x:c>
      <x:c r="N56" s="17" t="str"/>
      <x:c r="O56" s="17" t="str"/>
      <x:c r="P56" s="4" t="str">
        <x:v>UI03/41/45</x:v>
      </x:c>
      <x:c r="Q56" s="4" t="str">
        <x:f>IF(K56="不纳入","不纳入",IF(L56="失败",IF(LEN(TRIM(N56))=0,"开发失败缺证据","开发自测失败"),IF(M56="失败",IF(LEN(TRIM(O56))=0,"复核失败缺证据","提测复核失败"),IF(K56&lt;&gt;"可执行","待评审/依据",IF(L56="受阻","开发自测受阻",IF(L56&lt;&gt;"通过","待开发自测",IF(LEN(TRIM(N56))=0,"缺开发Build/证据",IF(M56="受阻","提测复核受阻",IF(M56&lt;&gt;"通过","待提测复核",IF(LEN(TRIM(O56))=0,"缺复核Build/证据","本轮复核通过"))))))))))</x:f>
        <x:v>待评审/依据</x:v>
      </x:c>
    </x:row>
    <x:row r="57" ht="54" customHeight="1">
      <x:c r="A57" s="4" t="str">
        <x:v>FE40</x:v>
      </x:c>
      <x:c r="B57" s="4" t="str">
        <x:v>10/13–10/16，按交付执行</x:v>
      </x:c>
      <x:c r="C57" s="4" t="str">
        <x:v>日期</x:v>
      </x:c>
      <x:c r="D57" s="4" t="str">
        <x:v>13、26、27、51</x:v>
      </x:c>
      <x:c r="E57" s="4" t="str">
        <x:v>自然日与分钟/秒口径</x:v>
      </x:c>
      <x:c r="F57" s="4" t="str">
        <x:v>常规</x:v>
      </x:c>
      <x:c r="G57" s="4" t="str">
        <x:v>跨自然日区间、空结束日、显示时区</x:v>
      </x:c>
      <x:c r="H57" s="4" t="str">
        <x:v>1.输入合法区间。
2.选择边界日期。
3.保存读回并看列表。</x:v>
      </x:c>
      <x:c r="I57" s="4" t="str">
        <x:v>汇率自然日与其他分钟/秒字段分别按PRD；禁止共用控件带错精度，结束可空按契约。</x:v>
      </x:c>
      <x:c r="J57" s="4" t="str">
        <x:v>批准UI规范/PRD；不从示例日期格式推导规则</x:v>
      </x:c>
      <x:c r="K57" s="17" t="str">
        <x:v>待评审</x:v>
      </x:c>
      <x:c r="L57" s="17" t="str">
        <x:v>未执行</x:v>
      </x:c>
      <x:c r="M57" s="17" t="str">
        <x:v>未执行</x:v>
      </x:c>
      <x:c r="N57" s="17" t="str"/>
      <x:c r="O57" s="17" t="str"/>
      <x:c r="P57" s="4" t="str">
        <x:v>UI30、SM69/85</x:v>
      </x:c>
      <x:c r="Q57" s="4" t="str">
        <x:f>IF(K57="不纳入","不纳入",IF(L57="失败",IF(LEN(TRIM(N57))=0,"开发失败缺证据","开发自测失败"),IF(M57="失败",IF(LEN(TRIM(O57))=0,"复核失败缺证据","提测复核失败"),IF(K57&lt;&gt;"可执行","待评审/依据",IF(L57="受阻","开发自测受阻",IF(L57&lt;&gt;"通过","待开发自测",IF(LEN(TRIM(N57))=0,"缺开发Build/证据",IF(M57="受阻","提测复核受阻",IF(M57&lt;&gt;"通过","待提测复核",IF(LEN(TRIM(O57))=0,"缺复核Build/证据","本轮复核通过"))))))))))</x:f>
        <x:v>待评审/依据</x:v>
      </x:c>
    </x:row>
    <x:row r="58" ht="54" customHeight="1">
      <x:c r="A58" s="4" t="str">
        <x:v>FE41</x:v>
      </x:c>
      <x:c r="B58" s="4" t="str">
        <x:v>10/13–10/16，按交付执行</x:v>
      </x:c>
      <x:c r="C58" s="4" t="str">
        <x:v>可访问性</x:v>
      </x:c>
      <x:c r="D58" s="4" t="str">
        <x:v>全部W2</x:v>
      </x:c>
      <x:c r="E58" s="4" t="str">
        <x:v>标签、键盘、焦点与错误关联</x:v>
      </x:c>
      <x:c r="F58" s="4" t="str">
        <x:v>常规</x:v>
      </x:c>
      <x:c r="G58" s="4" t="str">
        <x:v>仅用Tab/Enter/Esc完成一个合法路径</x:v>
      </x:c>
      <x:c r="H58" s="4" t="str">
        <x:v>1.逐项聚焦。
2.触发字段错误。
3.打开/关闭弹层。</x:v>
      </x:c>
      <x:c r="I58" s="4" t="str">
        <x:v>可见标签与控件关联；错误可定位；焦点次序及关闭后返回点正确，无键盘陷阱。</x:v>
      </x:c>
      <x:c r="J58" s="4" t="str">
        <x:v>批准UI规范/PRD；10/12费用项input未有labels/ARIA</x:v>
      </x:c>
      <x:c r="K58" s="17" t="str">
        <x:v>待评审</x:v>
      </x:c>
      <x:c r="L58" s="17" t="str">
        <x:v>未执行</x:v>
      </x:c>
      <x:c r="M58" s="17" t="str">
        <x:v>未执行</x:v>
      </x:c>
      <x:c r="N58" s="17" t="str"/>
      <x:c r="O58" s="17" t="str"/>
      <x:c r="P58" s="4" t="str">
        <x:v>UI49</x:v>
      </x:c>
      <x:c r="Q58" s="4" t="str">
        <x:f>IF(K58="不纳入","不纳入",IF(L58="失败",IF(LEN(TRIM(N58))=0,"开发失败缺证据","开发自测失败"),IF(M58="失败",IF(LEN(TRIM(O58))=0,"复核失败缺证据","提测复核失败"),IF(K58&lt;&gt;"可执行","待评审/依据",IF(L58="受阻","开发自测受阻",IF(L58&lt;&gt;"通过","待开发自测",IF(LEN(TRIM(N58))=0,"缺开发Build/证据",IF(M58="受阻","提测复核受阻",IF(M58&lt;&gt;"通过","待提测复核",IF(LEN(TRIM(O58))=0,"缺复核Build/证据","本轮复核通过"))))))))))</x:f>
        <x:v>待评审/依据</x:v>
      </x:c>
    </x:row>
    <x:row r="59" ht="54" customHeight="1">
      <x:c r="A59" s="4" t="str">
        <x:v>FE42</x:v>
      </x:c>
      <x:c r="B59" s="4" t="str">
        <x:v>10/13–10/16，按交付执行</x:v>
      </x:c>
      <x:c r="C59" s="4" t="str">
        <x:v>导出</x:v>
      </x:c>
      <x:c r="D59" s="4" t="str">
        <x:v>2</x:v>
      </x:c>
      <x:c r="E59" s="4" t="str">
        <x:v>导出有真实文件且范围一致</x:v>
      </x:c>
      <x:c r="F59" s="4" t="str">
        <x:v>优先</x:v>
      </x:c>
      <x:c r="G59" s="4" t="str">
        <x:v>选2条的合法导出场景</x:v>
      </x:c>
      <x:c r="H59" s="4" t="str">
        <x:v>1.导出选中项。
2.取得文件并打开。
3.核对条数/对象ID。</x:v>
      </x:c>
      <x:c r="I59" s="4" t="str">
        <x:v>文件非空、可打开、仅含批准范围；“已导出N项”不代替文件证据。</x:v>
      </x:c>
      <x:c r="J59" s="4" t="str">
        <x:v>批准UI规范/PRD；handleExportSelected/All目前仅successMsg</x:v>
      </x:c>
      <x:c r="K59" s="17" t="str">
        <x:v>待评审</x:v>
      </x:c>
      <x:c r="L59" s="17" t="str">
        <x:v>未执行</x:v>
      </x:c>
      <x:c r="M59" s="17" t="str">
        <x:v>未执行</x:v>
      </x:c>
      <x:c r="N59" s="17" t="str"/>
      <x:c r="O59" s="17" t="str"/>
      <x:c r="P59" s="4" t="str">
        <x:v>SM55</x:v>
      </x:c>
      <x:c r="Q59" s="4" t="str">
        <x:f>IF(K59="不纳入","不纳入",IF(L59="失败",IF(LEN(TRIM(N59))=0,"开发失败缺证据","开发自测失败"),IF(M59="失败",IF(LEN(TRIM(O59))=0,"复核失败缺证据","提测复核失败"),IF(K59&lt;&gt;"可执行","待评审/依据",IF(L59="受阻","开发自测受阻",IF(L59&lt;&gt;"通过","待开发自测",IF(LEN(TRIM(N59))=0,"缺开发Build/证据",IF(M59="受阻","提测复核受阻",IF(M59&lt;&gt;"通过","待提测复核",IF(LEN(TRIM(O59))=0,"缺复核Build/证据","本轮复核通过"))))))))))</x:f>
        <x:v>待评审/依据</x:v>
      </x:c>
    </x:row>
    <x:row r="60" ht="54" customHeight="1">
      <x:c r="A60" s="4" t="str">
        <x:v>FE43</x:v>
      </x:c>
      <x:c r="B60" s="4" t="str">
        <x:v>10/13–10/16，按交付执行</x:v>
      </x:c>
      <x:c r="C60" s="4" t="str">
        <x:v>导入</x:v>
      </x:c>
      <x:c r="D60" s="4" t="str">
        <x:v>19、24</x:v>
      </x:c>
      <x:c r="E60" s="4" t="str">
        <x:v>未选文件、格式/大小和取消</x:v>
      </x:c>
      <x:c r="F60" s="4" t="str">
        <x:v>常规</x:v>
      </x:c>
      <x:c r="G60" s="4" t="str">
        <x:v>合成文件；允许类型/大小/数量取导入契约</x:v>
      </x:c>
      <x:c r="H60" s="4" t="str">
        <x:v>1.未选文件确认。
2.选错误类型/超限文件。
3.选合法文件再取消重开。</x:v>
      </x:c>
      <x:c r="I60" s="4" t="str">
        <x:v>错误明确；取消后文件/进度清理；阈值不采用模板默认值作为业务规则。</x:v>
      </x:c>
      <x:c r="J60" s="4" t="str">
        <x:v>批准UI规范/PRD；useImport仅刷新；导入PRD先确认</x:v>
      </x:c>
      <x:c r="K60" s="17" t="str">
        <x:v>待评审</x:v>
      </x:c>
      <x:c r="L60" s="17" t="str">
        <x:v>未执行</x:v>
      </x:c>
      <x:c r="M60" s="17" t="str">
        <x:v>未执行</x:v>
      </x:c>
      <x:c r="N60" s="17" t="str"/>
      <x:c r="O60" s="17" t="str"/>
      <x:c r="P60" s="4" t="str">
        <x:v>UI38</x:v>
      </x:c>
      <x:c r="Q60" s="4" t="str">
        <x:f>IF(K60="不纳入","不纳入",IF(L60="失败",IF(LEN(TRIM(N60))=0,"开发失败缺证据","开发自测失败"),IF(M60="失败",IF(LEN(TRIM(O60))=0,"复核失败缺证据","提测复核失败"),IF(K60&lt;&gt;"可执行","待评审/依据",IF(L60="受阻","开发自测受阻",IF(L60&lt;&gt;"通过","待开发自测",IF(LEN(TRIM(N60))=0,"缺开发Build/证据",IF(M60="受阻","提测复核受阻",IF(M60&lt;&gt;"通过","待提测复核",IF(LEN(TRIM(O60))=0,"缺复核Build/证据","本轮复核通过"))))))))))</x:f>
        <x:v>待评审/依据</x:v>
      </x:c>
    </x:row>
    <x:row r="61" ht="54" customHeight="1">
      <x:c r="A61" s="4" t="str">
        <x:v>FE44</x:v>
      </x:c>
      <x:c r="B61" s="4" t="str">
        <x:v>10/13–10/16，按交付执行</x:v>
      </x:c>
      <x:c r="C61" s="4" t="str">
        <x:v>导入</x:v>
      </x:c>
      <x:c r="D61" s="4" t="str">
        <x:v>19、24</x:v>
      </x:c>
      <x:c r="E61" s="4" t="str">
        <x:v>解析预览、行级错误与真实写入</x:v>
      </x:c>
      <x:c r="F61" s="4" t="str">
        <x:v>优先</x:v>
      </x:c>
      <x:c r="G61" s="4" t="str">
        <x:v>合法及含一行错误的合成文件；已获上传授权</x:v>
      </x:c>
      <x:c r="H61" s="4" t="str">
        <x:v>1.上传并解析。
2.核对预览/错误定位。
3.确认合法行后刷新读回。</x:v>
      </x:c>
      <x:c r="I61" s="4" t="str">
        <x:v>预览和正式数据一致；成功/失败数量按契约；仅刷新列表不能证明导入完成。</x:v>
      </x:c>
      <x:c r="J61" s="4" t="str">
        <x:v>批准UI规范/PRD；useImport(confirm)调用onDone=fetchList</x:v>
      </x:c>
      <x:c r="K61" s="17" t="str">
        <x:v>待评审</x:v>
      </x:c>
      <x:c r="L61" s="17" t="str">
        <x:v>未执行</x:v>
      </x:c>
      <x:c r="M61" s="17" t="str">
        <x:v>未执行</x:v>
      </x:c>
      <x:c r="N61" s="17" t="str"/>
      <x:c r="O61" s="17" t="str"/>
      <x:c r="P61" s="4" t="str">
        <x:v>UI38/44/47</x:v>
      </x:c>
      <x:c r="Q61" s="4" t="str">
        <x:f>IF(K61="不纳入","不纳入",IF(L61="失败",IF(LEN(TRIM(N61))=0,"开发失败缺证据","开发自测失败"),IF(M61="失败",IF(LEN(TRIM(O61))=0,"复核失败缺证据","提测复核失败"),IF(K61&lt;&gt;"可执行","待评审/依据",IF(L61="受阻","开发自测受阻",IF(L61&lt;&gt;"通过","待开发自测",IF(LEN(TRIM(N61))=0,"缺开发Build/证据",IF(M61="受阻","提测复核受阻",IF(M61&lt;&gt;"通过","待提测复核",IF(LEN(TRIM(O61))=0,"缺复核Build/证据","本轮复核通过"))))))))))</x:f>
        <x:v>待评审/依据</x:v>
      </x:c>
    </x:row>
    <x:row r="62" ht="54" customHeight="1">
      <x:c r="A62" s="4" t="str">
        <x:v>FE45</x:v>
      </x:c>
      <x:c r="B62" s="4" t="str">
        <x:v>10/13–10/16，按交付执行</x:v>
      </x:c>
      <x:c r="C62" s="4" t="str">
        <x:v>AI条件流程</x:v>
      </x:c>
      <x:c r="D62" s="4" t="str">
        <x:v>19</x:v>
      </x:c>
      <x:c r="E62" s="4" t="str">
        <x:v>开关、解析与人工确认分层</x:v>
      </x:c>
      <x:c r="F62" s="4" t="str">
        <x:v>常规</x:v>
      </x:c>
      <x:c r="G62" s="4" t="str">
        <x:v>仅本期批准的价卡AI导入；合成材料和本次运行授权</x:v>
      </x:c>
      <x:c r="H62" s="4" t="str">
        <x:v>1.检查关闭开关时入口。
2.启用后上传解析。
3.先取消，再确认批准结果。</x:v>
      </x:c>
      <x:c r="I62" s="4" t="str">
        <x:v>关闭时不触发AI；解析结果标识清楚；未确认不写入；AI新建服务单元W2需不纳入此包。</x:v>
      </x:c>
      <x:c r="J62" s="4" t="str">
        <x:v>批准UI规范/PRD；env开关为框架能力，不证明价卡AI接口交付</x:v>
      </x:c>
      <x:c r="K62" s="17" t="str">
        <x:v>待评审</x:v>
      </x:c>
      <x:c r="L62" s="17" t="str">
        <x:v>未执行</x:v>
      </x:c>
      <x:c r="M62" s="17" t="str">
        <x:v>未执行</x:v>
      </x:c>
      <x:c r="N62" s="17" t="str"/>
      <x:c r="O62" s="17" t="str"/>
      <x:c r="P62" s="4" t="str">
        <x:v>UI37/38</x:v>
      </x:c>
      <x:c r="Q62" s="4" t="str">
        <x:f>IF(K62="不纳入","不纳入",IF(L62="失败",IF(LEN(TRIM(N62))=0,"开发失败缺证据","开发自测失败"),IF(M62="失败",IF(LEN(TRIM(O62))=0,"复核失败缺证据","提测复核失败"),IF(K62&lt;&gt;"可执行","待评审/依据",IF(L62="受阻","开发自测受阻",IF(L62&lt;&gt;"通过","待开发自测",IF(LEN(TRIM(N62))=0,"缺开发Build/证据",IF(M62="受阻","提测复核受阻",IF(M62&lt;&gt;"通过","待提测复核",IF(LEN(TRIM(O62))=0,"缺复核Build/证据","本轮复核通过"))))))))))</x:f>
        <x:v>待评审/依据</x:v>
      </x:c>
    </x:row>
    <x:row r="63" ht="46" customHeight="1">
      <x:c r="A63" s="4" t="str">
        <x:v>FE46</x:v>
      </x:c>
      <x:c r="B63" s="4" t="str">
        <x:v>10/13–10/16，按交付执行</x:v>
      </x:c>
      <x:c r="C63" s="4" t="str">
        <x:v>权限</x:v>
      </x:c>
      <x:c r="D63" s="4" t="str">
        <x:v>全部W2</x:v>
      </x:c>
      <x:c r="E63" s="4" t="str">
        <x:v>隐藏/禁用、直接URL与接口结果</x:v>
      </x:c>
      <x:c r="F63" s="4" t="str">
        <x:v>常规</x:v>
      </x:c>
      <x:c r="G63" s="4" t="str">
        <x:v>本包真实角色权限矩阵及越权合成对象</x:v>
      </x:c>
      <x:c r="H63" s="4" t="str">
        <x:v>1.逐项核对入口。
2.尝试深链与受控越权请求。</x:v>
      </x:c>
      <x:c r="I63" s="4" t="str">
        <x:v>界面和实际响应一致；越权对象不可见；403不退化为普通空列表。</x:v>
      </x:c>
      <x:c r="J63" s="4" t="str">
        <x:v>批准UI规范/PRD；routes/meta.resourceId及menu权限过滤</x:v>
      </x:c>
      <x:c r="K63" s="17" t="str">
        <x:v>待评审</x:v>
      </x:c>
      <x:c r="L63" s="17" t="str">
        <x:v>未执行</x:v>
      </x:c>
      <x:c r="M63" s="17" t="str">
        <x:v>未执行</x:v>
      </x:c>
      <x:c r="N63" s="17" t="str"/>
      <x:c r="O63" s="17" t="str"/>
      <x:c r="P63" s="4" t="str">
        <x:v>SM02、UI25</x:v>
      </x:c>
      <x:c r="Q63" s="4" t="str">
        <x:f>IF(K63="不纳入","不纳入",IF(L63="失败",IF(LEN(TRIM(N63))=0,"开发失败缺证据","开发自测失败"),IF(M63="失败",IF(LEN(TRIM(O63))=0,"复核失败缺证据","提测复核失败"),IF(K63&lt;&gt;"可执行","待评审/依据",IF(L63="受阻","开发自测受阻",IF(L63&lt;&gt;"通过","待开发自测",IF(LEN(TRIM(N63))=0,"缺开发Build/证据",IF(M63="受阻","提测复核受阻",IF(M63&lt;&gt;"通过","待提测复核",IF(LEN(TRIM(O63))=0,"缺复核Build/证据","本轮复核通过"))))))))))</x:f>
        <x:v>待评审/依据</x:v>
      </x:c>
    </x:row>
    <x:row r="64" ht="46" customHeight="1">
      <x:c r="A64" s="4" t="str">
        <x:v>FE47</x:v>
      </x:c>
      <x:c r="B64" s="4" t="str">
        <x:v>10/13–10/16，按交付执行</x:v>
      </x:c>
      <x:c r="C64" s="4" t="str">
        <x:v>组件状态</x:v>
      </x:c>
      <x:c r="D64" s="4" t="str">
        <x:v>全部W2</x:v>
      </x:c>
      <x:c r="E64" s="4" t="str">
        <x:v>默认/悬停/焦点/禁用/加载</x:v>
      </x:c>
      <x:c r="F64" s="4" t="str">
        <x:v>常规</x:v>
      </x:c>
      <x:c r="G64" s="4" t="str">
        <x:v>各包实际使用按钮、输入、选择器</x:v>
      </x:c>
      <x:c r="H64" s="4" t="str">
        <x:v>1.逐状态留图。
2.用鼠标和键盘触发。</x:v>
      </x:c>
      <x:c r="I64" s="4" t="str">
        <x:v>实际使用状态齐全且样式符合采纳稿；禁用/加载不受重复交互，空态与异常另测。</x:v>
      </x:c>
      <x:c r="J64" s="4" t="str">
        <x:v>批准UI规范/PRD；通用规范状态完整要求</x:v>
      </x:c>
      <x:c r="K64" s="17" t="str">
        <x:v>待评审</x:v>
      </x:c>
      <x:c r="L64" s="17" t="str">
        <x:v>未执行</x:v>
      </x:c>
      <x:c r="M64" s="17" t="str">
        <x:v>未执行</x:v>
      </x:c>
      <x:c r="N64" s="17" t="str"/>
      <x:c r="O64" s="17" t="str"/>
      <x:c r="P64" s="4" t="str">
        <x:v>UI25、UI28</x:v>
      </x:c>
      <x:c r="Q64" s="4" t="str">
        <x:f>IF(K64="不纳入","不纳入",IF(L64="失败",IF(LEN(TRIM(N64))=0,"开发失败缺证据","开发自测失败"),IF(M64="失败",IF(LEN(TRIM(O64))=0,"复核失败缺证据","提测复核失败"),IF(K64&lt;&gt;"可执行","待评审/依据",IF(L64="受阻","开发自测受阻",IF(L64&lt;&gt;"通过","待开发自测",IF(LEN(TRIM(N64))=0,"缺开发Build/证据",IF(M64="受阻","提测复核受阻",IF(M64&lt;&gt;"通过","待提测复核",IF(LEN(TRIM(O64))=0,"缺复核Build/证据","本轮复核通过"))))))))))</x:f>
        <x:v>待评审/依据</x:v>
      </x:c>
    </x:row>
    <x:row r="65" ht="46" customHeight="1">
      <x:c r="A65" s="4" t="str">
        <x:v>BP01</x:v>
      </x:c>
      <x:c r="B65" s="4" t="str">
        <x:v>10/13–10/14 服务管理</x:v>
      </x:c>
      <x:c r="C65" s="4" t="str">
        <x:v>服务单元</x:v>
      </x:c>
      <x:c r="D65" s="4" t="str">
        <x:v>1</x:v>
      </x:c>
      <x:c r="E65" s="4" t="str">
        <x:v>服务单元列表字段与查询组合</x:v>
      </x:c>
      <x:c r="F65" s="4" t="str">
        <x:v>常规</x:v>
      </x:c>
      <x:c r="G65" s="4" t="str">
        <x:v>已知编码、名称和状态；至少两条真实测试记录；目标角色、Build、受控数据与采纳稿齐备</x:v>
      </x:c>
      <x:c r="H65" s="4" t="str">
        <x:v>从服务单元列表查询已知编码，再叠加名称/状态，打开命中对象。</x:v>
      </x:c>
      <x:c r="I65" s="4" t="str">
        <x:v>查询口径、标识和详情对象按SM82；编码只有实际详情动作才使用链接态。</x:v>
      </x:c>
      <x:c r="J65" s="4" t="str">
        <x:v>W2序号1；SM82；PRD/Review快照2026-10-12</x:v>
      </x:c>
      <x:c r="K65" s="17" t="str">
        <x:v>待评审</x:v>
      </x:c>
      <x:c r="L65" s="17" t="str">
        <x:v>未执行</x:v>
      </x:c>
      <x:c r="M65" s="17" t="str">
        <x:v>未执行</x:v>
      </x:c>
      <x:c r="N65" s="17" t="str"/>
      <x:c r="O65" s="17" t="str"/>
      <x:c r="P65" s="4" t="str">
        <x:v>SM82、UI09、UI10、UI11、UI15、UI17</x:v>
      </x:c>
      <x:c r="Q65" s="4" t="str">
        <x:f>IF(K65="不纳入","不纳入",IF(L65="失败",IF(LEN(TRIM(N65))=0,"开发失败缺证据","开发自测失败"),IF(M65="失败",IF(LEN(TRIM(O65))=0,"复核失败缺证据","提测复核失败"),IF(K65&lt;&gt;"可执行","待评审/依据",IF(L65="受阻","开发自测受阻",IF(L65&lt;&gt;"通过","待开发自测",IF(LEN(TRIM(N65))=0,"缺开发Build/证据",IF(M65="受阻","提测复核受阻",IF(M65&lt;&gt;"通过","待提测复核",IF(LEN(TRIM(O65))=0,"缺复核Build/证据","本轮复核通过"))))))))))</x:f>
        <x:v>待评审/依据</x:v>
      </x:c>
    </x:row>
    <x:row r="66" ht="46" customHeight="1">
      <x:c r="A66" s="4" t="str">
        <x:v>BP02</x:v>
      </x:c>
      <x:c r="B66" s="4" t="str">
        <x:v>10/13–10/14 服务管理</x:v>
      </x:c>
      <x:c r="C66" s="4" t="str">
        <x:v>服务单元</x:v>
      </x:c>
      <x:c r="D66" s="4" t="str">
        <x:v>2</x:v>
      </x:c>
      <x:c r="E66" s="4" t="str">
        <x:v>服务单元批量可用动作与数量</x:v>
      </x:c>
      <x:c r="F66" s="4" t="str">
        <x:v>优先</x:v>
      </x:c>
      <x:c r="G66" s="4" t="str">
        <x:v>同状态/异状态样本；批量契约；目标角色、Build、受控数据与采纳稿齐备</x:v>
      </x:c>
      <x:c r="H66" s="4" t="str">
        <x:v>勾选不同状态对象，查看可用动作，取消一项后再确认执行摘要。</x:v>
      </x:c>
      <x:c r="I66" s="4" t="str">
        <x:v>操作可用性、范围及数量按SM28，按对象结果回读；无勾选基础配置不代验。</x:v>
      </x:c>
      <x:c r="J66" s="4" t="str">
        <x:v>W2序号2；SM28、SM55；PRD/Review快照2026-10-12</x:v>
      </x:c>
      <x:c r="K66" s="17" t="str">
        <x:v>待评审</x:v>
      </x:c>
      <x:c r="L66" s="17" t="str">
        <x:v>未执行</x:v>
      </x:c>
      <x:c r="M66" s="17" t="str">
        <x:v>未执行</x:v>
      </x:c>
      <x:c r="N66" s="17" t="str"/>
      <x:c r="O66" s="17" t="str"/>
      <x:c r="P66" s="4" t="str">
        <x:v>SM28、SM55、UI12、UI13、UI14</x:v>
      </x:c>
      <x:c r="Q66" s="4" t="str">
        <x:f>IF(K66="不纳入","不纳入",IF(L66="失败",IF(LEN(TRIM(N66))=0,"开发失败缺证据","开发自测失败"),IF(M66="失败",IF(LEN(TRIM(O66))=0,"复核失败缺证据","提测复核失败"),IF(K66&lt;&gt;"可执行","待评审/依据",IF(L66="受阻","开发自测受阻",IF(L66&lt;&gt;"通过","待开发自测",IF(LEN(TRIM(N66))=0,"缺开发Build/证据",IF(M66="受阻","提测复核受阻",IF(M66&lt;&gt;"通过","待提测复核",IF(LEN(TRIM(O66))=0,"缺复核Build/证据","本轮复核通过"))))))))))</x:f>
        <x:v>待评审/依据</x:v>
      </x:c>
    </x:row>
    <x:row r="67" ht="46" customHeight="1">
      <x:c r="A67" s="4" t="str">
        <x:v>BP03</x:v>
      </x:c>
      <x:c r="B67" s="4" t="str">
        <x:v>10/13–10/14 服务管理</x:v>
      </x:c>
      <x:c r="C67" s="4" t="str">
        <x:v>服务单元</x:v>
      </x:c>
      <x:c r="D67" s="4" t="str">
        <x:v>3</x:v>
      </x:c>
      <x:c r="E67" s="4" t="str">
        <x:v>服务单元新建分组与成本卡关联</x:v>
      </x:c>
      <x:c r="F67" s="4" t="str">
        <x:v>优先</x:v>
      </x:c>
      <x:c r="G67" s="4" t="str">
        <x:v>RV02已采用；SM21/29合法字段；目标角色、Build、受控数据与采纳稿齐备</x:v>
      </x:c>
      <x:c r="H67" s="4" t="str">
        <x:v>从批准创建入口填合法字段，保存后重新打开并读取自动成本卡关联。</x:v>
      </x:c>
      <x:c r="I67" s="4" t="str">
        <x:v>采用稿字段分组与保存区可达；保存读回、只读编码和自动关联一致。</x:v>
      </x:c>
      <x:c r="J67" s="4" t="str">
        <x:v>W2序号3；SM21、SM29、SM63；PRD/Review快照2026-10-12</x:v>
      </x:c>
      <x:c r="K67" s="17" t="str">
        <x:v>待评审</x:v>
      </x:c>
      <x:c r="L67" s="17" t="str">
        <x:v>未执行</x:v>
      </x:c>
      <x:c r="M67" s="17" t="str">
        <x:v>未执行</x:v>
      </x:c>
      <x:c r="N67" s="17" t="str"/>
      <x:c r="O67" s="17" t="str"/>
      <x:c r="P67" s="4" t="str">
        <x:v>SM21、SM29、SM63、UI35、UI31、UI44、UI48</x:v>
      </x:c>
      <x:c r="Q67" s="4" t="str">
        <x:f>IF(K67="不纳入","不纳入",IF(L67="失败",IF(LEN(TRIM(N67))=0,"开发失败缺证据","开发自测失败"),IF(M67="失败",IF(LEN(TRIM(O67))=0,"复核失败缺证据","提测复核失败"),IF(K67&lt;&gt;"可执行","待评审/依据",IF(L67="受阻","开发自测受阻",IF(L67&lt;&gt;"通过","待开发自测",IF(LEN(TRIM(N67))=0,"缺开发Build/证据",IF(M67="受阻","提测复核受阻",IF(M67&lt;&gt;"通过","待提测复核",IF(LEN(TRIM(O67))=0,"缺复核Build/证据","本轮复核通过"))))))))))</x:f>
        <x:v>待评审/依据</x:v>
      </x:c>
    </x:row>
    <x:row r="68" ht="46" customHeight="1">
      <x:c r="A68" s="4" t="str">
        <x:v>BP04</x:v>
      </x:c>
      <x:c r="B68" s="4" t="str">
        <x:v>10/13–10/14 服务管理</x:v>
      </x:c>
      <x:c r="C68" s="4" t="str">
        <x:v>服务单元</x:v>
      </x:c>
      <x:c r="D68" s="4" t="str">
        <x:v>4</x:v>
      </x:c>
      <x:c r="E68" s="4" t="str">
        <x:v>服务单元详情长内容与上下文</x:v>
      </x:c>
      <x:c r="F68" s="4" t="str">
        <x:v>优先</x:v>
      </x:c>
      <x:c r="G68" s="4" t="str">
        <x:v>RV03已裁决；同列表两条长内容对象；目标角色、Build、受控数据与采纳稿齐备</x:v>
      </x:c>
      <x:c r="H68" s="4" t="str">
        <x:v>进入详情、滚动末段、返回，再查看另一条。</x:v>
      </x:c>
      <x:c r="I68" s="4" t="str">
        <x:v>只读分组与批准承载匹配；不是同时要求整页和Drawer；列表条件/位置不丢。</x:v>
      </x:c>
      <x:c r="J68" s="4" t="str">
        <x:v>W2序号4；SM82；PRD/Review快照2026-10-12</x:v>
      </x:c>
      <x:c r="K68" s="17" t="str">
        <x:v>待评审</x:v>
      </x:c>
      <x:c r="L68" s="17" t="str">
        <x:v>未执行</x:v>
      </x:c>
      <x:c r="M68" s="17" t="str">
        <x:v>未执行</x:v>
      </x:c>
      <x:c r="N68" s="17" t="str"/>
      <x:c r="O68" s="17" t="str"/>
      <x:c r="P68" s="4" t="str">
        <x:v>SM82、UI18、UI50、UI26、UI49</x:v>
      </x:c>
      <x:c r="Q68" s="4" t="str">
        <x:f>IF(K68="不纳入","不纳入",IF(L68="失败",IF(LEN(TRIM(N68))=0,"开发失败缺证据","开发自测失败"),IF(M68="失败",IF(LEN(TRIM(O68))=0,"复核失败缺证据","提测复核失败"),IF(K68&lt;&gt;"可执行","待评审/依据",IF(L68="受阻","开发自测受阻",IF(L68&lt;&gt;"通过","待开发自测",IF(LEN(TRIM(N68))=0,"缺开发Build/证据",IF(M68="受阻","提测复核受阻",IF(M68&lt;&gt;"通过","待提测复核",IF(LEN(TRIM(O68))=0,"缺复核Build/证据","本轮复核通过"))))))))))</x:f>
        <x:v>待评审/依据</x:v>
      </x:c>
    </x:row>
    <x:row r="69" ht="46" customHeight="1">
      <x:c r="A69" s="4" t="str">
        <x:v>BP05</x:v>
      </x:c>
      <x:c r="B69" s="4" t="str">
        <x:v>10/13–10/14 服务管理</x:v>
      </x:c>
      <x:c r="C69" s="4" t="str">
        <x:v>服务单元</x:v>
      </x:c>
      <x:c r="D69" s="4" t="str">
        <x:v>5</x:v>
      </x:c>
      <x:c r="E69" s="4" t="str">
        <x:v>禁用编排风险提示与引用信息</x:v>
      </x:c>
      <x:c r="F69" s="4" t="str">
        <x:v>常规</x:v>
      </x:c>
      <x:c r="G69" s="4" t="str">
        <x:v>被产品引用及未引用对象；SM22/30；目标角色、Build、受控数据与采纳稿齐备</x:v>
      </x:c>
      <x:c r="H69" s="4" t="str">
        <x:v>打开禁用编排确认，核对引用/风险后取消，再在授权样本确认。</x:v>
      </x:c>
      <x:c r="I69" s="4" t="str">
        <x:v>Warning和文案表达批准影响；取消不改变，允许性与历史链路按PRD。</x:v>
      </x:c>
      <x:c r="J69" s="4" t="str">
        <x:v>W2序号5；SM22、SM30；PRD/Review快照2026-10-12</x:v>
      </x:c>
      <x:c r="K69" s="17" t="str">
        <x:v>待评审</x:v>
      </x:c>
      <x:c r="L69" s="17" t="str">
        <x:v>未执行</x:v>
      </x:c>
      <x:c r="M69" s="17" t="str">
        <x:v>未执行</x:v>
      </x:c>
      <x:c r="N69" s="17" t="str"/>
      <x:c r="O69" s="17" t="str"/>
      <x:c r="P69" s="4" t="str">
        <x:v>SM22、SM30、UI04、UI28、UI46</x:v>
      </x:c>
      <x:c r="Q69" s="4" t="str">
        <x:f>IF(K69="不纳入","不纳入",IF(L69="失败",IF(LEN(TRIM(N69))=0,"开发失败缺证据","开发自测失败"),IF(M69="失败",IF(LEN(TRIM(O69))=0,"复核失败缺证据","提测复核失败"),IF(K69&lt;&gt;"可执行","待评审/依据",IF(L69="受阻","开发自测受阻",IF(L69&lt;&gt;"通过","待开发自测",IF(LEN(TRIM(N69))=0,"缺开发Build/证据",IF(M69="受阻","提测复核受阻",IF(M69&lt;&gt;"通过","待提测复核",IF(LEN(TRIM(O69))=0,"缺复核Build/证据","本轮复核通过"))))))))))</x:f>
        <x:v>待评审/依据</x:v>
      </x:c>
    </x:row>
    <x:row r="70" ht="46" customHeight="1">
      <x:c r="A70" s="4" t="str">
        <x:v>BP07</x:v>
      </x:c>
      <x:c r="B70" s="4" t="str">
        <x:v>10/13–10/14 服务管理</x:v>
      </x:c>
      <x:c r="C70" s="4" t="str">
        <x:v>服务组合</x:v>
      </x:c>
      <x:c r="D70" s="4" t="str">
        <x:v>7</x:v>
      </x:c>
      <x:c r="E70" s="4" t="str">
        <x:v>组合列表筛选、空态和详情</x:v>
      </x:c>
      <x:c r="F70" s="4" t="str">
        <x:v>常规</x:v>
      </x:c>
      <x:c r="G70" s="4" t="str">
        <x:v>SM64已知组合/无匹配条件；目标角色、Build、受控数据与采纳稿齐备</x:v>
      </x:c>
      <x:c r="H70" s="4" t="str">
        <x:v>查询已知组合，叠加条件到无结果，重置，再开详情。</x:v>
      </x:c>
      <x:c r="I70" s="4" t="str">
        <x:v>交集和计数正确；筛选空态引导清空，详情身份与列表一致。</x:v>
      </x:c>
      <x:c r="J70" s="4" t="str">
        <x:v>W2序号7；SM64、SM82；PRD/Review快照2026-10-12</x:v>
      </x:c>
      <x:c r="K70" s="17" t="str">
        <x:v>待评审</x:v>
      </x:c>
      <x:c r="L70" s="17" t="str">
        <x:v>未执行</x:v>
      </x:c>
      <x:c r="M70" s="17" t="str">
        <x:v>未执行</x:v>
      </x:c>
      <x:c r="N70" s="17" t="str"/>
      <x:c r="O70" s="17" t="str"/>
      <x:c r="P70" s="4" t="str">
        <x:v>SM64、SM82、UI09、UI10、UI11</x:v>
      </x:c>
      <x:c r="Q70" s="4" t="str">
        <x:f>IF(K70="不纳入","不纳入",IF(L70="失败",IF(LEN(TRIM(N70))=0,"开发失败缺证据","开发自测失败"),IF(M70="失败",IF(LEN(TRIM(O70))=0,"复核失败缺证据","提测复核失败"),IF(K70&lt;&gt;"可执行","待评审/依据",IF(L70="受阻","开发自测受阻",IF(L70&lt;&gt;"通过","待开发自测",IF(LEN(TRIM(N70))=0,"缺开发Build/证据",IF(M70="受阻","提测复核受阻",IF(M70&lt;&gt;"通过","待提测复核",IF(LEN(TRIM(O70))=0,"缺复核Build/证据","本轮复核通过"))))))))))</x:f>
        <x:v>待评审/依据</x:v>
      </x:c>
    </x:row>
    <x:row r="71" ht="46" customHeight="1">
      <x:c r="A71" s="4" t="str">
        <x:v>BP08</x:v>
      </x:c>
      <x:c r="B71" s="4" t="str">
        <x:v>10/13–10/14 服务管理</x:v>
      </x:c>
      <x:c r="C71" s="4" t="str">
        <x:v>服务组合</x:v>
      </x:c>
      <x:c r="D71" s="4" t="str">
        <x:v>8</x:v>
      </x:c>
      <x:c r="E71" s="4" t="str">
        <x:v>组合成员选择、排序与汇总</x:v>
      </x:c>
      <x:c r="F71" s="4" t="str">
        <x:v>常规</x:v>
      </x:c>
      <x:c r="G71" s="4" t="str">
        <x:v>SM31/32/65合法成员/角色/容量；目标角色、Build、受控数据与采纳稿齐备</x:v>
      </x:c>
      <x:c r="H71" s="4" t="str">
        <x:v>增加一名成员、改变顺序，观察覆盖汇总，保存重开。</x:v>
      </x:c>
      <x:c r="I71" s="4" t="str">
        <x:v>成员顺序、角色、容量与汇总一致；无有效变更不误生成版本。</x:v>
      </x:c>
      <x:c r="J71" s="4" t="str">
        <x:v>W2序号8；SM31、SM32、SM65、SM66；PRD/Review快照2026-10-12</x:v>
      </x:c>
      <x:c r="K71" s="17" t="str">
        <x:v>待评审</x:v>
      </x:c>
      <x:c r="L71" s="17" t="str">
        <x:v>未执行</x:v>
      </x:c>
      <x:c r="M71" s="17" t="str">
        <x:v>未执行</x:v>
      </x:c>
      <x:c r="N71" s="17" t="str"/>
      <x:c r="O71" s="17" t="str"/>
      <x:c r="P71" s="4" t="str">
        <x:v>SM31、SM32、SM65、SM66、UI31、UI44、UI45、UI48</x:v>
      </x:c>
      <x:c r="Q71" s="4" t="str">
        <x:f>IF(K71="不纳入","不纳入",IF(L71="失败",IF(LEN(TRIM(N71))=0,"开发失败缺证据","开发自测失败"),IF(M71="失败",IF(LEN(TRIM(O71))=0,"复核失败缺证据","提测复核失败"),IF(K71&lt;&gt;"可执行","待评审/依据",IF(L71="受阻","开发自测受阻",IF(L71&lt;&gt;"通过","待开发自测",IF(LEN(TRIM(N71))=0,"缺开发Build/证据",IF(M71="受阻","提测复核受阻",IF(M71&lt;&gt;"通过","待提测复核",IF(LEN(TRIM(O71))=0,"缺复核Build/证据","本轮复核通过"))))))))))</x:f>
        <x:v>待评审/依据</x:v>
      </x:c>
    </x:row>
    <x:row r="72" ht="46" customHeight="1">
      <x:c r="A72" s="4" t="str">
        <x:v>BP09</x:v>
      </x:c>
      <x:c r="B72" s="4" t="str">
        <x:v>10/13–10/14 服务管理</x:v>
      </x:c>
      <x:c r="C72" s="4" t="str">
        <x:v>服务组合</x:v>
      </x:c>
      <x:c r="D72" s="4" t="str">
        <x:v>9</x:v>
      </x:c>
      <x:c r="E72" s="4" t="str">
        <x:v>组合历史版本只读和返回</x:v>
      </x:c>
      <x:c r="F72" s="4" t="str">
        <x:v>常规</x:v>
      </x:c>
      <x:c r="G72" s="4" t="str">
        <x:v>真实两版本组合；组合自己的采用稿；目标角色、Build、受控数据与采纳稿齐备</x:v>
      </x:c>
      <x:c r="H72" s="4" t="str">
        <x:v>打开V1、返回历史列表、打开V2，对照快照。</x:v>
      </x:c>
      <x:c r="I72" s="4" t="str">
        <x:v>版本不串位、快照只读；不把服务单元UI51样式自动套给组合。</x:v>
      </x:c>
      <x:c r="J72" s="4" t="str">
        <x:v>W2序号9；SM31、SM82；PRD/Review快照2026-10-12</x:v>
      </x:c>
      <x:c r="K72" s="17" t="str">
        <x:v>待评审</x:v>
      </x:c>
      <x:c r="L72" s="17" t="str">
        <x:v>未执行</x:v>
      </x:c>
      <x:c r="M72" s="17" t="str">
        <x:v>未执行</x:v>
      </x:c>
      <x:c r="N72" s="17" t="str"/>
      <x:c r="O72" s="17" t="str"/>
      <x:c r="P72" s="4" t="str">
        <x:v>SM31、SM82、UI26、UI33、UI48</x:v>
      </x:c>
      <x:c r="Q72" s="4" t="str">
        <x:f>IF(K72="不纳入","不纳入",IF(L72="失败",IF(LEN(TRIM(N72))=0,"开发失败缺证据","开发自测失败"),IF(M72="失败",IF(LEN(TRIM(O72))=0,"复核失败缺证据","提测复核失败"),IF(K72&lt;&gt;"可执行","待评审/依据",IF(L72="受阻","开发自测受阻",IF(L72&lt;&gt;"通过","待开发自测",IF(LEN(TRIM(N72))=0,"缺开发Build/证据",IF(M72="受阻","提测复核受阻",IF(M72&lt;&gt;"通过","待提测复核",IF(LEN(TRIM(O72))=0,"缺复核Build/证据","本轮复核通过"))))))))))</x:f>
        <x:v>待评审/依据</x:v>
      </x:c>
    </x:row>
    <x:row r="73" ht="46" customHeight="1">
      <x:c r="A73" s="4" t="str">
        <x:v>BP10</x:v>
      </x:c>
      <x:c r="B73" s="4" t="str">
        <x:v>10/13–10/14 服务管理</x:v>
      </x:c>
      <x:c r="C73" s="4" t="str">
        <x:v>服务组合</x:v>
      </x:c>
      <x:c r="D73" s="4" t="str">
        <x:v>10</x:v>
      </x:c>
      <x:c r="E73" s="4" t="str">
        <x:v>组合删除引用阻断与并发提示</x:v>
      </x:c>
      <x:c r="F73" s="4" t="str">
        <x:v>常规</x:v>
      </x:c>
      <x:c r="G73" s="4" t="str">
        <x:v>有引用组合；双会话同一版本；目标角色、Build、受控数据与采纳稿齐备</x:v>
      </x:c>
      <x:c r="H73" s="4" t="str">
        <x:v>打开删除并取消，验证引用阻断，再进行受控同版本保存冲突。</x:v>
      </x:c>
      <x:c r="I73" s="4" t="str">
        <x:v>引用对象保留；冲突提示有恢复路径，失败不覆盖已保存记录。</x:v>
      </x:c>
      <x:c r="J73" s="4" t="str">
        <x:v>W2序号10；SM33、SM54；PRD/Review快照2026-10-12</x:v>
      </x:c>
      <x:c r="K73" s="17" t="str">
        <x:v>待评审</x:v>
      </x:c>
      <x:c r="L73" s="17" t="str">
        <x:v>未执行</x:v>
      </x:c>
      <x:c r="M73" s="17" t="str">
        <x:v>未执行</x:v>
      </x:c>
      <x:c r="N73" s="17" t="str"/>
      <x:c r="O73" s="17" t="str"/>
      <x:c r="P73" s="4" t="str">
        <x:v>SM33、SM54、UI46、UI47</x:v>
      </x:c>
      <x:c r="Q73" s="4" t="str">
        <x:f>IF(K73="不纳入","不纳入",IF(L73="失败",IF(LEN(TRIM(N73))=0,"开发失败缺证据","开发自测失败"),IF(M73="失败",IF(LEN(TRIM(O73))=0,"复核失败缺证据","提测复核失败"),IF(K73&lt;&gt;"可执行","待评审/依据",IF(L73="受阻","开发自测受阻",IF(L73&lt;&gt;"通过","待开发自测",IF(LEN(TRIM(N73))=0,"缺开发Build/证据",IF(M73="受阻","提测复核受阻",IF(M73&lt;&gt;"通过","待提测复核",IF(LEN(TRIM(O73))=0,"缺复核Build/证据","本轮复核通过"))))))))))</x:f>
        <x:v>待评审/依据</x:v>
      </x:c>
    </x:row>
    <x:row r="74" ht="46" customHeight="1">
      <x:c r="A74" s="4" t="str">
        <x:v>BP11</x:v>
      </x:c>
      <x:c r="B74" s="4" t="str">
        <x:v>10/13–10/14 服务管理</x:v>
      </x:c>
      <x:c r="C74" s="4" t="str">
        <x:v>策略配置</x:v>
      </x:c>
      <x:c r="D74" s="4" t="str">
        <x:v>11</x:v>
      </x:c>
      <x:c r="E74" s="4" t="str">
        <x:v>预置策略详情与返回组合</x:v>
      </x:c>
      <x:c r="F74" s="4" t="str">
        <x:v>常规</x:v>
      </x:c>
      <x:c r="G74" s="4" t="str">
        <x:v>SM62预置策略及已知引用数；目标角色、Build、受控数据与采纳稿齐备</x:v>
      </x:c>
      <x:c r="H74" s="4" t="str">
        <x:v>从服务组合进入策略配置，打开策略详情再返回。</x:v>
      </x:c>
      <x:c r="I74" s="4" t="str">
        <x:v>预置内容与引用数可核对；不强制增加已划删的新建策略按钮。</x:v>
      </x:c>
      <x:c r="J74" s="4" t="str">
        <x:v>W2序号11；SM62、SM82；PRD/Review快照2026-10-12</x:v>
      </x:c>
      <x:c r="K74" s="17" t="str">
        <x:v>待评审</x:v>
      </x:c>
      <x:c r="L74" s="17" t="str">
        <x:v>未执行</x:v>
      </x:c>
      <x:c r="M74" s="17" t="str">
        <x:v>未执行</x:v>
      </x:c>
      <x:c r="N74" s="17" t="str"/>
      <x:c r="O74" s="17" t="str"/>
      <x:c r="P74" s="4" t="str">
        <x:v>SM62、SM82、UI10、UI26、UI33</x:v>
      </x:c>
      <x:c r="Q74" s="4" t="str">
        <x:f>IF(K74="不纳入","不纳入",IF(L74="失败",IF(LEN(TRIM(N74))=0,"开发失败缺证据","开发自测失败"),IF(M74="失败",IF(LEN(TRIM(O74))=0,"复核失败缺证据","提测复核失败"),IF(K74&lt;&gt;"可执行","待评审/依据",IF(L74="受阻","开发自测受阻",IF(L74&lt;&gt;"通过","待开发自测",IF(LEN(TRIM(N74))=0,"缺开发Build/证据",IF(M74="受阻","提测复核受阻",IF(M74&lt;&gt;"通过","待提测复核",IF(LEN(TRIM(O74))=0,"缺复核Build/证据","本轮复核通过"))))))))))</x:f>
        <x:v>待评审/依据</x:v>
      </x:c>
    </x:row>
    <x:row r="75" ht="46" customHeight="1">
      <x:c r="A75" s="4" t="str">
        <x:v>BP12</x:v>
      </x:c>
      <x:c r="B75" s="4" t="str">
        <x:v>10/14 价格维护</x:v>
      </x:c>
      <x:c r="C75" s="4" t="str">
        <x:v>成本价卡</x:v>
      </x:c>
      <x:c r="D75" s="4" t="str">
        <x:v>12</x:v>
      </x:c>
      <x:c r="E75" s="4" t="str">
        <x:v>价卡列表金额、币种和生效时间</x:v>
      </x:c>
      <x:c r="F75" s="4" t="str">
        <x:v>常规</x:v>
      </x:c>
      <x:c r="G75" s="4" t="str">
        <x:v>已知静态卡；含小数/结束可空；目标角色、Build、受控数据与采纳稿齐备</x:v>
      </x:c>
      <x:c r="H75" s="4" t="str">
        <x:v>查询价卡，核对金额/币种/区间并进入卡头。</x:v>
      </x:c>
      <x:c r="I75" s="4" t="str">
        <x:v>金额右对齐、单位可见，卡头与列表值一致；显示/存储精度按PRD。</x:v>
      </x:c>
      <x:c r="J75" s="4" t="str">
        <x:v>W2序号12；SM82；PRD/Review快照2026-10-12</x:v>
      </x:c>
      <x:c r="K75" s="17" t="str">
        <x:v>待评审</x:v>
      </x:c>
      <x:c r="L75" s="17" t="str">
        <x:v>未执行</x:v>
      </x:c>
      <x:c r="M75" s="17" t="str">
        <x:v>未执行</x:v>
      </x:c>
      <x:c r="N75" s="17" t="str"/>
      <x:c r="O75" s="17" t="str"/>
      <x:c r="P75" s="4" t="str">
        <x:v>SM82、UI09、UI10、UI22、UI43</x:v>
      </x:c>
      <x:c r="Q75" s="4" t="str">
        <x:f>IF(K75="不纳入","不纳入",IF(L75="失败",IF(LEN(TRIM(N75))=0,"开发失败缺证据","开发自测失败"),IF(M75="失败",IF(LEN(TRIM(O75))=0,"复核失败缺证据","提测复核失败"),IF(K75&lt;&gt;"可执行","待评审/依据",IF(L75="受阻","开发自测受阻",IF(L75&lt;&gt;"通过","待开发自测",IF(LEN(TRIM(N75))=0,"缺开发Build/证据",IF(M75="受阻","提测复核受阻",IF(M75&lt;&gt;"通过","待提测复核",IF(LEN(TRIM(O75))=0,"缺复核Build/证据","本轮复核通过"))))))))))</x:f>
        <x:v>待评审/依据</x:v>
      </x:c>
    </x:row>
    <x:row r="76" ht="46" customHeight="1">
      <x:c r="A76" s="4" t="str">
        <x:v>BP13</x:v>
      </x:c>
      <x:c r="B76" s="4" t="str">
        <x:v>10/14 价格维护</x:v>
      </x:c>
      <x:c r="C76" s="4" t="str">
        <x:v>成本价卡</x:v>
      </x:c>
      <x:c r="D76" s="4" t="str">
        <x:v>13</x:v>
      </x:c>
      <x:c r="E76" s="4" t="str">
        <x:v>价卡头绑定与生效时间输入</x:v>
      </x:c>
      <x:c r="F76" s="4" t="str">
        <x:v>常规</x:v>
      </x:c>
      <x:c r="G76" s="4" t="str">
        <x:v>SM39/69未生效静态卡；目标角色、Build、受控数据与采纳稿齐备</x:v>
      </x:c>
      <x:c r="H76" s="4" t="str">
        <x:v>填写合法绑定和未来开始时间，空结束保存后读回。</x:v>
      </x:c>
      <x:c r="I76" s="4" t="str">
        <x:v>只读标识、绑定对象、合法区间按PRD；日期控件不错误退化自然日。</x:v>
      </x:c>
      <x:c r="J76" s="4" t="str">
        <x:v>W2序号13；SM23、SM39、SM69；PRD/Review快照2026-10-12</x:v>
      </x:c>
      <x:c r="K76" s="17" t="str">
        <x:v>待评审</x:v>
      </x:c>
      <x:c r="L76" s="17" t="str">
        <x:v>未执行</x:v>
      </x:c>
      <x:c r="M76" s="17" t="str">
        <x:v>未执行</x:v>
      </x:c>
      <x:c r="N76" s="17" t="str"/>
      <x:c r="O76" s="17" t="str"/>
      <x:c r="P76" s="4" t="str">
        <x:v>SM23、SM39、SM69、UI31、UI44、UI48</x:v>
      </x:c>
      <x:c r="Q76" s="4" t="str">
        <x:f>IF(K76="不纳入","不纳入",IF(L76="失败",IF(LEN(TRIM(N76))=0,"开发失败缺证据","开发自测失败"),IF(M76="失败",IF(LEN(TRIM(O76))=0,"复核失败缺证据","提测复核失败"),IF(K76&lt;&gt;"可执行","待评审/依据",IF(L76="受阻","开发自测受阻",IF(L76&lt;&gt;"通过","待开发自测",IF(LEN(TRIM(N76))=0,"缺开发Build/证据",IF(M76="受阻","提测复核受阻",IF(M76&lt;&gt;"通过","待提测复核",IF(LEN(TRIM(O76))=0,"缺复核Build/证据","本轮复核通过"))))))))))</x:f>
        <x:v>待评审/依据</x:v>
      </x:c>
    </x:row>
    <x:row r="77" ht="46" customHeight="1">
      <x:c r="A77" s="4" t="str">
        <x:v>BP14</x:v>
      </x:c>
      <x:c r="B77" s="4" t="str">
        <x:v>10/14 价格维护</x:v>
      </x:c>
      <x:c r="C77" s="4" t="str">
        <x:v>成本价卡</x:v>
      </x:c>
      <x:c r="D77" s="4" t="str">
        <x:v>14</x:v>
      </x:c>
      <x:c r="E77" s="4" t="str">
        <x:v>计费方式切换的条件字段</x:v>
      </x:c>
      <x:c r="F77" s="4" t="str">
        <x:v>常规</x:v>
      </x:c>
      <x:c r="G77" s="4" t="str">
        <x:v>SM41/42/70批准方式、计费/均摊要素；目标角色、Build、受控数据与采纳稿齐备</x:v>
      </x:c>
      <x:c r="H77" s="4" t="str">
        <x:v>切静态/动态及均摊方式，核对条件字段和单位，再保存读回。</x:v>
      </x:c>
      <x:c r="I77" s="4" t="str">
        <x:v>必填/隐藏列和值一致，不残留旧分支错误；方式和要素取批准数据源。</x:v>
      </x:c>
      <x:c r="J77" s="4" t="str">
        <x:v>W2序号14；SM41、SM42、SM70；PRD/Review快照2026-10-12</x:v>
      </x:c>
      <x:c r="K77" s="17" t="str">
        <x:v>待评审</x:v>
      </x:c>
      <x:c r="L77" s="17" t="str">
        <x:v>未执行</x:v>
      </x:c>
      <x:c r="M77" s="17" t="str">
        <x:v>未执行</x:v>
      </x:c>
      <x:c r="N77" s="17" t="str"/>
      <x:c r="O77" s="17" t="str"/>
      <x:c r="P77" s="4" t="str">
        <x:v>SM41、SM42、SM70、UI22、UI29、UI44、UI45</x:v>
      </x:c>
      <x:c r="Q77" s="4" t="str">
        <x:f>IF(K77="不纳入","不纳入",IF(L77="失败",IF(LEN(TRIM(N77))=0,"开发失败缺证据","开发自测失败"),IF(M77="失败",IF(LEN(TRIM(O77))=0,"复核失败缺证据","提测复核失败"),IF(K77&lt;&gt;"可执行","待评审/依据",IF(L77="受阻","开发自测受阻",IF(L77&lt;&gt;"通过","待开发自测",IF(LEN(TRIM(N77))=0,"缺开发Build/证据",IF(M77="受阻","提测复核受阻",IF(M77&lt;&gt;"通过","待提测复核",IF(LEN(TRIM(O77))=0,"缺复核Build/证据","本轮复核通过"))))))))))</x:f>
        <x:v>待评审/依据</x:v>
      </x:c>
    </x:row>
    <x:row r="78" ht="46" customHeight="1">
      <x:c r="A78" s="4" t="str">
        <x:v>BP15</x:v>
      </x:c>
      <x:c r="B78" s="4" t="str">
        <x:v>10/14 价格维护</x:v>
      </x:c>
      <x:c r="C78" s="4" t="str">
        <x:v>成本价卡</x:v>
      </x:c>
      <x:c r="D78" s="4" t="str">
        <x:v>15</x:v>
      </x:c>
      <x:c r="E78" s="4" t="str">
        <x:v>明细行编辑、取消及错误定位</x:v>
      </x:c>
      <x:c r="F78" s="4" t="str">
        <x:v>优先</x:v>
      </x:c>
      <x:c r="G78" s="4" t="str">
        <x:v>RV05定稿；两行合成明细；目标角色、Build、受控数据与采纳稿齐备</x:v>
      </x:c>
      <x:c r="H78" s="4" t="str">
        <x:v>新增行，编辑A取消，再在B填一项非法值触发错误并修复保存。</x:v>
      </x:c>
      <x:c r="I78" s="4" t="str">
        <x:v>状态/失焦按定稿；错误定位到行字段，取消恢复，合法保存读回。</x:v>
      </x:c>
      <x:c r="J78" s="4" t="str">
        <x:v>W2序号15；SM41、SM70；PRD/Review快照2026-10-12</x:v>
      </x:c>
      <x:c r="K78" s="17" t="str">
        <x:v>待评审</x:v>
      </x:c>
      <x:c r="L78" s="17" t="str">
        <x:v>未执行</x:v>
      </x:c>
      <x:c r="M78" s="17" t="str">
        <x:v>未执行</x:v>
      </x:c>
      <x:c r="N78" s="17" t="str"/>
      <x:c r="O78" s="17" t="str"/>
      <x:c r="P78" s="4" t="str">
        <x:v>SM41、SM70、UI42、UI44、UI47、UI48</x:v>
      </x:c>
      <x:c r="Q78" s="4" t="str">
        <x:f>IF(K78="不纳入","不纳入",IF(L78="失败",IF(LEN(TRIM(N78))=0,"开发失败缺证据","开发自测失败"),IF(M78="失败",IF(LEN(TRIM(O78))=0,"复核失败缺证据","提测复核失败"),IF(K78&lt;&gt;"可执行","待评审/依据",IF(L78="受阻","开发自测受阻",IF(L78&lt;&gt;"通过","待开发自测",IF(LEN(TRIM(N78))=0,"缺开发Build/证据",IF(M78="受阻","提测复核受阻",IF(M78&lt;&gt;"通过","待提测复核",IF(LEN(TRIM(O78))=0,"缺复核Build/证据","本轮复核通过"))))))))))</x:f>
        <x:v>待评审/依据</x:v>
      </x:c>
    </x:row>
    <x:row r="79" ht="46" customHeight="1">
      <x:c r="A79" s="4" t="str">
        <x:v>BP16</x:v>
      </x:c>
      <x:c r="B79" s="4" t="str">
        <x:v>10/14 价格维护</x:v>
      </x:c>
      <x:c r="C79" s="4" t="str">
        <x:v>成本价卡</x:v>
      </x:c>
      <x:c r="D79" s="4" t="str">
        <x:v>16</x:v>
      </x:c>
      <x:c r="E79" s="4" t="str">
        <x:v>起点与终点分区选择器</x:v>
      </x:c>
      <x:c r="F79" s="4" t="str">
        <x:v>常规</x:v>
      </x:c>
      <x:c r="G79" s="4" t="str">
        <x:v>SM43/72价格维护分区来源；目标角色、Build、受控数据与采纳稿齐备</x:v>
      </x:c>
      <x:c r="H79" s="4" t="str">
        <x:v>分别搜索起点A/终点B，确认重开，再取消一组临时选择。</x:v>
      </x:c>
      <x:c r="I79" s="4" t="str">
        <x:v>起终点作用域独立；对象ID/显示名称正确；不是参考Zone选择。</x:v>
      </x:c>
      <x:c r="J79" s="4" t="str">
        <x:v>W2序号16；SM43、SM72；PRD/Review快照2026-10-12</x:v>
      </x:c>
      <x:c r="K79" s="17" t="str">
        <x:v>待评审</x:v>
      </x:c>
      <x:c r="L79" s="17" t="str">
        <x:v>未执行</x:v>
      </x:c>
      <x:c r="M79" s="17" t="str">
        <x:v>未执行</x:v>
      </x:c>
      <x:c r="N79" s="17" t="str"/>
      <x:c r="O79" s="17" t="str"/>
      <x:c r="P79" s="4" t="str">
        <x:v>SM43、SM72、UI41、UI45</x:v>
      </x:c>
      <x:c r="Q79" s="4" t="str">
        <x:f>IF(K79="不纳入","不纳入",IF(L79="失败",IF(LEN(TRIM(N79))=0,"开发失败缺证据","开发自测失败"),IF(M79="失败",IF(LEN(TRIM(O79))=0,"复核失败缺证据","提测复核失败"),IF(K79&lt;&gt;"可执行","待评审/依据",IF(L79="受阻","开发自测受阻",IF(L79&lt;&gt;"通过","待开发自测",IF(LEN(TRIM(N79))=0,"缺开发Build/证据",IF(M79="受阻","提测复核受阻",IF(M79&lt;&gt;"通过","待提测复核",IF(LEN(TRIM(O79))=0,"缺复核Build/证据","本轮复核通过"))))))))))</x:f>
        <x:v>待评审/依据</x:v>
      </x:c>
    </x:row>
    <x:row r="80" ht="46" customHeight="1">
      <x:c r="A80" s="4" t="str">
        <x:v>BP17</x:v>
      </x:c>
      <x:c r="B80" s="4" t="str">
        <x:v>10/14 价格维护</x:v>
      </x:c>
      <x:c r="C80" s="4" t="str">
        <x:v>成本价卡</x:v>
      </x:c>
      <x:c r="D80" s="4" t="str">
        <x:v>17</x:v>
      </x:c>
      <x:c r="E80" s="4" t="str">
        <x:v>模板批量生成五步导航</x:v>
      </x:c>
      <x:c r="F80" s="4" t="str">
        <x:v>常规</x:v>
      </x:c>
      <x:c r="G80" s="4" t="str">
        <x:v>先补封板PRD与入口；合成合法模板；目标角色、Build、受控数据与采纳稿齐备</x:v>
      </x:c>
      <x:c r="H80" s="4" t="str">
        <x:v>评审每步输入/产物；交付后走五步，上一步修改再核对摘要。</x:v>
      </x:c>
      <x:c r="I80" s="4" t="str">
        <x:v>步骤、生成数量、回退保留规则来自新补PRD；未定义时不执行生成。</x:v>
      </x:c>
      <x:c r="J80" s="4" t="str">
        <x:v>W2序号17；待补封板PRD，不套用SM27；PRD/Review快照2026-10-12</x:v>
      </x:c>
      <x:c r="K80" s="17" t="str">
        <x:v>待评审</x:v>
      </x:c>
      <x:c r="L80" s="17" t="str">
        <x:v>未执行</x:v>
      </x:c>
      <x:c r="M80" s="17" t="str">
        <x:v>未执行</x:v>
      </x:c>
      <x:c r="N80" s="17" t="str"/>
      <x:c r="O80" s="17" t="str"/>
      <x:c r="P80" s="4" t="str">
        <x:v>待补封板PRD，不套用SM27、UI34、UI44、UI47</x:v>
      </x:c>
      <x:c r="Q80" s="4" t="str">
        <x:f>IF(K80="不纳入","不纳入",IF(L80="失败",IF(LEN(TRIM(N80))=0,"开发失败缺证据","开发自测失败"),IF(M80="失败",IF(LEN(TRIM(O80))=0,"复核失败缺证据","提测复核失败"),IF(K80&lt;&gt;"可执行","待评审/依据",IF(L80="受阻","开发自测受阻",IF(L80&lt;&gt;"通过","待开发自测",IF(LEN(TRIM(N80))=0,"缺开发Build/证据",IF(M80="受阻","提测复核受阻",IF(M80&lt;&gt;"通过","待提测复核",IF(LEN(TRIM(O80))=0,"缺复核Build/证据","本轮复核通过"))))))))))</x:f>
        <x:v>待评审/依据</x:v>
      </x:c>
    </x:row>
    <x:row r="81" ht="46" customHeight="1">
      <x:c r="A81" s="4" t="str">
        <x:v>BP18</x:v>
      </x:c>
      <x:c r="B81" s="4" t="str">
        <x:v>10/14 价格维护</x:v>
      </x:c>
      <x:c r="C81" s="4" t="str">
        <x:v>成本价卡</x:v>
      </x:c>
      <x:c r="D81" s="4" t="str">
        <x:v>18</x:v>
      </x:c>
      <x:c r="E81" s="4" t="str">
        <x:v>模板维护字段与使用位置</x:v>
      </x:c>
      <x:c r="F81" s="4" t="str">
        <x:v>常规</x:v>
      </x:c>
      <x:c r="G81" s="4" t="str">
        <x:v>封板纳入与模板契约；目标角色、Build、受控数据与采纳稿齐备</x:v>
      </x:c>
      <x:c r="H81" s="4" t="str">
        <x:v>评审模板分组、编辑/预览/取消/保存，在批准引用处选择模板。</x:v>
      </x:c>
      <x:c r="I81" s="4" t="str">
        <x:v>模板身份与引用一致；版本、校验和保存规则依PRD，不套普通字典。</x:v>
      </x:c>
      <x:c r="J81" s="4" t="str">
        <x:v>W2序号18；待补封板PRD；PRD/Review快照2026-10-12</x:v>
      </x:c>
      <x:c r="K81" s="17" t="str">
        <x:v>待评审</x:v>
      </x:c>
      <x:c r="L81" s="17" t="str">
        <x:v>未执行</x:v>
      </x:c>
      <x:c r="M81" s="17" t="str">
        <x:v>未执行</x:v>
      </x:c>
      <x:c r="N81" s="17" t="str"/>
      <x:c r="O81" s="17" t="str"/>
      <x:c r="P81" s="4" t="str">
        <x:v>待补封板PRD、UI31、UI44、UI48</x:v>
      </x:c>
      <x:c r="Q81" s="4" t="str">
        <x:f>IF(K81="不纳入","不纳入",IF(L81="失败",IF(LEN(TRIM(N81))=0,"开发失败缺证据","开发自测失败"),IF(M81="失败",IF(LEN(TRIM(O81))=0,"复核失败缺证据","提测复核失败"),IF(K81&lt;&gt;"可执行","待评审/依据",IF(L81="受阻","开发自测受阻",IF(L81&lt;&gt;"通过","待开发自测",IF(LEN(TRIM(N81))=0,"缺开发Build/证据",IF(M81="受阻","提测复核受阻",IF(M81&lt;&gt;"通过","待提测复核",IF(LEN(TRIM(O81))=0,"缺复核Build/证据","本轮复核通过"))))))))))</x:f>
        <x:v>待评审/依据</x:v>
      </x:c>
    </x:row>
    <x:row r="82" ht="46" customHeight="1">
      <x:c r="A82" s="4" t="str">
        <x:v>BP19</x:v>
      </x:c>
      <x:c r="B82" s="4" t="str">
        <x:v>10/14 价格维护</x:v>
      </x:c>
      <x:c r="C82" s="4" t="str">
        <x:v>成本价卡</x:v>
      </x:c>
      <x:c r="D82" s="4" t="str">
        <x:v>19</x:v>
      </x:c>
      <x:c r="E82" s="4" t="str">
        <x:v>价卡Excel/AI四步与确认</x:v>
      </x:c>
      <x:c r="F82" s="4" t="str">
        <x:v>优先</x:v>
      </x:c>
      <x:c r="G82" s="4" t="str">
        <x:v>导入PRD、合成文件、上传/AI运行授权；目标角色、Build、受控数据与采纳稿齐备</x:v>
      </x:c>
      <x:c r="H82" s="4" t="str">
        <x:v>上传→解析→预览→人工确认；中途返回/取消再重入。</x:v>
      </x:c>
      <x:c r="I82" s="4" t="str">
        <x:v>每步产物和错误明确；未确认不写入；只验证价卡导入，不套服务单元建档。</x:v>
      </x:c>
      <x:c r="J82" s="4" t="str">
        <x:v>W2序号19；待补价卡导入PRD；不等同SM27服务单元AI建档；PRD/Review快照2026-10-12</x:v>
      </x:c>
      <x:c r="K82" s="17" t="str">
        <x:v>待评审</x:v>
      </x:c>
      <x:c r="L82" s="17" t="str">
        <x:v>未执行</x:v>
      </x:c>
      <x:c r="M82" s="17" t="str">
        <x:v>未执行</x:v>
      </x:c>
      <x:c r="N82" s="17" t="str"/>
      <x:c r="O82" s="17" t="str"/>
      <x:c r="P82" s="4" t="str">
        <x:v>待补价卡导入PRD；不等同SM27服务单元AI建档、UI34、UI37、UI38、UI47</x:v>
      </x:c>
      <x:c r="Q82" s="4" t="str">
        <x:f>IF(K82="不纳入","不纳入",IF(L82="失败",IF(LEN(TRIM(N82))=0,"开发失败缺证据","开发自测失败"),IF(M82="失败",IF(LEN(TRIM(O82))=0,"复核失败缺证据","提测复核失败"),IF(K82&lt;&gt;"可执行","待评审/依据",IF(L82="受阻","开发自测受阻",IF(L82&lt;&gt;"通过","待开发自测",IF(LEN(TRIM(N82))=0,"缺开发Build/证据",IF(M82="受阻","提测复核受阻",IF(M82&lt;&gt;"通过","待提测复核",IF(LEN(TRIM(O82))=0,"缺复核Build/证据","本轮复核通过"))))))))))</x:f>
        <x:v>待评审/依据</x:v>
      </x:c>
    </x:row>
    <x:row r="83" ht="46" customHeight="1">
      <x:c r="A83" s="4" t="str">
        <x:v>BP20</x:v>
      </x:c>
      <x:c r="B83" s="4" t="str">
        <x:v>10/14 价格维护</x:v>
      </x:c>
      <x:c r="C83" s="4" t="str">
        <x:v>成本价卡</x:v>
      </x:c>
      <x:c r="D83" s="4" t="str">
        <x:v>20</x:v>
      </x:c>
      <x:c r="E83" s="4" t="str">
        <x:v>高级复制范围和覆盖摘要</x:v>
      </x:c>
      <x:c r="F83" s="4" t="str">
        <x:v>常规</x:v>
      </x:c>
      <x:c r="G83" s="4" t="str">
        <x:v>先补PRD和高级复制入口；目标角色、Build、受控数据与采纳稿齐备</x:v>
      </x:c>
      <x:c r="H83" s="4" t="str">
        <x:v>选择来源/范围/目标，查看覆盖摘要先取消，再用授权样本执行。</x:v>
      </x:c>
      <x:c r="I83" s="4" t="str">
        <x:v>覆盖影响及风险可读；取消不变更；正式结果范围与批准规则一致。</x:v>
      </x:c>
      <x:c r="J83" s="4" t="str">
        <x:v>W2序号20；待补封板PRD；PRD/Review快照2026-10-12</x:v>
      </x:c>
      <x:c r="K83" s="17" t="str">
        <x:v>待评审</x:v>
      </x:c>
      <x:c r="L83" s="17" t="str">
        <x:v>未执行</x:v>
      </x:c>
      <x:c r="M83" s="17" t="str">
        <x:v>未执行</x:v>
      </x:c>
      <x:c r="N83" s="17" t="str"/>
      <x:c r="O83" s="17" t="str"/>
      <x:c r="P83" s="4" t="str">
        <x:v>待补封板PRD、UI46、UI48</x:v>
      </x:c>
      <x:c r="Q83" s="4" t="str">
        <x:f>IF(K83="不纳入","不纳入",IF(L83="失败",IF(LEN(TRIM(N83))=0,"开发失败缺证据","开发自测失败"),IF(M83="失败",IF(LEN(TRIM(O83))=0,"复核失败缺证据","提测复核失败"),IF(K83&lt;&gt;"可执行","待评审/依据",IF(L83="受阻","开发自测受阻",IF(L83&lt;&gt;"通过","待开发自测",IF(LEN(TRIM(N83))=0,"缺开发Build/证据",IF(M83="受阻","提测复核受阻",IF(M83&lt;&gt;"通过","待提测复核",IF(LEN(TRIM(O83))=0,"缺复核Build/证据","本轮复核通过"))))))))))</x:f>
        <x:v>待评审/依据</x:v>
      </x:c>
    </x:row>
    <x:row r="84" ht="46" customHeight="1">
      <x:c r="A84" s="4" t="str">
        <x:v>BP21</x:v>
      </x:c>
      <x:c r="B84" s="4" t="str">
        <x:v>10/14 价格维护</x:v>
      </x:c>
      <x:c r="C84" s="4" t="str">
        <x:v>成本价卡</x:v>
      </x:c>
      <x:c r="D84" s="4" t="str">
        <x:v>21</x:v>
      </x:c>
      <x:c r="E84" s="4" t="str">
        <x:v>价卡校验错误行与修复入口</x:v>
      </x:c>
      <x:c r="F84" s="4" t="str">
        <x:v>常规</x:v>
      </x:c>
      <x:c r="G84" s="4" t="str">
        <x:v>先补校验PRD；单行已知错误数据；目标角色、Build、受控数据与采纳稿齐备</x:v>
      </x:c>
      <x:c r="H84" s="4" t="str">
        <x:v>触发校验，定位到错误行/字段，修复重试。</x:v>
      </x:c>
      <x:c r="I84" s="4" t="str">
        <x:v>错误定位真实，修复后更新；不得用自造规则判业务失败。</x:v>
      </x:c>
      <x:c r="J84" s="4" t="str">
        <x:v>W2序号21；待补封板PRD；PRD/Review快照2026-10-12</x:v>
      </x:c>
      <x:c r="K84" s="17" t="str">
        <x:v>待评审</x:v>
      </x:c>
      <x:c r="L84" s="17" t="str">
        <x:v>未执行</x:v>
      </x:c>
      <x:c r="M84" s="17" t="str">
        <x:v>未执行</x:v>
      </x:c>
      <x:c r="N84" s="17" t="str"/>
      <x:c r="O84" s="17" t="str"/>
      <x:c r="P84" s="4" t="str">
        <x:v>待补封板PRD、UI44、UI47</x:v>
      </x:c>
      <x:c r="Q84" s="4" t="str">
        <x:f>IF(K84="不纳入","不纳入",IF(L84="失败",IF(LEN(TRIM(N84))=0,"开发失败缺证据","开发自测失败"),IF(M84="失败",IF(LEN(TRIM(O84))=0,"复核失败缺证据","提测复核失败"),IF(K84&lt;&gt;"可执行","待评审/依据",IF(L84="受阻","开发自测受阻",IF(L84&lt;&gt;"通过","待开发自测",IF(LEN(TRIM(N84))=0,"缺开发Build/证据",IF(M84="受阻","提测复核受阻",IF(M84&lt;&gt;"通过","待提测复核",IF(LEN(TRIM(O84))=0,"缺复核Build/证据","本轮复核通过"))))))))))</x:f>
        <x:v>待评审/依据</x:v>
      </x:c>
    </x:row>
    <x:row r="85" ht="46" customHeight="1">
      <x:c r="A85" s="4" t="str">
        <x:v>BP22</x:v>
      </x:c>
      <x:c r="B85" s="4" t="str">
        <x:v>10/14 价格维护</x:v>
      </x:c>
      <x:c r="C85" s="4" t="str">
        <x:v>地点与Zone（分区维护）</x:v>
      </x:c>
      <x:c r="D85" s="4" t="str">
        <x:v>22</x:v>
      </x:c>
      <x:c r="E85" s="4" t="str">
        <x:v>价格维护地点/邮编页签作用域</x:v>
      </x:c>
      <x:c r="F85" s="4" t="str">
        <x:v>常规</x:v>
      </x:c>
      <x:c r="G85" s="4" t="str">
        <x:v>SM19/20/58/72价格维护入口；目标角色、Build、受控数据与采纳稿齐备</x:v>
      </x:c>
      <x:c r="H85" s="4" t="str">
        <x:v>切地点→邮编，分别查询已知对象，返回原页签。</x:v>
      </x:c>
      <x:c r="I85" s="4" t="str">
        <x:v>页签状态、数据源、关联地点及邮编匹配符合契约；不是基础配置国家/邮编页面。</x:v>
      </x:c>
      <x:c r="J85" s="4" t="str">
        <x:v>W2序号22；SM19、SM20、SM58、SM72；PRD/Review快照2026-10-12</x:v>
      </x:c>
      <x:c r="K85" s="17" t="str">
        <x:v>待评审</x:v>
      </x:c>
      <x:c r="L85" s="17" t="str">
        <x:v>未执行</x:v>
      </x:c>
      <x:c r="M85" s="17" t="str">
        <x:v>未执行</x:v>
      </x:c>
      <x:c r="N85" s="17" t="str"/>
      <x:c r="O85" s="17" t="str"/>
      <x:c r="P85" s="4" t="str">
        <x:v>SM19、SM20、SM58、SM72、UI34、UI41、UI43</x:v>
      </x:c>
      <x:c r="Q85" s="4" t="str">
        <x:f>IF(K85="不纳入","不纳入",IF(L85="失败",IF(LEN(TRIM(N85))=0,"开发失败缺证据","开发自测失败"),IF(M85="失败",IF(LEN(TRIM(O85))=0,"复核失败缺证据","提测复核失败"),IF(K85&lt;&gt;"可执行","待评审/依据",IF(L85="受阻","开发自测受阻",IF(L85&lt;&gt;"通过","待开发自测",IF(LEN(TRIM(N85))=0,"缺开发Build/证据",IF(M85="受阻","提测复核受阻",IF(M85&lt;&gt;"通过","待提测复核",IF(LEN(TRIM(O85))=0,"缺复核Build/证据","本轮复核通过"))))))))))</x:f>
        <x:v>待评审/依据</x:v>
      </x:c>
    </x:row>
    <x:row r="86" ht="46" customHeight="1">
      <x:c r="A86" s="4" t="str">
        <x:v>BP23</x:v>
      </x:c>
      <x:c r="B86" s="4" t="str">
        <x:v>10/14 价格维护</x:v>
      </x:c>
      <x:c r="C86" s="4" t="str">
        <x:v>地点与Zone（分区维护）</x:v>
      </x:c>
      <x:c r="D86" s="4" t="str">
        <x:v>23</x:v>
      </x:c>
      <x:c r="E86" s="4" t="str">
        <x:v>价格维护Zone清单与成员</x:v>
      </x:c>
      <x:c r="F86" s="4" t="str">
        <x:v>常规</x:v>
      </x:c>
      <x:c r="G86" s="4" t="str">
        <x:v>SM43/72价格维护上下文；目标角色、Build、受控数据与采纳稿齐备</x:v>
      </x:c>
      <x:c r="H86" s="4" t="str">
        <x:v>查询Zone，打开成员，水平滚动到操作列，再返回。</x:v>
      </x:c>
      <x:c r="I86" s="4" t="str">
        <x:v>主子作用域、成员与版本一致；操作不被裁切；参考Zone不代验。</x:v>
      </x:c>
      <x:c r="J86" s="4" t="str">
        <x:v>W2序号23；SM43、SM72；PRD/Review快照2026-10-12</x:v>
      </x:c>
      <x:c r="K86" s="17" t="str">
        <x:v>待评审</x:v>
      </x:c>
      <x:c r="L86" s="17" t="str">
        <x:v>未执行</x:v>
      </x:c>
      <x:c r="M86" s="17" t="str">
        <x:v>未执行</x:v>
      </x:c>
      <x:c r="N86" s="17" t="str"/>
      <x:c r="O86" s="17" t="str"/>
      <x:c r="P86" s="4" t="str">
        <x:v>SM43、SM72、UI10、UI12、UI26</x:v>
      </x:c>
      <x:c r="Q86" s="4" t="str">
        <x:f>IF(K86="不纳入","不纳入",IF(L86="失败",IF(LEN(TRIM(N86))=0,"开发失败缺证据","开发自测失败"),IF(M86="失败",IF(LEN(TRIM(O86))=0,"复核失败缺证据","提测复核失败"),IF(K86&lt;&gt;"可执行","待评审/依据",IF(L86="受阻","开发自测受阻",IF(L86&lt;&gt;"通过","待开发自测",IF(LEN(TRIM(N86))=0,"缺开发Build/证据",IF(M86="受阻","提测复核受阻",IF(M86&lt;&gt;"通过","待提测复核",IF(LEN(TRIM(O86))=0,"缺复核Build/证据","本轮复核通过"))))))))))</x:f>
        <x:v>待评审/依据</x:v>
      </x:c>
    </x:row>
    <x:row r="87" ht="46" customHeight="1">
      <x:c r="A87" s="4" t="str">
        <x:v>BP24</x:v>
      </x:c>
      <x:c r="B87" s="4" t="str">
        <x:v>10/14 价格维护</x:v>
      </x:c>
      <x:c r="C87" s="4" t="str">
        <x:v>地点与Zone（分区维护）</x:v>
      </x:c>
      <x:c r="D87" s="4" t="str">
        <x:v>24</x:v>
      </x:c>
      <x:c r="E87" s="4" t="str">
        <x:v>地点/邮编批量导入行级结果</x:v>
      </x:c>
      <x:c r="F87" s="4" t="str">
        <x:v>常规</x:v>
      </x:c>
      <x:c r="G87" s="4" t="str">
        <x:v>导入正文、合成合法/一行错误文件；目标角色、Build、受控数据与采纳稿齐备</x:v>
      </x:c>
      <x:c r="H87" s="4" t="str">
        <x:v>上传、预览定位错误、批准确认，再在地点/邮编列表读回。</x:v>
      </x:c>
      <x:c r="I87" s="4" t="str">
        <x:v>错误、成功数量及失败处理依契约；无真实导入产物不能凭Toast通过。</x:v>
      </x:c>
      <x:c r="J87" s="4" t="str">
        <x:v>W2序号24；待补地点/邮编导入PRD；PRD/Review快照2026-10-12</x:v>
      </x:c>
      <x:c r="K87" s="17" t="str">
        <x:v>待评审</x:v>
      </x:c>
      <x:c r="L87" s="17" t="str">
        <x:v>未执行</x:v>
      </x:c>
      <x:c r="M87" s="17" t="str">
        <x:v>未执行</x:v>
      </x:c>
      <x:c r="N87" s="17" t="str"/>
      <x:c r="O87" s="17" t="str"/>
      <x:c r="P87" s="4" t="str">
        <x:v>待补地点/邮编导入PRD、UI38、UI44、UI47</x:v>
      </x:c>
      <x:c r="Q87" s="4" t="str">
        <x:f>IF(K87="不纳入","不纳入",IF(L87="失败",IF(LEN(TRIM(N87))=0,"开发失败缺证据","开发自测失败"),IF(M87="失败",IF(LEN(TRIM(O87))=0,"复核失败缺证据","提测复核失败"),IF(K87&lt;&gt;"可执行","待评审/依据",IF(L87="受阻","开发自测受阻",IF(L87&lt;&gt;"通过","待开发自测",IF(LEN(TRIM(N87))=0,"缺开发Build/证据",IF(M87="受阻","提测复核受阻",IF(M87&lt;&gt;"通过","待提测复核",IF(LEN(TRIM(O87))=0,"缺复核Build/证据","本轮复核通过"))))))))))</x:f>
        <x:v>待评审/依据</x:v>
      </x:c>
    </x:row>
    <x:row r="88" ht="46" customHeight="1">
      <x:c r="A88" s="4" t="str">
        <x:v>BP25</x:v>
      </x:c>
      <x:c r="B88" s="4" t="str">
        <x:v>10/14 价格维护</x:v>
      </x:c>
      <x:c r="C88" s="4" t="str">
        <x:v>地点与Zone（分区维护）</x:v>
      </x:c>
      <x:c r="D88" s="4" t="str">
        <x:v>25</x:v>
      </x:c>
      <x:c r="E88" s="4" t="str">
        <x:v>邮编组的成员预览与复用</x:v>
      </x:c>
      <x:c r="F88" s="4" t="str">
        <x:v>常规</x:v>
      </x:c>
      <x:c r="G88" s="4" t="str">
        <x:v>先补邮编组PRD/入口；目标角色、Build、受控数据与采纳稿齐备</x:v>
      </x:c>
      <x:c r="H88" s="4" t="str">
        <x:v>建立合成成员组，在批准选择器搜索选择，保存重开。</x:v>
      </x:c>
      <x:c r="I88" s="4" t="str">
        <x:v>组身份/成员/显示名称一致；匹配与版本规则依PRD。</x:v>
      </x:c>
      <x:c r="J88" s="4" t="str">
        <x:v>W2序号25；待补邮编组PRD；PRD/Review快照2026-10-12</x:v>
      </x:c>
      <x:c r="K88" s="17" t="str">
        <x:v>待评审</x:v>
      </x:c>
      <x:c r="L88" s="17" t="str">
        <x:v>未执行</x:v>
      </x:c>
      <x:c r="M88" s="17" t="str">
        <x:v>未执行</x:v>
      </x:c>
      <x:c r="N88" s="17" t="str"/>
      <x:c r="O88" s="17" t="str"/>
      <x:c r="P88" s="4" t="str">
        <x:v>待补邮编组PRD、UI41、UI45</x:v>
      </x:c>
      <x:c r="Q88" s="4" t="str">
        <x:f>IF(K88="不纳入","不纳入",IF(L88="失败",IF(LEN(TRIM(N88))=0,"开发失败缺证据","开发自测失败"),IF(M88="失败",IF(LEN(TRIM(O88))=0,"复核失败缺证据","提测复核失败"),IF(K88&lt;&gt;"可执行","待评审/依据",IF(L88="受阻","开发自测受阻",IF(L88&lt;&gt;"通过","待开发自测",IF(LEN(TRIM(N88))=0,"缺开发Build/证据",IF(M88="受阻","提测复核受阻",IF(M88&lt;&gt;"通过","待提测复核",IF(LEN(TRIM(O88))=0,"缺复核Build/证据","本轮复核通过"))))))))))</x:f>
        <x:v>待评审/依据</x:v>
      </x:c>
    </x:row>
    <x:row r="89" ht="46" customHeight="1">
      <x:c r="A89" s="4" t="str">
        <x:v>BP26</x:v>
      </x:c>
      <x:c r="B89" s="4" t="str">
        <x:v>10/14 价格维护</x:v>
      </x:c>
      <x:c r="C89" s="4" t="str">
        <x:v>燃油费规则</x:v>
      </x:c>
      <x:c r="D89" s="4" t="str">
        <x:v>26</x:v>
      </x:c>
      <x:c r="E89" s="4" t="str">
        <x:v>燃油列表生效区间和比例展示</x:v>
      </x:c>
      <x:c r="F89" s="4" t="str">
        <x:v>常规</x:v>
      </x:c>
      <x:c r="G89" s="4" t="str">
        <x:v>SM44已知静态规则；目标角色、Build、受控数据与采纳稿齐备</x:v>
      </x:c>
      <x:c r="H89" s="4" t="str">
        <x:v>组合适用对象/状态条件查询，核对比例和区间后重置。</x:v>
      </x:c>
      <x:c r="I89" s="4" t="str">
        <x:v>查询字段按PRD，百分比单位与精度明示，数字对齐和状态统一。</x:v>
      </x:c>
      <x:c r="J89" s="4" t="str">
        <x:v>W2序号26；SM44、SM82；PRD/Review快照2026-10-12</x:v>
      </x:c>
      <x:c r="K89" s="17" t="str">
        <x:v>待评审</x:v>
      </x:c>
      <x:c r="L89" s="17" t="str">
        <x:v>未执行</x:v>
      </x:c>
      <x:c r="M89" s="17" t="str">
        <x:v>未执行</x:v>
      </x:c>
      <x:c r="N89" s="17" t="str"/>
      <x:c r="O89" s="17" t="str"/>
      <x:c r="P89" s="4" t="str">
        <x:v>SM44、SM82、UI09、UI10、UI22、UI30</x:v>
      </x:c>
      <x:c r="Q89" s="4" t="str">
        <x:f>IF(K89="不纳入","不纳入",IF(L89="失败",IF(LEN(TRIM(N89))=0,"开发失败缺证据","开发自测失败"),IF(M89="失败",IF(LEN(TRIM(O89))=0,"复核失败缺证据","提测复核失败"),IF(K89&lt;&gt;"可执行","待评审/依据",IF(L89="受阻","开发自测受阻",IF(L89&lt;&gt;"通过","待开发自测",IF(LEN(TRIM(N89))=0,"缺开发Build/证据",IF(M89="受阻","提测复核受阻",IF(M89&lt;&gt;"通过","待提测复核",IF(LEN(TRIM(O89))=0,"缺复核Build/证据","本轮复核通过"))))))))))</x:f>
        <x:v>待评审/依据</x:v>
      </x:c>
    </x:row>
    <x:row r="90" ht="46" customHeight="1">
      <x:c r="A90" s="4" t="str">
        <x:v>BP27</x:v>
      </x:c>
      <x:c r="B90" s="4" t="str">
        <x:v>10/14 价格维护</x:v>
      </x:c>
      <x:c r="C90" s="4" t="str">
        <x:v>燃油费规则</x:v>
      </x:c>
      <x:c r="D90" s="4" t="str">
        <x:v>27</x:v>
      </x:c>
      <x:c r="E90" s="4" t="str">
        <x:v>燃油静态/动态字段分组</x:v>
      </x:c>
      <x:c r="F90" s="4" t="str">
        <x:v>常规</x:v>
      </x:c>
      <x:c r="G90" s="4" t="str">
        <x:v>SM44/45/71批准分支；目标角色、Build、受控数据与采纳稿齐备</x:v>
      </x:c>
      <x:c r="H90" s="4" t="str">
        <x:v>切规则类型和适用对象，查看字段/错误，再用合法静态数据保存。</x:v>
      </x:c>
      <x:c r="I90" s="4" t="str">
        <x:v>字段显示/必填随批准分支变化；动态失败不出现旧成功值。</x:v>
      </x:c>
      <x:c r="J90" s="4" t="str">
        <x:v>W2序号27；SM44、SM45、SM71；PRD/Review快照2026-10-12</x:v>
      </x:c>
      <x:c r="K90" s="17" t="str">
        <x:v>待评审</x:v>
      </x:c>
      <x:c r="L90" s="17" t="str">
        <x:v>未执行</x:v>
      </x:c>
      <x:c r="M90" s="17" t="str">
        <x:v>未执行</x:v>
      </x:c>
      <x:c r="N90" s="17" t="str"/>
      <x:c r="O90" s="17" t="str"/>
      <x:c r="P90" s="4" t="str">
        <x:v>SM44、SM45、SM71、UI31、UI44、UI45、UI48</x:v>
      </x:c>
      <x:c r="Q90" s="4" t="str">
        <x:f>IF(K90="不纳入","不纳入",IF(L90="失败",IF(LEN(TRIM(N90))=0,"开发失败缺证据","开发自测失败"),IF(M90="失败",IF(LEN(TRIM(O90))=0,"复核失败缺证据","提测复核失败"),IF(K90&lt;&gt;"可执行","待评审/依据",IF(L90="受阻","开发自测受阻",IF(L90&lt;&gt;"通过","待开发自测",IF(LEN(TRIM(N90))=0,"缺开发Build/证据",IF(M90="受阻","提测复核受阻",IF(M90&lt;&gt;"通过","待提测复核",IF(LEN(TRIM(O90))=0,"缺复核Build/证据","本轮复核通过"))))))))))</x:f>
        <x:v>待评审/依据</x:v>
      </x:c>
    </x:row>
    <x:row r="91" ht="46" customHeight="1">
      <x:c r="A91" s="4" t="str">
        <x:v>BP28</x:v>
      </x:c>
      <x:c r="B91" s="4" t="str">
        <x:v>10/14 价格维护</x:v>
      </x:c>
      <x:c r="C91" s="4" t="str">
        <x:v>分区管理</x:v>
      </x:c>
      <x:c r="D91" s="4" t="str">
        <x:v>28</x:v>
      </x:c>
      <x:c r="E91" s="4" t="str">
        <x:v>分区管理独立入口与层级</x:v>
      </x:c>
      <x:c r="F91" s="4" t="str">
        <x:v>常规</x:v>
      </x:c>
      <x:c r="G91" s="4" t="str">
        <x:v>先补分区管理PRD/导航；目标角色、Build、受控数据与采纳稿齐备</x:v>
      </x:c>
      <x:c r="H91" s="4" t="str">
        <x:v>从独立菜单进入，切Zone/分区类型，打开合成记录编辑取消。</x:v>
      </x:c>
      <x:c r="I91" s="4" t="str">
        <x:v>层级与对象身份明确；无入口记录交付依赖，参考Zone不计覆盖。</x:v>
      </x:c>
      <x:c r="J91" s="4" t="str">
        <x:v>W2序号28；待补分区管理独立页面PRD，不以SM43替代整项；PRD/Review快照2026-10-12</x:v>
      </x:c>
      <x:c r="K91" s="17" t="str">
        <x:v>待评审</x:v>
      </x:c>
      <x:c r="L91" s="17" t="str">
        <x:v>未执行</x:v>
      </x:c>
      <x:c r="M91" s="17" t="str">
        <x:v>未执行</x:v>
      </x:c>
      <x:c r="N91" s="17" t="str"/>
      <x:c r="O91" s="17" t="str"/>
      <x:c r="P91" s="4" t="str">
        <x:v>待补分区管理独立页面PRD，不以SM43替代整项、UI10、UI34、UI41</x:v>
      </x:c>
      <x:c r="Q91" s="4" t="str">
        <x:f>IF(K91="不纳入","不纳入",IF(L91="失败",IF(LEN(TRIM(N91))=0,"开发失败缺证据","开发自测失败"),IF(M91="失败",IF(LEN(TRIM(O91))=0,"复核失败缺证据","提测复核失败"),IF(K91&lt;&gt;"可执行","待评审/依据",IF(L91="受阻","开发自测受阻",IF(L91&lt;&gt;"通过","待开发自测",IF(LEN(TRIM(N91))=0,"缺开发Build/证据",IF(M91="受阻","提测复核受阻",IF(M91&lt;&gt;"通过","待提测复核",IF(LEN(TRIM(O91))=0,"缺复核Build/证据","本轮复核通过"))))))))))</x:f>
        <x:v>待评审/依据</x:v>
      </x:c>
    </x:row>
    <x:row r="92" ht="46" customHeight="1">
      <x:c r="A92" s="4" t="str">
        <x:v>BP29</x:v>
      </x:c>
      <x:c r="B92" s="4" t="str">
        <x:v>10/14 价格维护</x:v>
      </x:c>
      <x:c r="C92" s="4" t="str">
        <x:v>分区管理</x:v>
      </x:c>
      <x:c r="D92" s="4" t="str">
        <x:v>29</x:v>
      </x:c>
      <x:c r="E92" s="4" t="str">
        <x:v>分区价格表与价卡引用跳转</x:v>
      </x:c>
      <x:c r="F92" s="4" t="str">
        <x:v>常规</x:v>
      </x:c>
      <x:c r="G92" s="4" t="str">
        <x:v>分区价格/引用PRD及已知记录；目标角色、Build、受控数据与采纳稿齐备</x:v>
      </x:c>
      <x:c r="H92" s="4" t="str">
        <x:v>点击价卡引用打开真实卡，核对币种/价格，返回分区表。</x:v>
      </x:c>
      <x:c r="I92" s="4" t="str">
        <x:v>引用有真实跳转；价格数据源和上下文一致；无动作的蓝链接应修正。</x:v>
      </x:c>
      <x:c r="J92" s="4" t="str">
        <x:v>W2序号29；待补分区价格/引用PRD；PRD/Review快照2026-10-12</x:v>
      </x:c>
      <x:c r="K92" s="17" t="str">
        <x:v>待评审</x:v>
      </x:c>
      <x:c r="L92" s="17" t="str">
        <x:v>未执行</x:v>
      </x:c>
      <x:c r="M92" s="17" t="str">
        <x:v>未执行</x:v>
      </x:c>
      <x:c r="N92" s="17" t="str"/>
      <x:c r="O92" s="17" t="str"/>
      <x:c r="P92" s="4" t="str">
        <x:v>待补分区价格/引用PRD、UI15、UI22、UI41</x:v>
      </x:c>
      <x:c r="Q92" s="4" t="str">
        <x:f>IF(K92="不纳入","不纳入",IF(L92="失败",IF(LEN(TRIM(N92))=0,"开发失败缺证据","开发自测失败"),IF(M92="失败",IF(LEN(TRIM(O92))=0,"复核失败缺证据","提测复核失败"),IF(K92&lt;&gt;"可执行","待评审/依据",IF(L92="受阻","开发自测受阻",IF(L92&lt;&gt;"通过","待开发自测",IF(LEN(TRIM(N92))=0,"缺开发Build/证据",IF(M92="受阻","提测复核受阻",IF(M92&lt;&gt;"通过","待提测复核",IF(LEN(TRIM(O92))=0,"缺复核Build/证据","本轮复核通过"))))))))))</x:f>
        <x:v>待评审/依据</x:v>
      </x:c>
    </x:row>
    <x:row r="93" ht="46" customHeight="1">
      <x:c r="A93" s="4" t="str">
        <x:v>BP50</x:v>
      </x:c>
      <x:c r="B93" s="4" t="str">
        <x:v>10/13 基础配置</x:v>
      </x:c>
      <x:c r="C93" s="4" t="str">
        <x:v>产品管理参数配置</x:v>
      </x:c>
      <x:c r="D93" s="4" t="str">
        <x:v>50</x:v>
      </x:c>
      <x:c r="E93" s="4" t="str">
        <x:v>费用项查询、编辑取消与默认币种</x:v>
      </x:c>
      <x:c r="F93" s="4" t="str">
        <x:v>优先</x:v>
      </x:c>
      <x:c r="G93" s="4" t="str">
        <x:v>FRT或合成费用项；在线角色与Build；目标角色、Build、受控数据与采纳稿齐备</x:v>
      </x:c>
      <x:c r="H93" s="4" t="str">
        <x:v>无匹配查询→重置→编辑临时名称取消→重开；另做合法维护读回。</x:v>
      </x:c>
      <x:c r="I93" s="4" t="str">
        <x:v>空态区分；取消恢复名称；编码只读、标签关联、分组和币种按SM84；c20先确认。</x:v>
      </x:c>
      <x:c r="J93" s="4" t="str">
        <x:v>W2序号50；SM84；PRD/Review快照2026-10-12</x:v>
      </x:c>
      <x:c r="K93" s="17" t="str">
        <x:v>待评审</x:v>
      </x:c>
      <x:c r="L93" s="17" t="str">
        <x:v>未执行</x:v>
      </x:c>
      <x:c r="M93" s="17" t="str">
        <x:v>未执行</x:v>
      </x:c>
      <x:c r="N93" s="17" t="str"/>
      <x:c r="O93" s="17" t="str"/>
      <x:c r="P93" s="4" t="str">
        <x:v>SM84、UI01、UI09、UI20、UI21、UI23、UI44、UI48、UI49</x:v>
      </x:c>
      <x:c r="Q93" s="4" t="str">
        <x:f>IF(K93="不纳入","不纳入",IF(L93="失败",IF(LEN(TRIM(N93))=0,"开发失败缺证据","开发自测失败"),IF(M93="失败",IF(LEN(TRIM(O93))=0,"复核失败缺证据","提测复核失败"),IF(K93&lt;&gt;"可执行","待评审/依据",IF(L93="受阻","开发自测受阻",IF(L93&lt;&gt;"通过","待开发自测",IF(LEN(TRIM(N93))=0,"缺开发Build/证据",IF(M93="受阻","提测复核受阻",IF(M93&lt;&gt;"通过","待提测复核",IF(LEN(TRIM(O93))=0,"缺复核Build/证据","本轮复核通过"))))))))))</x:f>
        <x:v>待评审/依据</x:v>
      </x:c>
    </x:row>
    <x:row r="94" ht="46" customHeight="1">
      <x:c r="A94" s="4" t="str">
        <x:v>BP51</x:v>
      </x:c>
      <x:c r="B94" s="4" t="str">
        <x:v>10/13 基础配置</x:v>
      </x:c>
      <x:c r="C94" s="4" t="str">
        <x:v>产品管理参数配置</x:v>
      </x:c>
      <x:c r="D94" s="4" t="str">
        <x:v>51</x:v>
      </x:c>
      <x:c r="E94" s="4" t="str">
        <x:v>币种与汇率分开维护</x:v>
      </x:c>
      <x:c r="F94" s="4" t="str">
        <x:v>优先</x:v>
      </x:c>
      <x:c r="G94" s="4" t="str">
        <x:v>SM89币种、SM85自然日汇率；目标角色、Build、受控数据与采纳稿齐备</x:v>
      </x:c>
      <x:c r="H94" s="4" t="str">
        <x:v>币种编辑取消；切汇率打开生效项，核对只读及结束旧区间/新增调整入口。</x:v>
      </x:c>
      <x:c r="I94" s="4" t="str">
        <x:v>不能共用普通CRUD预期；倍率精度和自然日区间正确，数字右对齐。</x:v>
      </x:c>
      <x:c r="J94" s="4" t="str">
        <x:v>W2序号51；SM85、SM89；PRD/Review快照2026-10-12</x:v>
      </x:c>
      <x:c r="K94" s="17" t="str">
        <x:v>待评审</x:v>
      </x:c>
      <x:c r="L94" s="17" t="str">
        <x:v>未执行</x:v>
      </x:c>
      <x:c r="M94" s="17" t="str">
        <x:v>未执行</x:v>
      </x:c>
      <x:c r="N94" s="17" t="str"/>
      <x:c r="O94" s="17" t="str"/>
      <x:c r="P94" s="4" t="str">
        <x:v>SM85、SM89、UI20、UI21、UI22、UI29、UI30、UI44</x:v>
      </x:c>
      <x:c r="Q94" s="4" t="str">
        <x:f>IF(K94="不纳入","不纳入",IF(L94="失败",IF(LEN(TRIM(N94))=0,"开发失败缺证据","开发自测失败"),IF(M94="失败",IF(LEN(TRIM(O94))=0,"复核失败缺证据","提测复核失败"),IF(K94&lt;&gt;"可执行","待评审/依据",IF(L94="受阻","开发自测受阻",IF(L94&lt;&gt;"通过","待开发自测",IF(LEN(TRIM(N94))=0,"缺开发Build/证据",IF(M94="受阻","提测复核受阻",IF(M94&lt;&gt;"通过","待提测复核",IF(LEN(TRIM(O94))=0,"缺复核Build/证据","本轮复核通过"))))))))))</x:f>
        <x:v>待评审/依据</x:v>
      </x:c>
    </x:row>
    <x:row r="95" ht="46" customHeight="1">
      <x:c r="A95" s="4" t="str">
        <x:v>BP52</x:v>
      </x:c>
      <x:c r="B95" s="4" t="str">
        <x:v>10/15 配置与日志</x:v>
      </x:c>
      <x:c r="C95" s="4" t="str">
        <x:v>产品管理参数配置</x:v>
      </x:c>
      <x:c r="D95" s="4" t="str">
        <x:v>52</x:v>
      </x:c>
      <x:c r="E95" s="4" t="str">
        <x:v>服务段编码只读与名称边界</x:v>
      </x:c>
      <x:c r="F95" s="4" t="str">
        <x:v>常规</x:v>
      </x:c>
      <x:c r="G95" s="4" t="str">
        <x:v>SM83合法/名称长度L±1；目标角色、Build、受控数据与采纳稿齐备</x:v>
      </x:c>
      <x:c r="H95" s="4" t="str">
        <x:v>合法新增保存重开，检查编码不可改，再执行名称边界。</x:v>
      </x:c>
      <x:c r="I95" s="4" t="str">
        <x:v>唯一、只读、长度和引用删除保护按PRD；航空/运输字典不是服务段。</x:v>
      </x:c>
      <x:c r="J95" s="4" t="str">
        <x:v>W2序号52；SM83；PRD/Review快照2026-10-12</x:v>
      </x:c>
      <x:c r="K95" s="17" t="str">
        <x:v>待评审</x:v>
      </x:c>
      <x:c r="L95" s="17" t="str">
        <x:v>未执行</x:v>
      </x:c>
      <x:c r="M95" s="17" t="str">
        <x:v>未执行</x:v>
      </x:c>
      <x:c r="N95" s="17" t="str"/>
      <x:c r="O95" s="17" t="str"/>
      <x:c r="P95" s="4" t="str">
        <x:v>SM83、UI31、UI44、UI48</x:v>
      </x:c>
      <x:c r="Q95" s="4" t="str">
        <x:f>IF(K95="不纳入","不纳入",IF(L95="失败",IF(LEN(TRIM(N95))=0,"开发失败缺证据","开发自测失败"),IF(M95="失败",IF(LEN(TRIM(O95))=0,"复核失败缺证据","提测复核失败"),IF(K95&lt;&gt;"可执行","待评审/依据",IF(L95="受阻","开发自测受阻",IF(L95&lt;&gt;"通过","待开发自测",IF(LEN(TRIM(N95))=0,"缺开发Build/证据",IF(M95="受阻","提测复核受阻",IF(M95&lt;&gt;"通过","待提测复核",IF(LEN(TRIM(O95))=0,"缺复核Build/证据","本轮复核通过"))))))))))</x:f>
        <x:v>待评审/依据</x:v>
      </x:c>
    </x:row>
    <x:row r="96" ht="46" customHeight="1">
      <x:c r="A96" s="4" t="str">
        <x:v>BP53</x:v>
      </x:c>
      <x:c r="B96" s="4" t="str">
        <x:v>10/15 配置与日志</x:v>
      </x:c>
      <x:c r="C96" s="4" t="str">
        <x:v>产品管理参数配置</x:v>
      </x:c>
      <x:c r="D96" s="4" t="str">
        <x:v>53</x:v>
      </x:c>
      <x:c r="E96" s="4" t="str">
        <x:v>计费要素字段与价卡选择来源</x:v>
      </x:c>
      <x:c r="F96" s="4" t="str">
        <x:v>常规</x:v>
      </x:c>
      <x:c r="G96" s="4" t="str">
        <x:v>SM83合法要素与单位；目标角色、Build、受控数据与采纳稿齐备</x:v>
      </x:c>
      <x:c r="H96" s="4" t="str">
        <x:v>合法维护后在价卡计费要素选择器查询；编辑取消再重开。</x:v>
      </x:c>
      <x:c r="I96" s="4" t="str">
        <x:v>字段及单位保存一致；选项同源；费用项不是计费要素。</x:v>
      </x:c>
      <x:c r="J96" s="4" t="str">
        <x:v>W2序号53；SM83；PRD/Review快照2026-10-12</x:v>
      </x:c>
      <x:c r="K96" s="17" t="str">
        <x:v>待评审</x:v>
      </x:c>
      <x:c r="L96" s="17" t="str">
        <x:v>未执行</x:v>
      </x:c>
      <x:c r="M96" s="17" t="str">
        <x:v>未执行</x:v>
      </x:c>
      <x:c r="N96" s="17" t="str"/>
      <x:c r="O96" s="17" t="str"/>
      <x:c r="P96" s="4" t="str">
        <x:v>SM83、UI31、UI44、UI48</x:v>
      </x:c>
      <x:c r="Q96" s="4" t="str">
        <x:f>IF(K96="不纳入","不纳入",IF(L96="失败",IF(LEN(TRIM(N96))=0,"开发失败缺证据","开发自测失败"),IF(M96="失败",IF(LEN(TRIM(O96))=0,"复核失败缺证据","提测复核失败"),IF(K96&lt;&gt;"可执行","待评审/依据",IF(L96="受阻","开发自测受阻",IF(L96&lt;&gt;"通过","待开发自测",IF(LEN(TRIM(N96))=0,"缺开发Build/证据",IF(M96="受阻","提测复核受阻",IF(M96&lt;&gt;"通过","待提测复核",IF(LEN(TRIM(O96))=0,"缺复核Build/证据","本轮复核通过"))))))))))</x:f>
        <x:v>待评审/依据</x:v>
      </x:c>
    </x:row>
    <x:row r="97" ht="46" customHeight="1">
      <x:c r="A97" s="4" t="str">
        <x:v>BP54</x:v>
      </x:c>
      <x:c r="B97" s="4" t="str">
        <x:v>10/15 配置与日志</x:v>
      </x:c>
      <x:c r="C97" s="4" t="str">
        <x:v>产品管理参数配置</x:v>
      </x:c>
      <x:c r="D97" s="4" t="str">
        <x:v>54</x:v>
      </x:c>
      <x:c r="E97" s="4" t="str">
        <x:v>计费方式字段与适用要素</x:v>
      </x:c>
      <x:c r="F97" s="4" t="str">
        <x:v>常规</x:v>
      </x:c>
      <x:c r="G97" s="4" t="str">
        <x:v>RV07已闭环；SM86合法方式；目标角色、Build、受控数据与采纳稿齐备</x:v>
      </x:c>
      <x:c r="H97" s="4" t="str">
        <x:v>按最终控件选择/输入适用要素，保存重开并在价卡选择。</x:v>
      </x:c>
      <x:c r="I97" s="4" t="str">
        <x:v>文本或枚举规则按结论；输入和业务引用一致；不以运输方式字典代验。</x:v>
      </x:c>
      <x:c r="J97" s="4" t="str">
        <x:v>W2序号54；SM86；PRD/Review快照2026-10-12</x:v>
      </x:c>
      <x:c r="K97" s="17" t="str">
        <x:v>待评审</x:v>
      </x:c>
      <x:c r="L97" s="17" t="str">
        <x:v>未执行</x:v>
      </x:c>
      <x:c r="M97" s="17" t="str">
        <x:v>未执行</x:v>
      </x:c>
      <x:c r="N97" s="17" t="str"/>
      <x:c r="O97" s="17" t="str"/>
      <x:c r="P97" s="4" t="str">
        <x:v>SM86、UI31、UI44、UI45</x:v>
      </x:c>
      <x:c r="Q97" s="4" t="str">
        <x:f>IF(K97="不纳入","不纳入",IF(L97="失败",IF(LEN(TRIM(N97))=0,"开发失败缺证据","开发自测失败"),IF(M97="失败",IF(LEN(TRIM(O97))=0,"复核失败缺证据","提测复核失败"),IF(K97&lt;&gt;"可执行","待评审/依据",IF(L97="受阻","开发自测受阻",IF(L97&lt;&gt;"通过","待开发自测",IF(LEN(TRIM(N97))=0,"缺开发Build/证据",IF(M97="受阻","提测复核受阻",IF(M97&lt;&gt;"通过","待提测复核",IF(LEN(TRIM(O97))=0,"缺复核Build/证据","本轮复核通过"))))))))))</x:f>
        <x:v>待评审/依据</x:v>
      </x:c>
    </x:row>
    <x:row r="98" ht="46" customHeight="1">
      <x:c r="A98" s="4" t="str">
        <x:v>BP55</x:v>
      </x:c>
      <x:c r="B98" s="4" t="str">
        <x:v>10/15 配置与日志</x:v>
      </x:c>
      <x:c r="C98" s="4" t="str">
        <x:v>产品管理参数配置</x:v>
      </x:c>
      <x:c r="D98" s="4" t="str">
        <x:v>55</x:v>
      </x:c>
      <x:c r="E98" s="4" t="str">
        <x:v>下单限制规则编辑与关联选择</x:v>
      </x:c>
      <x:c r="F98" s="4" t="str">
        <x:v>常规</x:v>
      </x:c>
      <x:c r="G98" s="4" t="str">
        <x:v>SM57/88合法规则及作用域；目标角色、Build、受控数据与采纳稿齐备</x:v>
      </x:c>
      <x:c r="H98" s="4" t="str">
        <x:v>编辑一项条件，保存；在批准关联表单选择后重开。</x:v>
      </x:c>
      <x:c r="I98" s="4" t="str">
        <x:v>规则编辑器校验与作用域明确；关联选择不代替规则维护验收。</x:v>
      </x:c>
      <x:c r="J98" s="4" t="str">
        <x:v>W2序号55；SM57、SM88；PRD/Review快照2026-10-12</x:v>
      </x:c>
      <x:c r="K98" s="17" t="str">
        <x:v>待评审</x:v>
      </x:c>
      <x:c r="L98" s="17" t="str">
        <x:v>未执行</x:v>
      </x:c>
      <x:c r="M98" s="17" t="str">
        <x:v>未执行</x:v>
      </x:c>
      <x:c r="N98" s="17" t="str"/>
      <x:c r="O98" s="17" t="str"/>
      <x:c r="P98" s="4" t="str">
        <x:v>SM57、SM88、UI03仅选择分支、UI44、UI45</x:v>
      </x:c>
      <x:c r="Q98" s="4" t="str">
        <x:f>IF(K98="不纳入","不纳入",IF(L98="失败",IF(LEN(TRIM(N98))=0,"开发失败缺证据","开发自测失败"),IF(M98="失败",IF(LEN(TRIM(O98))=0,"复核失败缺证据","提测复核失败"),IF(K98&lt;&gt;"可执行","待评审/依据",IF(L98="受阻","开发自测受阻",IF(L98&lt;&gt;"通过","待开发自测",IF(LEN(TRIM(N98))=0,"缺开发Build/证据",IF(M98="受阻","提测复核受阻",IF(M98&lt;&gt;"通过","待提测复核",IF(LEN(TRIM(O98))=0,"缺复核Build/证据","本轮复核通过"))))))))))</x:f>
        <x:v>待评审/依据</x:v>
      </x:c>
    </x:row>
    <x:row r="99" ht="46" customHeight="1">
      <x:c r="A99" s="4" t="str">
        <x:v>BP56</x:v>
      </x:c>
      <x:c r="B99" s="4" t="str">
        <x:v>10/13 基础配置</x:v>
      </x:c>
      <x:c r="C99" s="4" t="str">
        <x:v>产品管理参数配置</x:v>
      </x:c>
      <x:c r="D99" s="4" t="str">
        <x:v>56</x:v>
      </x:c>
      <x:c r="E99" s="4" t="str">
        <x:v>五类字典的对象专用字段</x:v>
      </x:c>
      <x:c r="F99" s="4" t="str">
        <x:v>优先</x:v>
      </x:c>
      <x:c r="G99" s="4" t="str">
        <x:v>航空/运输/货物/包装/监管各一合成对象；目标角色、Build、受控数据与采纳稿齐备</x:v>
      </x:c>
      <x:c r="H99" s="4" t="str">
        <x:v>逐类打开编辑核对字段，临时修改取消；合法维护按各自契约读回。</x:v>
      </x:c>
      <x:c r="I99" s="4" t="str">
        <x:v>不能把航空编码/ICAO模型套所有字典；名称、限长、标签和关联选项按对象判。</x:v>
      </x:c>
      <x:c r="J99" s="4" t="str">
        <x:v>W2序号56；SM09、SM10、SM16、SM17、SM18；PRD/Review快照2026-10-12</x:v>
      </x:c>
      <x:c r="K99" s="17" t="str">
        <x:v>待评审</x:v>
      </x:c>
      <x:c r="L99" s="17" t="str">
        <x:v>未执行</x:v>
      </x:c>
      <x:c r="M99" s="17" t="str">
        <x:v>未执行</x:v>
      </x:c>
      <x:c r="N99" s="17" t="str"/>
      <x:c r="O99" s="17" t="str"/>
      <x:c r="P99" s="4" t="str">
        <x:v>SM09、SM10、SM16、SM17、SM18、UI01、UI09、UI20、UI21、UI44、UI49</x:v>
      </x:c>
      <x:c r="Q99" s="4" t="str">
        <x:f>IF(K99="不纳入","不纳入",IF(L99="失败",IF(LEN(TRIM(N99))=0,"开发失败缺证据","开发自测失败"),IF(M99="失败",IF(LEN(TRIM(O99))=0,"复核失败缺证据","提测复核失败"),IF(K99&lt;&gt;"可执行","待评审/依据",IF(L99="受阻","开发自测受阻",IF(L99&lt;&gt;"通过","待开发自测",IF(LEN(TRIM(N99))=0,"缺开发Build/证据",IF(M99="受阻","提测复核受阻",IF(M99&lt;&gt;"通过","待提测复核",IF(LEN(TRIM(O99))=0,"缺复核Build/证据","本轮复核通过"))))))))))</x:f>
        <x:v>待评审/依据</x:v>
      </x:c>
    </x:row>
    <x:row r="100" ht="46" customHeight="1">
      <x:c r="A100" s="4" t="str">
        <x:v>BP57</x:v>
      </x:c>
      <x:c r="B100" s="4" t="str">
        <x:v>10/15 配置与日志</x:v>
      </x:c>
      <x:c r="C100" s="4" t="str">
        <x:v>产品管理参数配置</x:v>
      </x:c>
      <x:c r="D100" s="4" t="str">
        <x:v>57</x:v>
      </x:c>
      <x:c r="E100" s="4" t="str">
        <x:v>可接货型回显与删空规则</x:v>
      </x:c>
      <x:c r="F100" s="4" t="str">
        <x:v>常规</x:v>
      </x:c>
      <x:c r="G100" s="4" t="str">
        <x:v>RV06、SM87映射/最少项结论；目标角色、Build、受控数据与采纳稿齐备</x:v>
      </x:c>
      <x:c r="H100" s="4" t="str">
        <x:v>合法维护后在下单/服务单元回显，再核对允许的删除条件。</x:v>
      </x:c>
      <x:c r="I100" s="4" t="str">
        <x:v>货型名称和来源一致；历史影响按PRD；若不得删最后一项，不测非法删空。</x:v>
      </x:c>
      <x:c r="J100" s="4" t="str">
        <x:v>W2序号57；SM87；PRD/Review快照2026-10-12</x:v>
      </x:c>
      <x:c r="K100" s="17" t="str">
        <x:v>待评审</x:v>
      </x:c>
      <x:c r="L100" s="17" t="str">
        <x:v>未执行</x:v>
      </x:c>
      <x:c r="M100" s="17" t="str">
        <x:v>未执行</x:v>
      </x:c>
      <x:c r="N100" s="17" t="str"/>
      <x:c r="O100" s="17" t="str"/>
      <x:c r="P100" s="4" t="str">
        <x:v>SM87、UI44、UI45、UI46</x:v>
      </x:c>
      <x:c r="Q100" s="4" t="str">
        <x:f>IF(K100="不纳入","不纳入",IF(L100="失败",IF(LEN(TRIM(N100))=0,"开发失败缺证据","开发自测失败"),IF(M100="失败",IF(LEN(TRIM(O100))=0,"复核失败缺证据","提测复核失败"),IF(K100&lt;&gt;"可执行","待评审/依据",IF(L100="受阻","开发自测受阻",IF(L100&lt;&gt;"通过","待开发自测",IF(LEN(TRIM(N100))=0,"缺开发Build/证据",IF(M100="受阻","提测复核受阻",IF(M100&lt;&gt;"通过","待提测复核",IF(LEN(TRIM(O100))=0,"缺复核Build/证据","本轮复核通过"))))))))))</x:f>
        <x:v>待评审/依据</x:v>
      </x:c>
    </x:row>
    <x:row r="101" ht="46" customHeight="1">
      <x:c r="A101" s="4" t="str">
        <x:v>BP58</x:v>
      </x:c>
      <x:c r="B101" s="4" t="str">
        <x:v>10/15 配置与日志</x:v>
      </x:c>
      <x:c r="C101" s="4" t="str">
        <x:v>产品管理参数配置</x:v>
      </x:c>
      <x:c r="D101" s="4" t="str">
        <x:v>58</x:v>
      </x:c>
      <x:c r="E101" s="4" t="str">
        <x:v>财务配置参数分组与只读范围</x:v>
      </x:c>
      <x:c r="F101" s="4" t="str">
        <x:v>常规</x:v>
      </x:c>
      <x:c r="G101" s="4" t="str">
        <x:v>先补财务配置PRD与独立入口；目标角色、Build、受控数据与采纳稿齐备</x:v>
      </x:c>
      <x:c r="H101" s="4" t="str">
        <x:v>核对参数单位/权限，编辑一个合法参数取消，再做授权保存读回。</x:v>
      </x:c>
      <x:c r="I101" s="4" t="str">
        <x:v>参数与权限来源明确；币种汇率局部观察不等于整项财务配置通过。</x:v>
      </x:c>
      <x:c r="J101" s="4" t="str">
        <x:v>W2序号58；待补财务配置PRD；币种/汇率仅局部关联；PRD/Review快照2026-10-12</x:v>
      </x:c>
      <x:c r="K101" s="17" t="str">
        <x:v>待评审</x:v>
      </x:c>
      <x:c r="L101" s="17" t="str">
        <x:v>未执行</x:v>
      </x:c>
      <x:c r="M101" s="17" t="str">
        <x:v>未执行</x:v>
      </x:c>
      <x:c r="N101" s="17" t="str"/>
      <x:c r="O101" s="17" t="str"/>
      <x:c r="P101" s="4" t="str">
        <x:v>待补财务配置PRD；币种/汇率仅局部关联、UI22、UI31、UI44</x:v>
      </x:c>
      <x:c r="Q101" s="4" t="str">
        <x:f>IF(K101="不纳入","不纳入",IF(L101="失败",IF(LEN(TRIM(N101))=0,"开发失败缺证据","开发自测失败"),IF(M101="失败",IF(LEN(TRIM(O101))=0,"复核失败缺证据","提测复核失败"),IF(K101&lt;&gt;"可执行","待评审/依据",IF(L101="受阻","开发自测受阻",IF(L101&lt;&gt;"通过","待开发自测",IF(LEN(TRIM(N101))=0,"缺开发Build/证据",IF(M101="受阻","提测复核受阻",IF(M101&lt;&gt;"通过","待提测复核",IF(LEN(TRIM(O101))=0,"缺复核Build/证据","本轮复核通过"))))))))))</x:f>
        <x:v>待评审/依据</x:v>
      </x:c>
    </x:row>
    <x:row r="102" ht="46" customHeight="1">
      <x:c r="A102" s="4" t="str">
        <x:v>BP65</x:v>
      </x:c>
      <x:c r="B102" s="4" t="str">
        <x:v>10/15 配置与日志</x:v>
      </x:c>
      <x:c r="C102" s="4" t="str">
        <x:v>操作日志</x:v>
      </x:c>
      <x:c r="D102" s="4" t="str">
        <x:v>65</x:v>
      </x:c>
      <x:c r="E102" s="4" t="str">
        <x:v>操作日志查询和对象追溯</x:v>
      </x:c>
      <x:c r="F102" s="4" t="str">
        <x:v>常规</x:v>
      </x:c>
      <x:c r="G102" s="4" t="str">
        <x:v>先补日志字段/时间/权限契约；测试负责人待认领；目标角色、Build、受控数据与采纳稿齐备</x:v>
      </x:c>
      <x:c r="H102" s="4" t="str">
        <x:v>执行一项已授权合成操作后，按对象/操作人/时间查日志并开详情。</x:v>
      </x:c>
      <x:c r="I102" s="4" t="str">
        <x:v>日志对象/动作/时间可追溯，越权不可见；计费历史不是操作日志。</x:v>
      </x:c>
      <x:c r="J102" s="4" t="str">
        <x:v>W2序号65；待补日志PRD，不等同计费历史SM59；PRD/Review快照2026-10-12</x:v>
      </x:c>
      <x:c r="K102" s="17" t="str">
        <x:v>待评审</x:v>
      </x:c>
      <x:c r="L102" s="17" t="str">
        <x:v>未执行</x:v>
      </x:c>
      <x:c r="M102" s="17" t="str">
        <x:v>未执行</x:v>
      </x:c>
      <x:c r="N102" s="17" t="str"/>
      <x:c r="O102" s="17" t="str"/>
      <x:c r="P102" s="4" t="str">
        <x:v>待补日志PRD，不等同计费历史SM59、UI09、UI10、UI26、UI30</x:v>
      </x:c>
      <x:c r="Q102" s="4" t="str">
        <x:f>IF(K102="不纳入","不纳入",IF(L102="失败",IF(LEN(TRIM(N102))=0,"开发失败缺证据","开发自测失败"),IF(M102="失败",IF(LEN(TRIM(O102))=0,"复核失败缺证据","提测复核失败"),IF(K102&lt;&gt;"可执行","待评审/依据",IF(L102="受阻","开发自测受阻",IF(L102&lt;&gt;"通过","待开发自测",IF(LEN(TRIM(N102))=0,"缺开发Build/证据",IF(M102="受阻","提测复核受阻",IF(M102&lt;&gt;"通过","待提测复核",IF(LEN(TRIM(O102))=0,"缺复核Build/证据","本轮复核通过"))))))))))</x:f>
        <x:v>待评审/依据</x:v>
      </x:c>
    </x:row>
  </x:sheetData>
  <x:conditionalFormatting sqref="Q6:Q102">
    <x:cfRule type="expression" dxfId="0" priority="1">
      <x:formula>Q6="本轮复核通过"</x:formula>
    </x:cfRule>
    <x:cfRule type="expression" dxfId="1" priority="2">
      <x:formula>OR(Q6="开发自测失败",Q6="提测复核失败",Q6="开发失败缺证据",Q6="复核失败缺证据")</x:formula>
    </x:cfRule>
  </x:conditionalFormatting>
  <x:dataValidations count="2">
    <x:dataValidation type="list" sqref="K6:K102">
      <x:formula1>"待评审,待依据,可执行,不纳入"</x:formula1>
    </x:dataValidation>
    <x:dataValidation type="list" sqref="L6:M102">
      <x:formula1>"未执行,通过,失败,受阻,不适用"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005038d4ec47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42" hidden="0" customWidth="1"/>
    <x:col min="5" max="5" width="35" hidden="0" customWidth="1"/>
    <x:col min="6" max="6" width="23" hidden="0" customWidth="1"/>
    <x:col min="7" max="7" width="18" hidden="0" customWidth="1"/>
    <x:col min="8" max="8" width="18" hidden="0" customWidth="1"/>
    <x:col min="9" max="9" width="18" hidden="0" customWidth="1"/>
    <x:col min="10" max="10" width="62" hidden="0" customWidth="1"/>
    <x:col min="11" max="11" width="91" hidden="0" customWidth="1"/>
    <x:col min="12" max="12" width="17" hidden="0" customWidth="1"/>
    <x:col min="13" max="13" width="34" hidden="0" customWidth="1"/>
    <x:col min="14" max="14" width="64" hidden="0" customWidth="1"/>
  </x:cols>
  <x:sheetData>
    <x:row r="2" ht="29" customHeight="1">
      <x:c r="A2" s="1" t="str">
        <x:v>W2 38个工作包的前端用例索引</x:v>
      </x:c>
    </x:row>
    <x:row r="3">
      <x:c r="A3" s="16" t="str">
        <x:v>组件用例按真实能力裁剪；每包BP专项单独执行。来源标原型的仍须核定封板范围。</x:v>
      </x:c>
    </x:row>
    <x:row r="5" ht="36" customHeight="1">
      <x:c r="A5" s="13" t="str">
        <x:v>排期序号</x:v>
      </x:c>
      <x:c r="B5" s="14" t="str">
        <x:v>源表行号</x:v>
      </x:c>
      <x:c r="C5" s="14" t="str">
        <x:v>二级目录</x:v>
      </x:c>
      <x:c r="D5" s="14" t="str">
        <x:v>工作包</x:v>
      </x:c>
      <x:c r="E5" s="14" t="str">
        <x:v>本周节奏</x:v>
      </x:c>
      <x:c r="F5" s="14" t="str">
        <x:v>原来源</x:v>
      </x:c>
      <x:c r="G5" s="14" t="str">
        <x:v>产品</x:v>
      </x:c>
      <x:c r="H5" s="14" t="str">
        <x:v>开发</x:v>
      </x:c>
      <x:c r="I5" s="14" t="str">
        <x:v>测试</x:v>
      </x:c>
      <x:c r="J5" s="14" t="str">
        <x:v>设计准出用例</x:v>
      </x:c>
      <x:c r="K5" s="14" t="str">
        <x:v>适用组件用例</x:v>
      </x:c>
      <x:c r="L5" s="14" t="str">
        <x:v>本包专项</x:v>
      </x:c>
      <x:c r="M5" s="14" t="str">
        <x:v>上一版周用例</x:v>
      </x:c>
      <x:c r="N5" s="15" t="str">
        <x:v>未补齐条件/原备注</x:v>
      </x:c>
    </x:row>
    <x:row r="6" ht="46" customHeight="1">
      <x:c r="A6" s="18" t="n">
        <x:v>1</x:v>
      </x:c>
      <x:c r="B6" s="18" t="n">
        <x:v>5</x:v>
      </x:c>
      <x:c r="C6" s="4" t="str">
        <x:v>服务单元</x:v>
      </x:c>
      <x:c r="D6" s="4" t="str">
        <x:v>服务单元列表与筛选</x:v>
      </x:c>
      <x:c r="E6" s="4" t="str">
        <x:v>10/13–10/14 服务管理</x:v>
      </x:c>
      <x:c r="F6" s="4" t="str">
        <x:v>PRD</x:v>
      </x:c>
      <x:c r="G6" s="4" t="str">
        <x:v>人员04</x:v>
      </x:c>
      <x:c r="H6" s="4" t="str">
        <x:v>人员03</x:v>
      </x:c>
      <x:c r="I6" s="4" t="str">
        <x:v>人员01</x:v>
      </x:c>
      <x:c r="J6" s="4" t="str">
        <x:v>RV01、RV11、RV12</x:v>
      </x:c>
      <x:c r="K6" s="4" t="str">
        <x:v>FE01、FE02、FE03、FE04、FE05、FE06、FE07、FE08、FE09、FE12、FE13、FE14、FE15、FE16、FE17、FE18、FE19、FE20、FE21、FE22、FE41、FE46、FE47</x:v>
      </x:c>
      <x:c r="L6" s="4" t="str">
        <x:v>BP01</x:v>
      </x:c>
      <x:c r="M6" s="4" t="str">
        <x:v>W2-01-U / W2-01-D</x:v>
      </x:c>
      <x:c r="N6" s="4" t="str">
        <x:v>按角色、入口、Build及本批采纳稿补齐执行条件</x:v>
      </x:c>
    </x:row>
    <x:row r="7" ht="46" customHeight="1">
      <x:c r="A7" s="18" t="n">
        <x:v>2</x:v>
      </x:c>
      <x:c r="B7" s="18" t="n">
        <x:v>6</x:v>
      </x:c>
      <x:c r="C7" s="4" t="str">
        <x:v>服务单元</x:v>
      </x:c>
      <x:c r="D7" s="4" t="str">
        <x:v>服务单元批量操作</x:v>
      </x:c>
      <x:c r="E7" s="4" t="str">
        <x:v>10/13–10/14 服务管理</x:v>
      </x:c>
      <x:c r="F7" s="4" t="str">
        <x:v>PRD</x:v>
      </x:c>
      <x:c r="G7" s="4" t="str">
        <x:v>人员04</x:v>
      </x:c>
      <x:c r="H7" s="4" t="str">
        <x:v>人员03</x:v>
      </x:c>
      <x:c r="I7" s="4" t="str">
        <x:v>人员01</x:v>
      </x:c>
      <x:c r="J7" s="4" t="str">
        <x:v>RV01、RV11、RV12</x:v>
      </x:c>
      <x:c r="K7" s="4" t="str">
        <x:v>FE01、FE02、FE03、FE04、FE05、FE06、FE07、FE08、FE09、FE23、FE24、FE25、FE41、FE42、FE46、FE47</x:v>
      </x:c>
      <x:c r="L7" s="4" t="str">
        <x:v>BP02</x:v>
      </x:c>
      <x:c r="M7" s="4" t="str">
        <x:v>W2-02-U / W2-02-D</x:v>
      </x:c>
      <x:c r="N7" s="4" t="str">
        <x:v>按角色、入口、Build及本批采纳稿补齐执行条件</x:v>
      </x:c>
    </x:row>
    <x:row r="8" ht="46" customHeight="1">
      <x:c r="A8" s="18" t="n">
        <x:v>3</x:v>
      </x:c>
      <x:c r="B8" s="18" t="n">
        <x:v>7</x:v>
      </x:c>
      <x:c r="C8" s="4" t="str">
        <x:v>服务单元</x:v>
      </x:c>
      <x:c r="D8" s="4" t="str">
        <x:v>新增/编辑服务单元（弹窗）</x:v>
      </x:c>
      <x:c r="E8" s="4" t="str">
        <x:v>10/13–10/14 服务管理</x:v>
      </x:c>
      <x:c r="F8" s="4" t="str">
        <x:v>PRD</x:v>
      </x:c>
      <x:c r="G8" s="4" t="str">
        <x:v>人员04</x:v>
      </x:c>
      <x:c r="H8" s="4" t="str">
        <x:v>人员03</x:v>
      </x:c>
      <x:c r="I8" s="4" t="str">
        <x:v>人员01</x:v>
      </x:c>
      <x:c r="J8" s="4" t="str">
        <x:v>RV01、RV02、RV11、RV12</x:v>
      </x:c>
      <x:c r="K8" s="4" t="str">
        <x:v>FE01、FE02、FE03、FE04、FE05、FE06、FE07、FE08、FE09、FE26、FE27、FE28、FE29、FE30、FE31、FE32、FE33、FE39、FE41、FE46、FE47</x:v>
      </x:c>
      <x:c r="L8" s="4" t="str">
        <x:v>BP03</x:v>
      </x:c>
      <x:c r="M8" s="4" t="str">
        <x:v>W2-03-U / W2-03-D</x:v>
      </x:c>
      <x:c r="N8" s="4" t="str">
        <x:v>按角色、入口、Build及本批采纳稿补齐执行条件</x:v>
      </x:c>
    </x:row>
    <x:row r="9" ht="46" customHeight="1">
      <x:c r="A9" s="18" t="n">
        <x:v>4</x:v>
      </x:c>
      <x:c r="B9" s="18" t="n">
        <x:v>8</x:v>
      </x:c>
      <x:c r="C9" s="4" t="str">
        <x:v>服务单元</x:v>
      </x:c>
      <x:c r="D9" s="4" t="str">
        <x:v>服务单元详情（只读）</x:v>
      </x:c>
      <x:c r="E9" s="4" t="str">
        <x:v>10/13–10/14 服务管理</x:v>
      </x:c>
      <x:c r="F9" s="4" t="str">
        <x:v>PRD</x:v>
      </x:c>
      <x:c r="G9" s="4" t="str">
        <x:v>人员04</x:v>
      </x:c>
      <x:c r="H9" s="4" t="str">
        <x:v>人员03</x:v>
      </x:c>
      <x:c r="I9" s="4" t="str">
        <x:v>人员01</x:v>
      </x:c>
      <x:c r="J9" s="4" t="str">
        <x:v>RV01、RV03、RV04、RV11、RV12</x:v>
      </x:c>
      <x:c r="K9" s="4" t="str">
        <x:v>FE01、FE02、FE03、FE04、FE05、FE06、FE07、FE08、FE09、FE34、FE35、FE36、FE41、FE46、FE47</x:v>
      </x:c>
      <x:c r="L9" s="4" t="str">
        <x:v>BP04</x:v>
      </x:c>
      <x:c r="M9" s="4" t="str">
        <x:v>W2-04-U / W2-04-D</x:v>
      </x:c>
      <x:c r="N9" s="4" t="str">
        <x:v>按角色、入口、Build及本批采纳稿补齐执行条件</x:v>
      </x:c>
    </x:row>
    <x:row r="10" ht="46" customHeight="1">
      <x:c r="A10" s="18" t="n">
        <x:v>5</x:v>
      </x:c>
      <x:c r="B10" s="18" t="n">
        <x:v>9</x:v>
      </x:c>
      <x:c r="C10" s="4" t="str">
        <x:v>服务单元</x:v>
      </x:c>
      <x:c r="D10" s="4" t="str">
        <x:v>禁用编排/启用 与产品引用关系</x:v>
      </x:c>
      <x:c r="E10" s="4" t="str">
        <x:v>10/13–10/14 服务管理</x:v>
      </x:c>
      <x:c r="F10" s="4" t="str">
        <x:v>PRD</x:v>
      </x:c>
      <x:c r="G10" s="4" t="str">
        <x:v>人员04</x:v>
      </x:c>
      <x:c r="H10" s="4" t="str">
        <x:v>人员03</x:v>
      </x:c>
      <x:c r="I10" s="4" t="str">
        <x:v>人员01</x:v>
      </x:c>
      <x:c r="J10" s="4" t="str">
        <x:v>RV01、RV11、RV12</x:v>
      </x:c>
      <x:c r="K10" s="4" t="str">
        <x:v>FE01、FE02、FE03、FE04、FE05、FE06、FE07、FE08、FE09、FE38、FE41、FE46、FE47</x:v>
      </x:c>
      <x:c r="L10" s="4" t="str">
        <x:v>BP05</x:v>
      </x:c>
      <x:c r="M10" s="4" t="str">
        <x:v>W2-05-U / W2-05-D</x:v>
      </x:c>
      <x:c r="N10" s="4" t="str">
        <x:v>按角色、入口、Build及本批采纳稿补齐执行条件</x:v>
      </x:c>
    </x:row>
    <x:row r="11" ht="46" customHeight="1">
      <x:c r="A11" s="18" t="n">
        <x:v>7</x:v>
      </x:c>
      <x:c r="B11" s="18" t="n">
        <x:v>11</x:v>
      </x:c>
      <x:c r="C11" s="4" t="str">
        <x:v>服务组合</x:v>
      </x:c>
      <x:c r="D11" s="4" t="str">
        <x:v>服务组合列表页</x:v>
      </x:c>
      <x:c r="E11" s="4" t="str">
        <x:v>10/13–10/14 服务管理</x:v>
      </x:c>
      <x:c r="F11" s="4" t="str">
        <x:v>PRD</x:v>
      </x:c>
      <x:c r="G11" s="4" t="str">
        <x:v>人员04</x:v>
      </x:c>
      <x:c r="H11" s="4" t="str">
        <x:v>人员03</x:v>
      </x:c>
      <x:c r="I11" s="4" t="str">
        <x:v>人员05</x:v>
      </x:c>
      <x:c r="J11" s="4" t="str">
        <x:v>RV01、RV11、RV12</x:v>
      </x:c>
      <x:c r="K11" s="4" t="str">
        <x:v>FE01、FE02、FE03、FE04、FE05、FE06、FE07、FE08、FE09、FE12、FE13、FE14、FE15、FE16、FE17、FE18、FE19、FE20、FE21、FE22、FE41、FE46、FE47</x:v>
      </x:c>
      <x:c r="L11" s="4" t="str">
        <x:v>BP07</x:v>
      </x:c>
      <x:c r="M11" s="4" t="str">
        <x:v>W2-07-U / W2-07-D</x:v>
      </x:c>
      <x:c r="N11" s="4" t="str">
        <x:v>按角色、入口、Build及本批采纳稿补齐执行条件</x:v>
      </x:c>
    </x:row>
    <x:row r="12" ht="46" customHeight="1">
      <x:c r="A12" s="18" t="n">
        <x:v>8</x:v>
      </x:c>
      <x:c r="B12" s="18" t="n">
        <x:v>12</x:v>
      </x:c>
      <x:c r="C12" s="4" t="str">
        <x:v>服务组合</x:v>
      </x:c>
      <x:c r="D12" s="4" t="str">
        <x:v>新增/编辑服务组合</x:v>
      </x:c>
      <x:c r="E12" s="4" t="str">
        <x:v>10/13–10/14 服务管理</x:v>
      </x:c>
      <x:c r="F12" s="4" t="str">
        <x:v>PRD</x:v>
      </x:c>
      <x:c r="G12" s="4" t="str">
        <x:v>人员04</x:v>
      </x:c>
      <x:c r="H12" s="4" t="str">
        <x:v>人员03</x:v>
      </x:c>
      <x:c r="I12" s="4" t="str">
        <x:v>人员05</x:v>
      </x:c>
      <x:c r="J12" s="4" t="str">
        <x:v>RV01、RV11、RV12</x:v>
      </x:c>
      <x:c r="K12" s="4" t="str">
        <x:v>FE01、FE02、FE03、FE04、FE05、FE06、FE07、FE08、FE09、FE26、FE27、FE28、FE29、FE30、FE31、FE32、FE33、FE39、FE41、FE46、FE47</x:v>
      </x:c>
      <x:c r="L12" s="4" t="str">
        <x:v>BP08</x:v>
      </x:c>
      <x:c r="M12" s="4" t="str">
        <x:v>W2-08-U / W2-08-D</x:v>
      </x:c>
      <x:c r="N12" s="4" t="str">
        <x:v>按角色、入口、Build及本批采纳稿补齐执行条件</x:v>
      </x:c>
    </x:row>
    <x:row r="13" ht="46" customHeight="1">
      <x:c r="A13" s="18" t="n">
        <x:v>9</x:v>
      </x:c>
      <x:c r="B13" s="18" t="n">
        <x:v>13</x:v>
      </x:c>
      <x:c r="C13" s="4" t="str">
        <x:v>服务组合</x:v>
      </x:c>
      <x:c r="D13" s="4" t="str">
        <x:v>详情与历史版本（只读）</x:v>
      </x:c>
      <x:c r="E13" s="4" t="str">
        <x:v>10/13–10/14 服务管理</x:v>
      </x:c>
      <x:c r="F13" s="4" t="str">
        <x:v>PRD</x:v>
      </x:c>
      <x:c r="G13" s="4" t="str">
        <x:v>人员04</x:v>
      </x:c>
      <x:c r="H13" s="4" t="str">
        <x:v>人员03</x:v>
      </x:c>
      <x:c r="I13" s="4" t="str">
        <x:v>人员05</x:v>
      </x:c>
      <x:c r="J13" s="4" t="str">
        <x:v>RV01、RV04、RV11、RV12</x:v>
      </x:c>
      <x:c r="K13" s="4" t="str">
        <x:v>FE01、FE02、FE03、FE04、FE05、FE06、FE07、FE08、FE09、FE34、FE35、FE36、FE41、FE46、FE47</x:v>
      </x:c>
      <x:c r="L13" s="4" t="str">
        <x:v>BP09</x:v>
      </x:c>
      <x:c r="M13" s="4" t="str">
        <x:v>W2-09-U / W2-09-D</x:v>
      </x:c>
      <x:c r="N13" s="4" t="str">
        <x:v>按角色、入口、Build及本批采纳稿补齐执行条件</x:v>
      </x:c>
    </x:row>
    <x:row r="14" ht="46" customHeight="1">
      <x:c r="A14" s="18" t="n">
        <x:v>10</x:v>
      </x:c>
      <x:c r="B14" s="18" t="n">
        <x:v>14</x:v>
      </x:c>
      <x:c r="C14" s="4" t="str">
        <x:v>服务组合</x:v>
      </x:c>
      <x:c r="D14" s="4" t="str">
        <x:v>删除引用校验与并发控制</x:v>
      </x:c>
      <x:c r="E14" s="4" t="str">
        <x:v>10/13–10/14 服务管理</x:v>
      </x:c>
      <x:c r="F14" s="4" t="str">
        <x:v>PRD</x:v>
      </x:c>
      <x:c r="G14" s="4" t="str">
        <x:v>人员04</x:v>
      </x:c>
      <x:c r="H14" s="4" t="str">
        <x:v>人员03</x:v>
      </x:c>
      <x:c r="I14" s="4" t="str">
        <x:v>人员05</x:v>
      </x:c>
      <x:c r="J14" s="4" t="str">
        <x:v>RV01、RV11、RV12</x:v>
      </x:c>
      <x:c r="K14" s="4" t="str">
        <x:v>FE01、FE02、FE03、FE04、FE05、FE06、FE07、FE08、FE09、FE38、FE41、FE46、FE47</x:v>
      </x:c>
      <x:c r="L14" s="4" t="str">
        <x:v>BP10</x:v>
      </x:c>
      <x:c r="M14" s="4" t="str">
        <x:v>W2-10-U / W2-10-D</x:v>
      </x:c>
      <x:c r="N14" s="4" t="str">
        <x:v>按角色、入口、Build及本批采纳稿补齐执行条件</x:v>
      </x:c>
    </x:row>
    <x:row r="15" ht="46" customHeight="1">
      <x:c r="A15" s="18" t="n">
        <x:v>11</x:v>
      </x:c>
      <x:c r="B15" s="18" t="n">
        <x:v>15</x:v>
      </x:c>
      <x:c r="C15" s="4" t="str">
        <x:v>策略配置</x:v>
      </x:c>
      <x:c r="D15" s="4" t="str">
        <x:v>策略列表/详情</x:v>
      </x:c>
      <x:c r="E15" s="4" t="str">
        <x:v>10/13–10/14 服务管理</x:v>
      </x:c>
      <x:c r="F15" s="4" t="str">
        <x:v>PRD</x:v>
      </x:c>
      <x:c r="G15" s="4" t="str">
        <x:v>人员04</x:v>
      </x:c>
      <x:c r="H15" s="4" t="str">
        <x:v>人员03</x:v>
      </x:c>
      <x:c r="I15" s="4" t="str">
        <x:v>人员01</x:v>
      </x:c>
      <x:c r="J15" s="4" t="str">
        <x:v>RV01、RV11、RV12</x:v>
      </x:c>
      <x:c r="K15" s="4" t="str">
        <x:v>FE01、FE02、FE03、FE04、FE05、FE06、FE07、FE08、FE09、FE12、FE13、FE14、FE15、FE16、FE17、FE18、FE19、FE20、FE21、FE22、FE41、FE46、FE47</x:v>
      </x:c>
      <x:c r="L15" s="4" t="str">
        <x:v>BP11</x:v>
      </x:c>
      <x:c r="M15" s="4" t="str">
        <x:v>W2-11-U / W2-11-D</x:v>
      </x:c>
      <x:c r="N15" s="4" t="str">
        <x:v>按角色、入口、Build及本批采纳稿补齐执行条件</x:v>
      </x:c>
    </x:row>
    <x:row r="16" ht="46" customHeight="1">
      <x:c r="A16" s="18" t="n">
        <x:v>12</x:v>
      </x:c>
      <x:c r="B16" s="18" t="n">
        <x:v>16</x:v>
      </x:c>
      <x:c r="C16" s="4" t="str">
        <x:v>成本价卡</x:v>
      </x:c>
      <x:c r="D16" s="4" t="str">
        <x:v>成本价卡列表页</x:v>
      </x:c>
      <x:c r="E16" s="4" t="str">
        <x:v>10/14 价格维护</x:v>
      </x:c>
      <x:c r="F16" s="4" t="str">
        <x:v>PRD</x:v>
      </x:c>
      <x:c r="G16" s="4" t="str">
        <x:v>人员04</x:v>
      </x:c>
      <x:c r="H16" s="4" t="str">
        <x:v>人员02</x:v>
      </x:c>
      <x:c r="I16" s="4" t="str">
        <x:v>人员01</x:v>
      </x:c>
      <x:c r="J16" s="4" t="str">
        <x:v>RV01、RV11、RV12</x:v>
      </x:c>
      <x:c r="K16" s="4" t="str">
        <x:v>FE01、FE02、FE03、FE04、FE05、FE06、FE07、FE08、FE09、FE12、FE13、FE14、FE15、FE16、FE17、FE18、FE19、FE20、FE21、FE22、FE41、FE46、FE47</x:v>
      </x:c>
      <x:c r="L16" s="4" t="str">
        <x:v>BP12</x:v>
      </x:c>
      <x:c r="M16" s="4" t="str">
        <x:v>W2-12-U / W2-12-D</x:v>
      </x:c>
      <x:c r="N16" s="4" t="str">
        <x:v>按角色、入口、Build及本批采纳稿补齐执行条件</x:v>
      </x:c>
    </x:row>
    <x:row r="17" ht="46" customHeight="1">
      <x:c r="A17" s="18" t="n">
        <x:v>13</x:v>
      </x:c>
      <x:c r="B17" s="18" t="n">
        <x:v>17</x:v>
      </x:c>
      <x:c r="C17" s="4" t="str">
        <x:v>成本价卡</x:v>
      </x:c>
      <x:c r="D17" s="4" t="str">
        <x:v>新增/编辑成本价卡-价卡头</x:v>
      </x:c>
      <x:c r="E17" s="4" t="str">
        <x:v>10/14 价格维护</x:v>
      </x:c>
      <x:c r="F17" s="4" t="str">
        <x:v>PRD</x:v>
      </x:c>
      <x:c r="G17" s="4" t="str">
        <x:v>人员04</x:v>
      </x:c>
      <x:c r="H17" s="4" t="str">
        <x:v>人员02</x:v>
      </x:c>
      <x:c r="I17" s="4" t="str">
        <x:v>人员01</x:v>
      </x:c>
      <x:c r="J17" s="4" t="str">
        <x:v>RV01、RV11、RV12</x:v>
      </x:c>
      <x:c r="K17" s="4" t="str">
        <x:v>FE01、FE02、FE03、FE04、FE05、FE06、FE07、FE08、FE09、FE26、FE27、FE28、FE29、FE30、FE31、FE32、FE33、FE40、FE41、FE46、FE47</x:v>
      </x:c>
      <x:c r="L17" s="4" t="str">
        <x:v>BP13</x:v>
      </x:c>
      <x:c r="M17" s="4" t="str">
        <x:v>W2-13-U / W2-13-D</x:v>
      </x:c>
      <x:c r="N17" s="4" t="str">
        <x:v>按角色、入口、Build及本批采纳稿补齐执行条件</x:v>
      </x:c>
    </x:row>
    <x:row r="18" ht="46" customHeight="1">
      <x:c r="A18" s="18" t="n">
        <x:v>14</x:v>
      </x:c>
      <x:c r="B18" s="18" t="n">
        <x:v>18</x:v>
      </x:c>
      <x:c r="C18" s="4" t="str">
        <x:v>成本价卡</x:v>
      </x:c>
      <x:c r="D18" s="4" t="str">
        <x:v>价卡计费明细字段配置</x:v>
      </x:c>
      <x:c r="E18" s="4" t="str">
        <x:v>10/14 价格维护</x:v>
      </x:c>
      <x:c r="F18" s="4" t="str">
        <x:v>PRD</x:v>
      </x:c>
      <x:c r="G18" s="4" t="str">
        <x:v>人员04</x:v>
      </x:c>
      <x:c r="H18" s="4" t="str">
        <x:v>人员02</x:v>
      </x:c>
      <x:c r="I18" s="4" t="str">
        <x:v>人员01</x:v>
      </x:c>
      <x:c r="J18" s="4" t="str">
        <x:v>RV01、RV11、RV12</x:v>
      </x:c>
      <x:c r="K18" s="4" t="str">
        <x:v>FE01、FE02、FE03、FE04、FE05、FE06、FE07、FE08、FE09、FE26、FE27、FE28、FE29、FE30、FE31、FE32、FE33、FE41、FE46、FE47</x:v>
      </x:c>
      <x:c r="L18" s="4" t="str">
        <x:v>BP14</x:v>
      </x:c>
      <x:c r="M18" s="4" t="str">
        <x:v>W2-14-U / W2-14-D</x:v>
      </x:c>
      <x:c r="N18" s="4" t="str">
        <x:v>按角色、入口、Build及本批采纳稿补齐执行条件</x:v>
      </x:c>
    </x:row>
    <x:row r="19" ht="46" customHeight="1">
      <x:c r="A19" s="18" t="n">
        <x:v>15</x:v>
      </x:c>
      <x:c r="B19" s="18" t="n">
        <x:v>19</x:v>
      </x:c>
      <x:c r="C19" s="4" t="str">
        <x:v>成本价卡</x:v>
      </x:c>
      <x:c r="D19" s="4" t="str">
        <x:v>计费明细行操作与校验</x:v>
      </x:c>
      <x:c r="E19" s="4" t="str">
        <x:v>10/14 价格维护</x:v>
      </x:c>
      <x:c r="F19" s="4" t="str">
        <x:v>PRD</x:v>
      </x:c>
      <x:c r="G19" s="4" t="str">
        <x:v>人员04</x:v>
      </x:c>
      <x:c r="H19" s="4" t="str">
        <x:v>人员02</x:v>
      </x:c>
      <x:c r="I19" s="4" t="str">
        <x:v>人员01</x:v>
      </x:c>
      <x:c r="J19" s="4" t="str">
        <x:v>RV01、RV05、RV11、RV12</x:v>
      </x:c>
      <x:c r="K19" s="4" t="str">
        <x:v>FE01、FE02、FE03、FE04、FE05、FE06、FE07、FE08、FE09、FE26、FE27、FE28、FE29、FE30、FE31、FE32、FE33、FE37、FE38、FE41、FE46、FE47</x:v>
      </x:c>
      <x:c r="L19" s="4" t="str">
        <x:v>BP15</x:v>
      </x:c>
      <x:c r="M19" s="4" t="str">
        <x:v>W2-15-U / W2-15-D</x:v>
      </x:c>
      <x:c r="N19" s="4" t="str">
        <x:v>按角色、入口、Build及本批采纳稿补齐执行条件</x:v>
      </x:c>
    </x:row>
    <x:row r="20" ht="46" customHeight="1">
      <x:c r="A20" s="18" t="n">
        <x:v>16</x:v>
      </x:c>
      <x:c r="B20" s="18" t="n">
        <x:v>20</x:v>
      </x:c>
      <x:c r="C20" s="4" t="str">
        <x:v>成本价卡</x:v>
      </x:c>
      <x:c r="D20" s="4" t="str">
        <x:v>计价范围选择器（起终点分区）</x:v>
      </x:c>
      <x:c r="E20" s="4" t="str">
        <x:v>10/14 价格维护</x:v>
      </x:c>
      <x:c r="F20" s="4" t="str">
        <x:v>PRD</x:v>
      </x:c>
      <x:c r="G20" s="4" t="str">
        <x:v>人员04</x:v>
      </x:c>
      <x:c r="H20" s="4" t="str">
        <x:v>人员02</x:v>
      </x:c>
      <x:c r="I20" s="4" t="str">
        <x:v>人员01</x:v>
      </x:c>
      <x:c r="J20" s="4" t="str">
        <x:v>RV01、RV11、RV12</x:v>
      </x:c>
      <x:c r="K20" s="4" t="str">
        <x:v>FE01、FE02、FE03、FE04、FE05、FE06、FE07、FE08、FE09、FE39、FE41、FE46、FE47</x:v>
      </x:c>
      <x:c r="L20" s="4" t="str">
        <x:v>BP16</x:v>
      </x:c>
      <x:c r="M20" s="4" t="str">
        <x:v>W2-16-U / W2-16-D</x:v>
      </x:c>
      <x:c r="N20" s="4" t="str">
        <x:v>按角色、入口、Build及本批采纳稿补齐执行条件</x:v>
      </x:c>
    </x:row>
    <x:row r="21" ht="46" customHeight="1">
      <x:c r="A21" s="18" t="n">
        <x:v>17</x:v>
      </x:c>
      <x:c r="B21" s="18" t="n">
        <x:v>21</x:v>
      </x:c>
      <x:c r="C21" s="4" t="str">
        <x:v>成本价卡</x:v>
      </x:c>
      <x:c r="D21" s="4" t="str">
        <x:v>成本价卡批量生成（计费要素模板五步）</x:v>
      </x:c>
      <x:c r="E21" s="4" t="str">
        <x:v>10/14 价格维护</x:v>
      </x:c>
      <x:c r="F21" s="4" t="str">
        <x:v>原型（待确认）</x:v>
      </x:c>
      <x:c r="G21" s="4" t="str">
        <x:v>人员04</x:v>
      </x:c>
      <x:c r="H21" s="4" t="str">
        <x:v>人员02</x:v>
      </x:c>
      <x:c r="I21" s="4" t="str">
        <x:v>人员01</x:v>
      </x:c>
      <x:c r="J21" s="4" t="str">
        <x:v>RV01、RV09、RV11、RV12</x:v>
      </x:c>
      <x:c r="K21" s="4" t="str">
        <x:v>FE01、FE02、FE03、FE04、FE05、FE06、FE07、FE08、FE09、FE26、FE27、FE28、FE29、FE30、FE31、FE32、FE33、FE41、FE46、FE47</x:v>
      </x:c>
      <x:c r="L21" s="4" t="str">
        <x:v>BP17</x:v>
      </x:c>
      <x:c r="M21" s="4" t="str">
        <x:v>W2-17-U / W2-17-D</x:v>
      </x:c>
      <x:c r="N21" s="4" t="str">
        <x:v>⚠ 入口或归属待确认，需产品定</x:v>
      </x:c>
    </x:row>
    <x:row r="22" ht="46" customHeight="1">
      <x:c r="A22" s="18" t="n">
        <x:v>18</x:v>
      </x:c>
      <x:c r="B22" s="18" t="n">
        <x:v>22</x:v>
      </x:c>
      <x:c r="C22" s="4" t="str">
        <x:v>成本价卡</x:v>
      </x:c>
      <x:c r="D22" s="4" t="str">
        <x:v>计费要素模板维护</x:v>
      </x:c>
      <x:c r="E22" s="4" t="str">
        <x:v>10/14 价格维护</x:v>
      </x:c>
      <x:c r="F22" s="4" t="str">
        <x:v>原型（待确认）</x:v>
      </x:c>
      <x:c r="G22" s="4" t="str">
        <x:v>人员04</x:v>
      </x:c>
      <x:c r="H22" s="4" t="str">
        <x:v>人员02</x:v>
      </x:c>
      <x:c r="I22" s="4" t="str">
        <x:v>人员01</x:v>
      </x:c>
      <x:c r="J22" s="4" t="str">
        <x:v>RV01、RV09、RV11、RV12</x:v>
      </x:c>
      <x:c r="K22" s="4" t="str">
        <x:v>FE01、FE02、FE03、FE04、FE05、FE06、FE07、FE08、FE09、FE26、FE27、FE28、FE29、FE30、FE31、FE32、FE33、FE41、FE46、FE47</x:v>
      </x:c>
      <x:c r="L22" s="4" t="str">
        <x:v>BP18</x:v>
      </x:c>
      <x:c r="M22" s="4" t="str">
        <x:v>W2-18-U / W2-18-D</x:v>
      </x:c>
      <x:c r="N22" s="4" t="str">
        <x:v>⚠ 入口或归属待确认，需产品定</x:v>
      </x:c>
    </x:row>
    <x:row r="23" ht="46" customHeight="1">
      <x:c r="A23" s="18" t="n">
        <x:v>19</x:v>
      </x:c>
      <x:c r="B23" s="18" t="n">
        <x:v>23</x:v>
      </x:c>
      <x:c r="C23" s="4" t="str">
        <x:v>成本价卡</x:v>
      </x:c>
      <x:c r="D23" s="4" t="str">
        <x:v>成本价卡导入（Excel / AI 文件导入四步）</x:v>
      </x:c>
      <x:c r="E23" s="4" t="str">
        <x:v>10/14 价格维护</x:v>
      </x:c>
      <x:c r="F23" s="4" t="str">
        <x:v>原型</x:v>
      </x:c>
      <x:c r="G23" s="4" t="str">
        <x:v>人员04</x:v>
      </x:c>
      <x:c r="H23" s="4" t="str">
        <x:v>人员02</x:v>
      </x:c>
      <x:c r="I23" s="4" t="str">
        <x:v>人员01</x:v>
      </x:c>
      <x:c r="J23" s="4" t="str">
        <x:v>RV01、RV09、RV11、RV12</x:v>
      </x:c>
      <x:c r="K23" s="4" t="str">
        <x:v>FE01、FE02、FE03、FE04、FE05、FE06、FE07、FE08、FE09、FE41、FE43、FE44、FE45、FE46、FE47</x:v>
      </x:c>
      <x:c r="L23" s="4" t="str">
        <x:v>BP19</x:v>
      </x:c>
      <x:c r="M23" s="4" t="str">
        <x:v>W2-19-U / W2-19-D</x:v>
      </x:c>
      <x:c r="N23" s="4" t="str">
        <x:v>按角色、入口、Build及本批采纳稿补齐执行条件</x:v>
      </x:c>
    </x:row>
    <x:row r="24" ht="46" customHeight="1">
      <x:c r="A24" s="18" t="n">
        <x:v>20</x:v>
      </x:c>
      <x:c r="B24" s="18" t="n">
        <x:v>24</x:v>
      </x:c>
      <x:c r="C24" s="4" t="str">
        <x:v>成本价卡</x:v>
      </x:c>
      <x:c r="D24" s="4" t="str">
        <x:v>成本价卡高级复制与覆盖</x:v>
      </x:c>
      <x:c r="E24" s="4" t="str">
        <x:v>10/14 价格维护</x:v>
      </x:c>
      <x:c r="F24" s="4" t="str">
        <x:v>原型（无入口）</x:v>
      </x:c>
      <x:c r="G24" s="4" t="str">
        <x:v>人员04</x:v>
      </x:c>
      <x:c r="H24" s="4" t="str">
        <x:v>人员02</x:v>
      </x:c>
      <x:c r="I24" s="4" t="str">
        <x:v>人员01</x:v>
      </x:c>
      <x:c r="J24" s="4" t="str">
        <x:v>RV01、RV09、RV11、RV12</x:v>
      </x:c>
      <x:c r="K24" s="4" t="str">
        <x:v>FE01、FE02、FE03、FE04、FE05、FE06、FE07、FE08、FE09、FE26、FE27、FE28、FE29、FE30、FE31、FE32、FE33、FE41、FE46、FE47</x:v>
      </x:c>
      <x:c r="L24" s="4" t="str">
        <x:v>BP20</x:v>
      </x:c>
      <x:c r="M24" s="4" t="str">
        <x:v>W2-20-U / W2-20-D</x:v>
      </x:c>
      <x:c r="N24" s="4" t="str">
        <x:v>⚠ 需补入口：「复制范围」在无入口的分区管理页；高级复制无页面入口</x:v>
      </x:c>
    </x:row>
    <x:row r="25" ht="46" customHeight="1">
      <x:c r="A25" s="18" t="n">
        <x:v>21</x:v>
      </x:c>
      <x:c r="B25" s="18" t="n">
        <x:v>25</x:v>
      </x:c>
      <x:c r="C25" s="4" t="str">
        <x:v>成本价卡</x:v>
      </x:c>
      <x:c r="D25" s="4" t="str">
        <x:v>成本价卡校验</x:v>
      </x:c>
      <x:c r="E25" s="4" t="str">
        <x:v>10/14 价格维护</x:v>
      </x:c>
      <x:c r="F25" s="4" t="str">
        <x:v>原型（无入口）</x:v>
      </x:c>
      <x:c r="G25" s="4" t="str">
        <x:v>人员04</x:v>
      </x:c>
      <x:c r="H25" s="4" t="str">
        <x:v>人员02</x:v>
      </x:c>
      <x:c r="I25" s="4" t="str">
        <x:v>人员01</x:v>
      </x:c>
      <x:c r="J25" s="4" t="str">
        <x:v>RV01、RV09、RV11、RV12</x:v>
      </x:c>
      <x:c r="K25" s="4" t="str">
        <x:v>FE01、FE02、FE03、FE04、FE05、FE06、FE07、FE08、FE09、FE41、FE46、FE47</x:v>
      </x:c>
      <x:c r="L25" s="4" t="str">
        <x:v>BP21</x:v>
      </x:c>
      <x:c r="M25" s="4" t="str">
        <x:v>W2-21-U / W2-21-D</x:v>
      </x:c>
      <x:c r="N25" s="4" t="str">
        <x:v>⚠ 需补入口：「校验」在无入口的分区管理页</x:v>
      </x:c>
    </x:row>
    <x:row r="26" ht="46" customHeight="1">
      <x:c r="A26" s="18" t="n">
        <x:v>22</x:v>
      </x:c>
      <x:c r="B26" s="18" t="n">
        <x:v>26</x:v>
      </x:c>
      <x:c r="C26" s="4" t="str">
        <x:v>地点与Zone（分区维护）</x:v>
      </x:c>
      <x:c r="D26" s="4" t="str">
        <x:v>地点与邮编页签</x:v>
      </x:c>
      <x:c r="E26" s="4" t="str">
        <x:v>10/14 价格维护</x:v>
      </x:c>
      <x:c r="F26" s="4" t="str">
        <x:v>PRD</x:v>
      </x:c>
      <x:c r="G26" s="4" t="str">
        <x:v>人员04</x:v>
      </x:c>
      <x:c r="H26" s="4" t="str">
        <x:v>人员02</x:v>
      </x:c>
      <x:c r="I26" s="4" t="str">
        <x:v>人员05</x:v>
      </x:c>
      <x:c r="J26" s="4" t="str">
        <x:v>RV01、RV10、RV11、RV12</x:v>
      </x:c>
      <x:c r="K26" s="4" t="str">
        <x:v>FE01、FE02、FE03、FE04、FE05、FE06、FE07、FE08、FE09、FE10、FE12、FE13、FE14、FE15、FE16、FE17、FE18、FE19、FE20、FE21、FE22、FE39、FE41、FE46、FE47</x:v>
      </x:c>
      <x:c r="L26" s="4" t="str">
        <x:v>BP22</x:v>
      </x:c>
      <x:c r="M26" s="4" t="str">
        <x:v>W2-22-U / W2-22-D</x:v>
      </x:c>
      <x:c r="N26" s="4" t="str">
        <x:v>按角色、入口、Build及本批采纳稿补齐执行条件</x:v>
      </x:c>
    </x:row>
    <x:row r="27" ht="46" customHeight="1">
      <x:c r="A27" s="18" t="n">
        <x:v>23</x:v>
      </x:c>
      <x:c r="B27" s="18" t="n">
        <x:v>27</x:v>
      </x:c>
      <x:c r="C27" s="4" t="str">
        <x:v>地点与Zone（分区维护）</x:v>
      </x:c>
      <x:c r="D27" s="4" t="str">
        <x:v>Zone 清单页签</x:v>
      </x:c>
      <x:c r="E27" s="4" t="str">
        <x:v>10/14 价格维护</x:v>
      </x:c>
      <x:c r="F27" s="4" t="str">
        <x:v>PRD</x:v>
      </x:c>
      <x:c r="G27" s="4" t="str">
        <x:v>人员04</x:v>
      </x:c>
      <x:c r="H27" s="4" t="str">
        <x:v>人员02</x:v>
      </x:c>
      <x:c r="I27" s="4" t="str">
        <x:v>人员05</x:v>
      </x:c>
      <x:c r="J27" s="4" t="str">
        <x:v>RV01、RV10、RV11、RV12</x:v>
      </x:c>
      <x:c r="K27" s="4" t="str">
        <x:v>FE01、FE02、FE03、FE04、FE05、FE06、FE07、FE08、FE09、FE10、FE12、FE13、FE14、FE15、FE16、FE17、FE18、FE19、FE20、FE21、FE22、FE34、FE35、FE39、FE41、FE46、FE47</x:v>
      </x:c>
      <x:c r="L27" s="4" t="str">
        <x:v>BP23</x:v>
      </x:c>
      <x:c r="M27" s="4" t="str">
        <x:v>W2-23-U / W2-23-D</x:v>
      </x:c>
      <x:c r="N27" s="4" t="str">
        <x:v>按角色、入口、Build及本批采纳稿补齐执行条件</x:v>
      </x:c>
    </x:row>
    <x:row r="28" ht="46" customHeight="1">
      <x:c r="A28" s="18" t="n">
        <x:v>24</x:v>
      </x:c>
      <x:c r="B28" s="18" t="n">
        <x:v>28</x:v>
      </x:c>
      <x:c r="C28" s="4" t="str">
        <x:v>地点与Zone（分区维护）</x:v>
      </x:c>
      <x:c r="D28" s="4" t="str">
        <x:v>导入地点与邮编（批量）</x:v>
      </x:c>
      <x:c r="E28" s="4" t="str">
        <x:v>10/14 价格维护</x:v>
      </x:c>
      <x:c r="F28" s="4" t="str">
        <x:v>PRD</x:v>
      </x:c>
      <x:c r="G28" s="4" t="str">
        <x:v>人员04</x:v>
      </x:c>
      <x:c r="H28" s="4" t="str">
        <x:v>人员02</x:v>
      </x:c>
      <x:c r="I28" s="4" t="str">
        <x:v>人员05</x:v>
      </x:c>
      <x:c r="J28" s="4" t="str">
        <x:v>RV01、RV09、RV11、RV12</x:v>
      </x:c>
      <x:c r="K28" s="4" t="str">
        <x:v>FE01、FE02、FE03、FE04、FE05、FE06、FE07、FE08、FE09、FE26、FE27、FE28、FE29、FE30、FE31、FE32、FE33、FE41、FE43、FE44、FE46、FE47</x:v>
      </x:c>
      <x:c r="L28" s="4" t="str">
        <x:v>BP24</x:v>
      </x:c>
      <x:c r="M28" s="4" t="str">
        <x:v>W2-24-U / W2-24-D</x:v>
      </x:c>
      <x:c r="N28" s="4" t="str">
        <x:v>按角色、入口、Build及本批采纳稿补齐执行条件</x:v>
      </x:c>
    </x:row>
    <x:row r="29" ht="46" customHeight="1">
      <x:c r="A29" s="18" t="n">
        <x:v>25</x:v>
      </x:c>
      <x:c r="B29" s="18" t="n">
        <x:v>29</x:v>
      </x:c>
      <x:c r="C29" s="4" t="str">
        <x:v>地点与Zone（分区维护）</x:v>
      </x:c>
      <x:c r="D29" s="4" t="str">
        <x:v>可复用邮编组</x:v>
      </x:c>
      <x:c r="E29" s="4" t="str">
        <x:v>10/14 价格维护</x:v>
      </x:c>
      <x:c r="F29" s="4" t="str">
        <x:v>原型</x:v>
      </x:c>
      <x:c r="G29" s="4" t="str">
        <x:v>人员04</x:v>
      </x:c>
      <x:c r="H29" s="4" t="str">
        <x:v>人员02</x:v>
      </x:c>
      <x:c r="I29" s="4" t="str">
        <x:v>人员05</x:v>
      </x:c>
      <x:c r="J29" s="4" t="str">
        <x:v>RV01、RV09、RV11、RV12</x:v>
      </x:c>
      <x:c r="K29" s="4" t="str">
        <x:v>FE01、FE02、FE03、FE04、FE05、FE06、FE07、FE08、FE09、FE26、FE27、FE28、FE29、FE30、FE31、FE32、FE33、FE39、FE41、FE46、FE47</x:v>
      </x:c>
      <x:c r="L29" s="4" t="str">
        <x:v>BP25</x:v>
      </x:c>
      <x:c r="M29" s="4" t="str">
        <x:v>W2-25-U / W2-25-D</x:v>
      </x:c>
      <x:c r="N29" s="4" t="str">
        <x:v>⚠ 需补入口：「邮编组」在无入口的分区管理页</x:v>
      </x:c>
    </x:row>
    <x:row r="30" ht="46" customHeight="1">
      <x:c r="A30" s="18" t="n">
        <x:v>26</x:v>
      </x:c>
      <x:c r="B30" s="18" t="n">
        <x:v>30</x:v>
      </x:c>
      <x:c r="C30" s="4" t="str">
        <x:v>燃油费规则</x:v>
      </x:c>
      <x:c r="D30" s="4" t="str">
        <x:v>燃油费规则列表</x:v>
      </x:c>
      <x:c r="E30" s="4" t="str">
        <x:v>10/14 价格维护</x:v>
      </x:c>
      <x:c r="F30" s="4" t="str">
        <x:v>PRD</x:v>
      </x:c>
      <x:c r="G30" s="4" t="str">
        <x:v>人员04</x:v>
      </x:c>
      <x:c r="H30" s="4" t="str">
        <x:v>人员02</x:v>
      </x:c>
      <x:c r="I30" s="4" t="str">
        <x:v>人员01</x:v>
      </x:c>
      <x:c r="J30" s="4" t="str">
        <x:v>RV01、RV11、RV12</x:v>
      </x:c>
      <x:c r="K30" s="4" t="str">
        <x:v>FE01、FE02、FE03、FE04、FE05、FE06、FE07、FE08、FE09、FE12、FE13、FE14、FE15、FE16、FE17、FE18、FE19、FE20、FE21、FE22、FE40、FE41、FE46、FE47</x:v>
      </x:c>
      <x:c r="L30" s="4" t="str">
        <x:v>BP26</x:v>
      </x:c>
      <x:c r="M30" s="4" t="str">
        <x:v>W2-26-U / W2-26-D</x:v>
      </x:c>
      <x:c r="N30" s="4" t="str">
        <x:v>按角色、入口、Build及本批采纳稿补齐执行条件</x:v>
      </x:c>
    </x:row>
    <x:row r="31" ht="46" customHeight="1">
      <x:c r="A31" s="18" t="n">
        <x:v>27</x:v>
      </x:c>
      <x:c r="B31" s="18" t="n">
        <x:v>31</x:v>
      </x:c>
      <x:c r="C31" s="4" t="str">
        <x:v>燃油费规则</x:v>
      </x:c>
      <x:c r="D31" s="4" t="str">
        <x:v>新增/编辑燃油费规则</x:v>
      </x:c>
      <x:c r="E31" s="4" t="str">
        <x:v>10/14 价格维护</x:v>
      </x:c>
      <x:c r="F31" s="4" t="str">
        <x:v>PRD</x:v>
      </x:c>
      <x:c r="G31" s="4" t="str">
        <x:v>人员04</x:v>
      </x:c>
      <x:c r="H31" s="4" t="str">
        <x:v>人员02</x:v>
      </x:c>
      <x:c r="I31" s="4" t="str">
        <x:v>人员01</x:v>
      </x:c>
      <x:c r="J31" s="4" t="str">
        <x:v>RV01、RV11、RV12</x:v>
      </x:c>
      <x:c r="K31" s="4" t="str">
        <x:v>FE01、FE02、FE03、FE04、FE05、FE06、FE07、FE08、FE09、FE26、FE27、FE28、FE29、FE30、FE31、FE32、FE33、FE40、FE41、FE46、FE47</x:v>
      </x:c>
      <x:c r="L31" s="4" t="str">
        <x:v>BP27</x:v>
      </x:c>
      <x:c r="M31" s="4" t="str">
        <x:v>W2-27-U / W2-27-D</x:v>
      </x:c>
      <x:c r="N31" s="4" t="str">
        <x:v>按角色、入口、Build及本批采纳稿补齐执行条件</x:v>
      </x:c>
    </x:row>
    <x:row r="32" ht="54" customHeight="1">
      <x:c r="A32" s="18" t="n">
        <x:v>28</x:v>
      </x:c>
      <x:c r="B32" s="18" t="n">
        <x:v>32</x:v>
      </x:c>
      <x:c r="C32" s="4" t="str">
        <x:v>分区管理</x:v>
      </x:c>
      <x:c r="D32" s="4" t="str">
        <x:v>分区维护（Zone / 分区类型）</x:v>
      </x:c>
      <x:c r="E32" s="4" t="str">
        <x:v>10/14 价格维护</x:v>
      </x:c>
      <x:c r="F32" s="4" t="str">
        <x:v>原型</x:v>
      </x:c>
      <x:c r="G32" s="4" t="str">
        <x:v>人员04</x:v>
      </x:c>
      <x:c r="H32" s="4" t="str">
        <x:v>人员03</x:v>
      </x:c>
      <x:c r="I32" s="4" t="str">
        <x:v>人员01</x:v>
      </x:c>
      <x:c r="J32" s="4" t="str">
        <x:v>RV01、RV09、RV10、RV11、RV12</x:v>
      </x:c>
      <x:c r="K32" s="4" t="str">
        <x:v>FE01、FE02、FE03、FE04、FE05、FE06、FE07、FE08、FE09、FE12、FE13、FE14、FE15、FE16、FE17、FE18、FE19、FE20、FE21、FE22、FE26、FE27、FE28、FE29、FE30、FE31、FE32、FE33、FE41、FE46、FE47</x:v>
      </x:c>
      <x:c r="L32" s="4" t="str">
        <x:v>BP28</x:v>
      </x:c>
      <x:c r="M32" s="4" t="str">
        <x:v>W2-28-U / W2-28-D</x:v>
      </x:c>
      <x:c r="N32" s="4" t="str">
        <x:v>⚠ 需补入口：独立页面无导航入口</x:v>
      </x:c>
    </x:row>
    <x:row r="33" ht="46" customHeight="1">
      <x:c r="A33" s="18" t="n">
        <x:v>29</x:v>
      </x:c>
      <x:c r="B33" s="18" t="n">
        <x:v>33</x:v>
      </x:c>
      <x:c r="C33" s="4" t="str">
        <x:v>分区管理</x:v>
      </x:c>
      <x:c r="D33" s="4" t="str">
        <x:v>分区价格表与价卡引用</x:v>
      </x:c>
      <x:c r="E33" s="4" t="str">
        <x:v>10/14 价格维护</x:v>
      </x:c>
      <x:c r="F33" s="4" t="str">
        <x:v>原型</x:v>
      </x:c>
      <x:c r="G33" s="4" t="str">
        <x:v>人员04</x:v>
      </x:c>
      <x:c r="H33" s="4" t="str">
        <x:v>人员03</x:v>
      </x:c>
      <x:c r="I33" s="4" t="str">
        <x:v>人员01</x:v>
      </x:c>
      <x:c r="J33" s="4" t="str">
        <x:v>RV01、RV09、RV11、RV12</x:v>
      </x:c>
      <x:c r="K33" s="4" t="str">
        <x:v>FE01、FE02、FE03、FE04、FE05、FE06、FE07、FE08、FE09、FE12、FE13、FE14、FE15、FE16、FE17、FE18、FE19、FE20、FE21、FE22、FE41、FE46、FE47</x:v>
      </x:c>
      <x:c r="L33" s="4" t="str">
        <x:v>BP29</x:v>
      </x:c>
      <x:c r="M33" s="4" t="str">
        <x:v>W2-29-U / W2-29-D</x:v>
      </x:c>
      <x:c r="N33" s="4" t="str">
        <x:v>⚠ 需补入口：在无入口的分区管理页内</x:v>
      </x:c>
    </x:row>
    <x:row r="34" ht="54" customHeight="1">
      <x:c r="A34" s="18" t="n">
        <x:v>50</x:v>
      </x:c>
      <x:c r="B34" s="18" t="n">
        <x:v>54</x:v>
      </x:c>
      <x:c r="C34" s="4" t="str">
        <x:v>产品管理参数配置</x:v>
      </x:c>
      <x:c r="D34" s="4" t="str">
        <x:v>费用项</x:v>
      </x:c>
      <x:c r="E34" s="4" t="str">
        <x:v>10/13 基础配置</x:v>
      </x:c>
      <x:c r="F34" s="4" t="str">
        <x:v>PRD</x:v>
      </x:c>
      <x:c r="G34" s="4" t="str">
        <x:v>人员04</x:v>
      </x:c>
      <x:c r="H34" s="4" t="str">
        <x:v>人员02</x:v>
      </x:c>
      <x:c r="I34" s="4" t="str">
        <x:v>人员01</x:v>
      </x:c>
      <x:c r="J34" s="4" t="str">
        <x:v>RV01、RV06、RV08、RV11、RV12</x:v>
      </x:c>
      <x:c r="K34" s="4" t="str">
        <x:v>FE01、FE02、FE03、FE04、FE05、FE06、FE07、FE08、FE09、FE10、FE11、FE12、FE13、FE14、FE15、FE16、FE17、FE18、FE19、FE20、FE21、FE22、FE26、FE27、FE28、FE29、FE30、FE31、FE32、FE33、FE38、FE41、FE46、FE47</x:v>
      </x:c>
      <x:c r="L34" s="4" t="str">
        <x:v>BP50</x:v>
      </x:c>
      <x:c r="M34" s="4" t="str">
        <x:v>W2-50-U / W2-50-D</x:v>
      </x:c>
      <x:c r="N34" s="4" t="str">
        <x:v>按角色、入口、Build及本批采纳稿补齐执行条件</x:v>
      </x:c>
    </x:row>
    <x:row r="35" ht="54" customHeight="1">
      <x:c r="A35" s="18" t="n">
        <x:v>51</x:v>
      </x:c>
      <x:c r="B35" s="18" t="n">
        <x:v>55</x:v>
      </x:c>
      <x:c r="C35" s="4" t="str">
        <x:v>产品管理参数配置</x:v>
      </x:c>
      <x:c r="D35" s="4" t="str">
        <x:v>币种与汇率</x:v>
      </x:c>
      <x:c r="E35" s="4" t="str">
        <x:v>10/13 基础配置</x:v>
      </x:c>
      <x:c r="F35" s="4" t="str">
        <x:v>PRD</x:v>
      </x:c>
      <x:c r="G35" s="4" t="str">
        <x:v>人员04</x:v>
      </x:c>
      <x:c r="H35" s="4" t="str">
        <x:v>人员02</x:v>
      </x:c>
      <x:c r="I35" s="4" t="str">
        <x:v>人员01</x:v>
      </x:c>
      <x:c r="J35" s="4" t="str">
        <x:v>RV01、RV11、RV12</x:v>
      </x:c>
      <x:c r="K35" s="4" t="str">
        <x:v>FE01、FE02、FE03、FE04、FE05、FE06、FE07、FE08、FE09、FE10、FE11、FE12、FE13、FE14、FE15、FE16、FE17、FE18、FE19、FE20、FE21、FE22、FE26、FE27、FE28、FE29、FE30、FE31、FE32、FE33、FE40、FE41、FE46、FE47</x:v>
      </x:c>
      <x:c r="L35" s="4" t="str">
        <x:v>BP51</x:v>
      </x:c>
      <x:c r="M35" s="4" t="str">
        <x:v>W2-51-U / W2-51-D</x:v>
      </x:c>
      <x:c r="N35" s="4" t="str">
        <x:v>按角色、入口、Build及本批采纳稿补齐执行条件</x:v>
      </x:c>
    </x:row>
    <x:row r="36" ht="54" customHeight="1">
      <x:c r="A36" s="18" t="n">
        <x:v>52</x:v>
      </x:c>
      <x:c r="B36" s="18" t="n">
        <x:v>56</x:v>
      </x:c>
      <x:c r="C36" s="4" t="str">
        <x:v>产品管理参数配置</x:v>
      </x:c>
      <x:c r="D36" s="4" t="str">
        <x:v>服务段</x:v>
      </x:c>
      <x:c r="E36" s="4" t="str">
        <x:v>10/15 配置与日志</x:v>
      </x:c>
      <x:c r="F36" s="4" t="str">
        <x:v>PRD</x:v>
      </x:c>
      <x:c r="G36" s="4" t="str">
        <x:v>人员04</x:v>
      </x:c>
      <x:c r="H36" s="4" t="str">
        <x:v>人员02</x:v>
      </x:c>
      <x:c r="I36" s="4" t="str">
        <x:v>人员01</x:v>
      </x:c>
      <x:c r="J36" s="4" t="str">
        <x:v>RV01、RV11、RV12</x:v>
      </x:c>
      <x:c r="K36" s="4" t="str">
        <x:v>FE01、FE02、FE03、FE04、FE05、FE06、FE07、FE08、FE09、FE12、FE13、FE14、FE15、FE16、FE17、FE18、FE19、FE20、FE21、FE22、FE26、FE27、FE28、FE29、FE30、FE31、FE32、FE33、FE38、FE41、FE46、FE47</x:v>
      </x:c>
      <x:c r="L36" s="4" t="str">
        <x:v>BP52</x:v>
      </x:c>
      <x:c r="M36" s="4" t="str">
        <x:v>W2-52-U / W2-52-D</x:v>
      </x:c>
      <x:c r="N36" s="4" t="str">
        <x:v>按角色、入口、Build及本批采纳稿补齐执行条件</x:v>
      </x:c>
    </x:row>
    <x:row r="37" ht="54" customHeight="1">
      <x:c r="A37" s="18" t="n">
        <x:v>53</x:v>
      </x:c>
      <x:c r="B37" s="18" t="n">
        <x:v>57</x:v>
      </x:c>
      <x:c r="C37" s="4" t="str">
        <x:v>产品管理参数配置</x:v>
      </x:c>
      <x:c r="D37" s="4" t="str">
        <x:v>计费要素</x:v>
      </x:c>
      <x:c r="E37" s="4" t="str">
        <x:v>10/15 配置与日志</x:v>
      </x:c>
      <x:c r="F37" s="4" t="str">
        <x:v>PRD</x:v>
      </x:c>
      <x:c r="G37" s="4" t="str">
        <x:v>人员04</x:v>
      </x:c>
      <x:c r="H37" s="4" t="str">
        <x:v>人员02</x:v>
      </x:c>
      <x:c r="I37" s="4" t="str">
        <x:v>人员01</x:v>
      </x:c>
      <x:c r="J37" s="4" t="str">
        <x:v>RV01、RV11、RV12</x:v>
      </x:c>
      <x:c r="K37" s="4" t="str">
        <x:v>FE01、FE02、FE03、FE04、FE05、FE06、FE07、FE08、FE09、FE12、FE13、FE14、FE15、FE16、FE17、FE18、FE19、FE20、FE21、FE22、FE26、FE27、FE28、FE29、FE30、FE31、FE32、FE33、FE38、FE41、FE46、FE47</x:v>
      </x:c>
      <x:c r="L37" s="4" t="str">
        <x:v>BP53</x:v>
      </x:c>
      <x:c r="M37" s="4" t="str">
        <x:v>W2-53-U / W2-53-D</x:v>
      </x:c>
      <x:c r="N37" s="4" t="str">
        <x:v>按角色、入口、Build及本批采纳稿补齐执行条件</x:v>
      </x:c>
    </x:row>
    <x:row r="38" ht="54" customHeight="1">
      <x:c r="A38" s="18" t="n">
        <x:v>54</x:v>
      </x:c>
      <x:c r="B38" s="18" t="n">
        <x:v>58</x:v>
      </x:c>
      <x:c r="C38" s="4" t="str">
        <x:v>产品管理参数配置</x:v>
      </x:c>
      <x:c r="D38" s="4" t="str">
        <x:v>计费方式</x:v>
      </x:c>
      <x:c r="E38" s="4" t="str">
        <x:v>10/15 配置与日志</x:v>
      </x:c>
      <x:c r="F38" s="4" t="str">
        <x:v>PRD</x:v>
      </x:c>
      <x:c r="G38" s="4" t="str">
        <x:v>人员04</x:v>
      </x:c>
      <x:c r="H38" s="4" t="str">
        <x:v>人员02</x:v>
      </x:c>
      <x:c r="I38" s="4" t="str">
        <x:v>人员01</x:v>
      </x:c>
      <x:c r="J38" s="4" t="str">
        <x:v>RV01、RV07、RV10、RV11、RV12</x:v>
      </x:c>
      <x:c r="K38" s="4" t="str">
        <x:v>FE01、FE02、FE03、FE04、FE05、FE06、FE07、FE08、FE09、FE12、FE13、FE14、FE15、FE16、FE17、FE18、FE19、FE20、FE21、FE22、FE26、FE27、FE28、FE29、FE30、FE31、FE32、FE33、FE41、FE46、FE47</x:v>
      </x:c>
      <x:c r="L38" s="4" t="str">
        <x:v>BP54</x:v>
      </x:c>
      <x:c r="M38" s="4" t="str">
        <x:v>W2-54-U / W2-54-D</x:v>
      </x:c>
      <x:c r="N38" s="4" t="str">
        <x:v>按角色、入口、Build及本批采纳稿补齐执行条件</x:v>
      </x:c>
    </x:row>
    <x:row r="39" ht="54" customHeight="1">
      <x:c r="A39" s="18" t="n">
        <x:v>55</x:v>
      </x:c>
      <x:c r="B39" s="18" t="n">
        <x:v>59</x:v>
      </x:c>
      <x:c r="C39" s="4" t="str">
        <x:v>产品管理参数配置</x:v>
      </x:c>
      <x:c r="D39" s="4" t="str">
        <x:v>下单限制</x:v>
      </x:c>
      <x:c r="E39" s="4" t="str">
        <x:v>10/15 配置与日志</x:v>
      </x:c>
      <x:c r="F39" s="4" t="str">
        <x:v>PRD</x:v>
      </x:c>
      <x:c r="G39" s="4" t="str">
        <x:v>人员04</x:v>
      </x:c>
      <x:c r="H39" s="4" t="str">
        <x:v>人员02</x:v>
      </x:c>
      <x:c r="I39" s="4" t="str">
        <x:v>人员05</x:v>
      </x:c>
      <x:c r="J39" s="4" t="str">
        <x:v>RV01、RV11、RV12</x:v>
      </x:c>
      <x:c r="K39" s="4" t="str">
        <x:v>FE01、FE02、FE03、FE04、FE05、FE06、FE07、FE08、FE09、FE12、FE13、FE14、FE15、FE16、FE17、FE18、FE19、FE20、FE21、FE22、FE26、FE27、FE28、FE29、FE30、FE31、FE32、FE33、FE38、FE39、FE41、FE46、FE47</x:v>
      </x:c>
      <x:c r="L39" s="4" t="str">
        <x:v>BP55</x:v>
      </x:c>
      <x:c r="M39" s="4" t="str">
        <x:v>W2-55-U / W2-55-D</x:v>
      </x:c>
      <x:c r="N39" s="4" t="str">
        <x:v>按角色、入口、Build及本批采纳稿补齐执行条件</x:v>
      </x:c>
    </x:row>
    <x:row r="40" ht="54" customHeight="1">
      <x:c r="A40" s="18" t="n">
        <x:v>56</x:v>
      </x:c>
      <x:c r="B40" s="18" t="n">
        <x:v>60</x:v>
      </x:c>
      <x:c r="C40" s="4" t="str">
        <x:v>产品管理参数配置</x:v>
      </x:c>
      <x:c r="D40" s="4" t="str">
        <x:v>业务字典</x:v>
      </x:c>
      <x:c r="E40" s="4" t="str">
        <x:v>10/13 基础配置</x:v>
      </x:c>
      <x:c r="F40" s="4" t="str">
        <x:v>原型</x:v>
      </x:c>
      <x:c r="G40" s="4" t="str">
        <x:v>人员04</x:v>
      </x:c>
      <x:c r="H40" s="4" t="str">
        <x:v>人员02</x:v>
      </x:c>
      <x:c r="I40" s="4" t="str">
        <x:v>人员05</x:v>
      </x:c>
      <x:c r="J40" s="4" t="str">
        <x:v>RV01、RV06、RV11、RV12</x:v>
      </x:c>
      <x:c r="K40" s="4" t="str">
        <x:v>FE01、FE02、FE03、FE04、FE05、FE06、FE07、FE08、FE09、FE10、FE11、FE12、FE13、FE14、FE15、FE16、FE17、FE18、FE19、FE20、FE21、FE22、FE26、FE27、FE28、FE29、FE30、FE31、FE32、FE33、FE38、FE41、FE46、FE47</x:v>
      </x:c>
      <x:c r="L40" s="4" t="str">
        <x:v>BP56</x:v>
      </x:c>
      <x:c r="M40" s="4" t="str">
        <x:v>W2-56-U / W2-56-D</x:v>
      </x:c>
      <x:c r="N40" s="4" t="str">
        <x:v>按角色、入口、Build及本批采纳稿补齐执行条件</x:v>
      </x:c>
    </x:row>
    <x:row r="41" ht="54" customHeight="1">
      <x:c r="A41" s="18" t="n">
        <x:v>57</x:v>
      </x:c>
      <x:c r="B41" s="18" t="n">
        <x:v>61</x:v>
      </x:c>
      <x:c r="C41" s="4" t="str">
        <x:v>产品管理参数配置</x:v>
      </x:c>
      <x:c r="D41" s="4" t="str">
        <x:v>可接货型</x:v>
      </x:c>
      <x:c r="E41" s="4" t="str">
        <x:v>10/15 配置与日志</x:v>
      </x:c>
      <x:c r="F41" s="4" t="str">
        <x:v>原型</x:v>
      </x:c>
      <x:c r="G41" s="4" t="str">
        <x:v>人员04</x:v>
      </x:c>
      <x:c r="H41" s="4" t="str">
        <x:v>人员02</x:v>
      </x:c>
      <x:c r="I41" s="4" t="str">
        <x:v>人员05</x:v>
      </x:c>
      <x:c r="J41" s="4" t="str">
        <x:v>RV01、RV06、RV10、RV11、RV12</x:v>
      </x:c>
      <x:c r="K41" s="4" t="str">
        <x:v>FE01、FE02、FE03、FE04、FE05、FE06、FE07、FE08、FE09、FE12、FE13、FE14、FE15、FE16、FE17、FE18、FE19、FE20、FE21、FE22、FE26、FE27、FE28、FE29、FE30、FE31、FE32、FE33、FE38、FE39、FE41、FE46、FE47</x:v>
      </x:c>
      <x:c r="L41" s="4" t="str">
        <x:v>BP57</x:v>
      </x:c>
      <x:c r="M41" s="4" t="str">
        <x:v>W2-57-U / W2-57-D</x:v>
      </x:c>
      <x:c r="N41" s="4" t="str">
        <x:v>按角色、入口、Build及本批采纳稿补齐执行条件</x:v>
      </x:c>
    </x:row>
    <x:row r="42" ht="54" customHeight="1">
      <x:c r="A42" s="18" t="n">
        <x:v>58</x:v>
      </x:c>
      <x:c r="B42" s="18" t="n">
        <x:v>62</x:v>
      </x:c>
      <x:c r="C42" s="4" t="str">
        <x:v>产品管理参数配置</x:v>
      </x:c>
      <x:c r="D42" s="4" t="str">
        <x:v>财务配置</x:v>
      </x:c>
      <x:c r="E42" s="4" t="str">
        <x:v>10/15 配置与日志</x:v>
      </x:c>
      <x:c r="F42" s="4" t="str">
        <x:v>原型</x:v>
      </x:c>
      <x:c r="G42" s="4" t="str">
        <x:v>人员04</x:v>
      </x:c>
      <x:c r="H42" s="4" t="str">
        <x:v>人员02</x:v>
      </x:c>
      <x:c r="I42" s="4" t="str">
        <x:v>人员05</x:v>
      </x:c>
      <x:c r="J42" s="4" t="str">
        <x:v>RV01、RV08、RV09、RV11、RV12</x:v>
      </x:c>
      <x:c r="K42" s="4" t="str">
        <x:v>FE01、FE02、FE03、FE04、FE05、FE06、FE07、FE08、FE09、FE12、FE13、FE14、FE15、FE16、FE17、FE18、FE19、FE20、FE21、FE22、FE26、FE27、FE28、FE29、FE30、FE31、FE32、FE33、FE41、FE46、FE47</x:v>
      </x:c>
      <x:c r="L42" s="4" t="str">
        <x:v>BP58</x:v>
      </x:c>
      <x:c r="M42" s="4" t="str">
        <x:v>W2-58-U / W2-58-D</x:v>
      </x:c>
      <x:c r="N42" s="4" t="str">
        <x:v>按角色、入口、Build及本批采纳稿补齐执行条件</x:v>
      </x:c>
    </x:row>
    <x:row r="43" ht="46" customHeight="1">
      <x:c r="A43" s="18" t="n">
        <x:v>65</x:v>
      </x:c>
      <x:c r="B43" s="18" t="n">
        <x:v>69</x:v>
      </x:c>
      <x:c r="C43" s="4" t="str">
        <x:v>操作日志</x:v>
      </x:c>
      <x:c r="D43" s="4" t="str">
        <x:v>操作日志</x:v>
      </x:c>
      <x:c r="E43" s="4" t="str">
        <x:v>10/15 配置与日志</x:v>
      </x:c>
      <x:c r="F43" s="4" t="str">
        <x:v>原型</x:v>
      </x:c>
      <x:c r="G43" s="4" t="str">
        <x:v>人员04</x:v>
      </x:c>
      <x:c r="H43" s="4" t="str">
        <x:v>人员03</x:v>
      </x:c>
      <x:c r="I43" s="4" t="str">
        <x:v>待认领</x:v>
      </x:c>
      <x:c r="J43" s="4" t="str">
        <x:v>RV01、RV09、RV11、RV12</x:v>
      </x:c>
      <x:c r="K43" s="4" t="str">
        <x:v>FE01、FE02、FE03、FE04、FE05、FE06、FE07、FE08、FE09、FE12、FE13、FE14、FE15、FE16、FE17、FE18、FE19、FE20、FE21、FE22、FE41、FE46、FE47</x:v>
      </x:c>
      <x:c r="L43" s="4" t="str">
        <x:v>BP65</x:v>
      </x:c>
      <x:c r="M43" s="4" t="str">
        <x:v>W2-65-U / W2-65-D</x:v>
      </x:c>
      <x:c r="N43" s="4" t="str">
        <x:v>按角色、入口、Build及本批采纳稿补齐执行条件</x:v>
      </x:c>
    </x:row>
  </x:sheetData>
  <x:pageMargins left="0.7" right="0.7" top="0.75" bottom="0.75" header="0.3" footer="0.3"/>
  <x:tableParts count="1">
    <x:tablePart xmlns:r="http://schemas.openxmlformats.org/officeDocument/2006/relationships" r:id="R0efdc5f5e86c4fe2"/>
  </x:tableParts>
</x:worksheet>
</file>