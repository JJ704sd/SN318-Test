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729b119f5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批提测" sheetId="1" r:id="R7dec7d2f87844e68"/>
    <x:sheet xmlns:r="http://schemas.openxmlformats.org/officeDocument/2006/relationships" name="冒烟用例" sheetId="2" r:id="R399b5b90ef804017"/>
    <x:sheet xmlns:r="http://schemas.openxmlformats.org/officeDocument/2006/relationships" name="UI检查" sheetId="3" r:id="Rd4481d7d0f234492"/>
    <x:sheet xmlns:r="http://schemas.openxmlformats.org/officeDocument/2006/relationships" name="需求对照" sheetId="4" r:id="R915f391df2e243e8"/>
    <x:sheet xmlns:r="http://schemas.openxmlformats.org/officeDocument/2006/relationships" name="网站详情对照" sheetId="5" r:id="R1444125f688346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25">
    <x:font>
      <x:sz val="11"/>
      <x:name val="Carlito"/>
    </x:font>
    <x:font>
      <x:sz val="10"/>
      <x:color rgb="FF25324A"/>
      <x:name val="Arial"/>
    </x:font>
    <x:font>
      <x:b/>
      <x:sz val="15"/>
      <x:color rgb="FF213B62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64748B"/>
      <x:name val="Arial"/>
    </x:font>
    <x:font>
      <x:b/>
      <x:sz val="10"/>
      <x:color rgb="FF213B62"/>
      <x:name val="Arial"/>
    </x:font>
    <x:font>
      <x:b/>
      <x:sz val="11"/>
      <x:color rgb="FF213B62"/>
      <x:name val="Arial"/>
    </x:font>
    <x:font>
      <x:b/>
      <x:sz val="10"/>
      <x:color rgb="FF25324A"/>
      <x:name val="Arial"/>
    </x:font>
    <x:font>
      <x:i/>
      <x:sz val="10"/>
      <x:color rgb="FF25324A"/>
      <x:name val="Arial"/>
    </x:font>
    <x:font>
      <x:sz val="9"/>
      <x:color rgb="FF64748B"/>
      <x:name val="Arial"/>
    </x:font>
    <x:font>
      <x:b/>
      <x:sz val="12"/>
      <x:color rgb="FFFFFFFF"/>
      <x:name val="Arial"/>
    </x:font>
    <x:font>
      <x:b/>
      <x:sz val="12"/>
      <x:color rgb="FF213B62"/>
      <x:name val="Arial"/>
    </x:font>
    <x:font>
      <x:b/>
      <x:sz val="16"/>
      <x:color rgb="FF213B62"/>
      <x:name val="Arial"/>
    </x:font>
    <x:font>
      <x:b/>
      <x:sz val="15"/>
      <x:color rgb="FFFFFFFF"/>
      <x:name val="Arial"/>
    </x:font>
    <x:font>
      <x:sz val="10"/>
      <x:color rgb="FF991B1B"/>
      <x:name val="Arial"/>
    </x:font>
    <x:font>
      <x:sz val="10"/>
      <x:color rgb="FF166534"/>
      <x:name val="Arial"/>
    </x:font>
    <x:font>
      <x:sz val="10"/>
      <x:color rgb="FF854D0E"/>
      <x:name val="Arial"/>
    </x:font>
    <x:font>
      <x:sz val="10"/>
      <x:color rgb="FF075985"/>
      <x:name val="Arial"/>
    </x:font>
    <x:font>
      <x:b/>
      <x:sz val="10"/>
      <x:color rgb="FF991B1B"/>
      <x:name val="Arial"/>
    </x:font>
    <x:font>
      <x:b/>
      <x:sz val="10"/>
      <x:color rgb="FF374151"/>
      <x:name val="Arial"/>
    </x:font>
    <x:font>
      <x:b/>
      <x:sz val="10"/>
      <x:color rgb="FF075985"/>
      <x:name val="Arial"/>
    </x:font>
    <x:font>
      <x:b/>
      <x:sz val="10"/>
      <x:color rgb="FF854D0E"/>
      <x:name val="Arial"/>
    </x:font>
    <x:font>
      <x:b/>
      <x:sz val="10"/>
      <x:color rgb="FF166534"/>
      <x:name val="Arial"/>
    </x:font>
    <x:font>
      <x:sz val="10"/>
      <x:color rgb="FF374151"/>
      <x:name val="Arial"/>
    </x:font>
  </x:fonts>
  <x:fills count="48">
    <x:fill>
      <x:patternFill patternType="none"/>
    </x:fill>
    <x:fill>
      <x:patternFill patternType="gray125"/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DE7E9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0F2FE"/>
      </x:patternFill>
    </x:fill>
    <x:fill>
      <x:patternFill patternType="solid">
        <x:fgColor rgb="FFFFF4D6"/>
      </x:patternFill>
    </x:fill>
    <x:fill>
      <x:patternFill patternType="solid">
        <x:fgColor rgb="FFF3F4F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horizontal="center" vertical="center"/>
    </x:xf>
    <x:xf numFmtId="200" fontId="1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8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11" fillId="23" borderId="0" xfId="0" applyNumberFormat="1" applyFont="1" applyFill="1" applyBorder="1" applyAlignment="1">
      <x:alignment vertical="center" wrapText="1"/>
    </x:xf>
    <x:xf numFmtId="0" fontId="6" fillId="24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vertical="center" wrapText="1"/>
    </x:xf>
    <x:xf numFmtId="0" fontId="11" fillId="26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" fillId="29" borderId="0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horizontal="center" vertical="center" wrapText="1"/>
    </x:xf>
    <x:xf numFmtId="0" fontId="4" fillId="30" borderId="0" xfId="0" applyNumberFormat="1" applyFont="1" applyFill="1" applyBorder="1" applyAlignment="1">
      <x:alignment horizontal="center" vertical="center" wrapText="1"/>
    </x:xf>
    <x:xf numFmtId="0" fontId="8" fillId="30" borderId="0" xfId="0" applyNumberFormat="1" applyFont="1" applyFill="1" applyBorder="1" applyAlignment="1">
      <x:alignment vertical="center" wrapText="1"/>
    </x:xf>
    <x:xf numFmtId="0" fontId="11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6" fillId="32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8" fillId="3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4" fillId="30" borderId="0" xfId="0" applyNumberFormat="1" applyFont="1" applyFill="1" applyBorder="1" applyAlignment="1">
      <x:alignment vertical="center" wrapText="1"/>
    </x:xf>
    <x:xf numFmtId="0" fontId="4" fillId="33" borderId="0" xfId="0" applyNumberFormat="1" applyFont="1" applyFill="1" applyBorder="1" applyAlignment="1">
      <x:alignment horizontal="center" vertical="center" wrapText="1"/>
    </x:xf>
    <x:xf numFmtId="0" fontId="8" fillId="33" borderId="0" xfId="0" applyNumberFormat="1" applyFont="1" applyFill="1" applyBorder="1" applyAlignment="1">
      <x:alignment vertical="center" wrapText="1"/>
    </x:xf>
    <x:xf numFmtId="0" fontId="11" fillId="33" borderId="0" xfId="0" applyNumberFormat="1" applyFont="1" applyFill="1" applyBorder="1" applyAlignment="1">
      <x:alignment vertical="center" wrapText="1"/>
    </x:xf>
    <x:xf numFmtId="0" fontId="6" fillId="34" borderId="0" xfId="0" applyNumberFormat="1" applyFont="1" applyFill="1" applyBorder="1" applyAlignment="1">
      <x:alignment vertical="center" wrapText="1"/>
    </x:xf>
    <x:xf numFmtId="0" fontId="1" fillId="34" borderId="0" xfId="0" applyNumberFormat="1" applyFont="1" applyFill="1" applyBorder="1" applyAlignment="1">
      <x:alignment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8" fillId="33" borderId="0" xfId="0" applyNumberFormat="1" applyFont="1" applyFill="1" applyBorder="1" applyAlignment="1">
      <x:alignment horizontal="center" vertical="center" wrapText="1"/>
    </x:xf>
    <x:xf numFmtId="0" fontId="4" fillId="33" borderId="0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horizontal="center"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1" fillId="36" borderId="0" xfId="0" applyNumberFormat="1" applyFont="1" applyFill="1" applyBorder="1" applyAlignment="1">
      <x:alignment vertical="center" wrapText="1"/>
    </x:xf>
    <x:xf numFmtId="0" fontId="1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1" fillId="39" borderId="0" xfId="0" applyNumberFormat="1" applyFont="1" applyFill="1" applyBorder="1" applyAlignment="1">
      <x:alignment vertical="center" wrapText="1"/>
    </x:xf>
    <x:xf numFmtId="0" fontId="14" fillId="39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9" borderId="0" xfId="0" applyNumberFormat="1" applyFont="1" applyFill="1" applyBorder="1" applyAlignment="1">
      <x:alignment vertical="center" wrapText="1"/>
    </x:xf>
    <x:xf numFmtId="0" fontId="1" fillId="40" borderId="0" xfId="0" applyNumberFormat="1" applyFont="1" applyFill="1" applyBorder="1" applyAlignment="1">
      <x:alignment vertical="center" wrapText="1"/>
    </x:xf>
    <x:xf numFmtId="0" fontId="1" fillId="41" borderId="0" xfId="0" applyNumberFormat="1" applyFont="1" applyFill="1" applyBorder="1" applyAlignment="1">
      <x:alignment vertical="center" wrapText="1"/>
    </x:xf>
    <x:xf numFmtId="0" fontId="4" fillId="41" borderId="0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/>
    <x:xf numFmtId="0" fontId="15" fillId="42" borderId="0" xfId="0" applyNumberFormat="1" applyFont="1" applyFill="1" applyBorder="1"/>
    <x:xf numFmtId="0" fontId="0" fillId="43" borderId="0" xfId="0" applyNumberFormat="1" applyFont="1" applyFill="1" applyBorder="1"/>
    <x:xf numFmtId="0" fontId="16" fillId="43" borderId="0" xfId="0" applyNumberFormat="1" applyFont="1" applyFill="1" applyBorder="1"/>
    <x:xf numFmtId="0" fontId="0" fillId="44" borderId="0" xfId="0" applyNumberFormat="1" applyFont="1" applyFill="1" applyBorder="1"/>
    <x:xf numFmtId="0" fontId="17" fillId="44" borderId="0" xfId="0" applyNumberFormat="1" applyFont="1" applyFill="1" applyBorder="1"/>
    <x:xf numFmtId="0" fontId="0" fillId="45" borderId="0" xfId="0" applyNumberFormat="1" applyFont="1" applyFill="1" applyBorder="1"/>
    <x:xf numFmtId="0" fontId="18" fillId="4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5" fillId="42" borderId="0" xfId="0" applyNumberFormat="1" applyFont="1" applyFill="1" applyBorder="1" applyAlignment="1">
      <x:alignment wrapText="1"/>
    </x:xf>
    <x:xf numFmtId="0" fontId="16" fillId="43" borderId="0" xfId="0" applyNumberFormat="1" applyFont="1" applyFill="1" applyBorder="1" applyAlignment="1">
      <x:alignment wrapText="1"/>
    </x:xf>
    <x:xf numFmtId="0" fontId="17" fillId="44" borderId="0" xfId="0" applyNumberFormat="1" applyFont="1" applyFill="1" applyBorder="1" applyAlignment="1">
      <x:alignment wrapText="1"/>
    </x:xf>
    <x:xf numFmtId="0" fontId="18" fillId="4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5" fillId="42" borderId="0" xfId="0" applyNumberFormat="1" applyFont="1" applyFill="1" applyBorder="1" applyAlignment="1">
      <x:alignment vertical="center" wrapText="1"/>
    </x:xf>
    <x:xf numFmtId="0" fontId="16" fillId="43" borderId="0" xfId="0" applyNumberFormat="1" applyFont="1" applyFill="1" applyBorder="1" applyAlignment="1">
      <x:alignment vertical="center" wrapText="1"/>
    </x:xf>
    <x:xf numFmtId="0" fontId="17" fillId="44" borderId="0" xfId="0" applyNumberFormat="1" applyFont="1" applyFill="1" applyBorder="1" applyAlignment="1">
      <x:alignment vertical="center" wrapText="1"/>
    </x:xf>
    <x:xf numFmtId="0" fontId="18" fillId="45" borderId="0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 applyAlignment="1">
      <x:alignment vertical="center" wrapText="1"/>
    </x:xf>
    <x:xf numFmtId="0" fontId="1" fillId="46" borderId="0" xfId="0" applyNumberFormat="1" applyFont="1" applyFill="1" applyBorder="1" applyAlignment="1">
      <x:alignment vertical="center" wrapText="1"/>
    </x:xf>
    <x:xf numFmtId="0" fontId="19" fillId="42" borderId="0" xfId="0" applyNumberFormat="1" applyFont="1" applyFill="1" applyBorder="1"/>
    <x:xf numFmtId="0" fontId="0" fillId="47" borderId="0" xfId="0" applyNumberFormat="1" applyFont="1" applyFill="1" applyBorder="1"/>
    <x:xf numFmtId="0" fontId="20" fillId="47" borderId="0" xfId="0" applyNumberFormat="1" applyFont="1" applyFill="1" applyBorder="1"/>
    <x:xf numFmtId="0" fontId="21" fillId="45" borderId="0" xfId="0" applyNumberFormat="1" applyFont="1" applyFill="1" applyBorder="1"/>
    <x:xf numFmtId="0" fontId="22" fillId="44" borderId="0" xfId="0" applyNumberFormat="1" applyFont="1" applyFill="1" applyBorder="1"/>
    <x:xf numFmtId="0" fontId="23" fillId="43" borderId="0" xfId="0" applyNumberFormat="1" applyFont="1" applyFill="1" applyBorder="1"/>
    <x:xf numFmtId="0" fontId="19" fillId="42" borderId="0" xfId="0" applyNumberFormat="1" applyFont="1" applyFill="1" applyBorder="1" applyAlignment="1">
      <x:alignment wrapText="1"/>
    </x:xf>
    <x:xf numFmtId="0" fontId="20" fillId="47" borderId="0" xfId="0" applyNumberFormat="1" applyFont="1" applyFill="1" applyBorder="1" applyAlignment="1">
      <x:alignment wrapText="1"/>
    </x:xf>
    <x:xf numFmtId="0" fontId="21" fillId="45" borderId="0" xfId="0" applyNumberFormat="1" applyFont="1" applyFill="1" applyBorder="1" applyAlignment="1">
      <x:alignment wrapText="1"/>
    </x:xf>
    <x:xf numFmtId="0" fontId="22" fillId="44" borderId="0" xfId="0" applyNumberFormat="1" applyFont="1" applyFill="1" applyBorder="1" applyAlignment="1">
      <x:alignment wrapText="1"/>
    </x:xf>
    <x:xf numFmtId="0" fontId="23" fillId="43" borderId="0" xfId="0" applyNumberFormat="1" applyFont="1" applyFill="1" applyBorder="1" applyAlignment="1">
      <x:alignment wrapText="1"/>
    </x:xf>
    <x:xf numFmtId="0" fontId="19" fillId="42" borderId="0" xfId="0" applyNumberFormat="1" applyFont="1" applyFill="1" applyBorder="1" applyAlignment="1">
      <x:alignment vertical="center" wrapText="1"/>
    </x:xf>
    <x:xf numFmtId="0" fontId="20" fillId="47" borderId="0" xfId="0" applyNumberFormat="1" applyFont="1" applyFill="1" applyBorder="1" applyAlignment="1">
      <x:alignment vertical="center" wrapText="1"/>
    </x:xf>
    <x:xf numFmtId="0" fontId="21" fillId="45" borderId="0" xfId="0" applyNumberFormat="1" applyFont="1" applyFill="1" applyBorder="1" applyAlignment="1">
      <x:alignment vertical="center" wrapText="1"/>
    </x:xf>
    <x:xf numFmtId="0" fontId="22" fillId="44" borderId="0" xfId="0" applyNumberFormat="1" applyFont="1" applyFill="1" applyBorder="1" applyAlignment="1">
      <x:alignment vertical="center" wrapText="1"/>
    </x:xf>
    <x:xf numFmtId="0" fontId="23" fillId="43" borderId="0" xfId="0" applyNumberFormat="1" applyFont="1" applyFill="1" applyBorder="1" applyAlignment="1">
      <x:alignment vertical="center" wrapText="1"/>
    </x:xf>
    <x:xf numFmtId="0" fontId="8" fillId="42" borderId="0" xfId="0" applyNumberFormat="1" applyFont="1" applyFill="1" applyBorder="1" applyAlignment="1">
      <x:alignment vertical="center" wrapText="1"/>
    </x:xf>
    <x:xf numFmtId="0" fontId="8" fillId="47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8" fillId="44" borderId="0" xfId="0" applyNumberFormat="1" applyFont="1" applyFill="1" applyBorder="1" applyAlignment="1">
      <x:alignment vertical="center" wrapText="1"/>
    </x:xf>
    <x:xf numFmtId="0" fontId="8" fillId="43" borderId="0" xfId="0" applyNumberFormat="1" applyFont="1" applyFill="1" applyBorder="1" applyAlignment="1">
      <x:alignment vertical="center" wrapText="1"/>
    </x:xf>
    <x:xf numFmtId="0" fontId="5" fillId="42" borderId="0" xfId="0" applyNumberFormat="1" applyFont="1" applyFill="1" applyBorder="1" applyAlignment="1">
      <x:alignment vertical="center" wrapText="1"/>
    </x:xf>
    <x:xf numFmtId="0" fontId="1" fillId="42" borderId="0" xfId="0" applyNumberFormat="1" applyFont="1" applyFill="1" applyBorder="1" applyAlignment="1">
      <x:alignment vertical="center" wrapText="1"/>
    </x:xf>
    <x:xf numFmtId="0" fontId="5" fillId="45" borderId="0" xfId="0" applyNumberFormat="1" applyFont="1" applyFill="1" applyBorder="1" applyAlignment="1">
      <x:alignment vertical="center" wrapText="1"/>
    </x:xf>
    <x:xf numFmtId="0" fontId="1" fillId="45" borderId="0" xfId="0" applyNumberFormat="1" applyFont="1" applyFill="1" applyBorder="1" applyAlignment="1">
      <x:alignment vertical="center" wrapText="1"/>
    </x:xf>
    <x:xf numFmtId="0" fontId="5" fillId="44" borderId="0" xfId="0" applyNumberFormat="1" applyFont="1" applyFill="1" applyBorder="1" applyAlignment="1">
      <x:alignment vertical="center" wrapText="1"/>
    </x:xf>
    <x:xf numFmtId="0" fontId="1" fillId="44" borderId="0" xfId="0" applyNumberFormat="1" applyFont="1" applyFill="1" applyBorder="1" applyAlignment="1">
      <x:alignment vertical="center" wrapText="1"/>
    </x:xf>
    <x:xf numFmtId="0" fontId="5" fillId="47" borderId="0" xfId="0" applyNumberFormat="1" applyFont="1" applyFill="1" applyBorder="1" applyAlignment="1">
      <x:alignment vertical="center" wrapText="1"/>
    </x:xf>
    <x:xf numFmtId="0" fontId="24" fillId="47" borderId="0" xfId="0" applyNumberFormat="1" applyFont="1" applyFill="1" applyBorder="1" applyAlignment="1">
      <x:alignment vertical="center" wrapText="1"/>
    </x:xf>
    <x:xf numFmtId="0" fontId="1" fillId="47" borderId="0" xfId="0" applyNumberFormat="1" applyFont="1" applyFill="1" applyBorder="1" applyAlignment="1">
      <x:alignment vertical="center" wrapText="1"/>
    </x:xf>
    <x:xf numFmtId="0" fontId="5" fillId="43" borderId="0" xfId="0" applyNumberFormat="1" applyFont="1" applyFill="1" applyBorder="1" applyAlignment="1">
      <x:alignment vertical="center" wrapText="1"/>
    </x:xf>
    <x:xf numFmtId="0" fontId="1" fillId="4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5"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991B1B"/>
      </x:font>
      <x:fill>
        <x:patternFill patternType="solid">
          <x:bgColor rgb="FFFDE7E9"/>
        </x:patternFill>
      </x:fill>
    </x:dxf>
    <x:dxf>
      <x:font>
        <x:color rgb="FF991B1B"/>
      </x:font>
      <x:fill>
        <x:patternFill patternType="solid">
          <x:bgColor rgb="FFFDE7E9"/>
        </x:patternFill>
      </x:fill>
    </x:dxf>
    <x:dxf>
      <x:font>
        <x:b/>
        <x:color rgb="FF374151"/>
      </x:font>
      <x:fill>
        <x:patternFill patternType="solid">
          <x:bgColor rgb="FFF3F4F6"/>
        </x:patternFill>
      </x:fill>
    </x:dxf>
    <x:dxf>
      <x:font>
        <x:color rgb="FF374151"/>
      </x:font>
      <x:fill>
        <x:patternFill patternType="solid">
          <x:bgColor rgb="FFF3F4F6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color rgb="FF854D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  <x:dxf>
      <x:font>
        <x:b/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  <x:dxf>
      <x:font>
        <x:b/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dd9b6fb6a4d18" /><Relationship Type="http://schemas.openxmlformats.org/officeDocument/2006/relationships/theme" Target="/xl/theme/theme1.xml" Id="R3a8204ba62d84fc4" /><Relationship Type="http://schemas.openxmlformats.org/officeDocument/2006/relationships/sharedStrings" Target="/xl/sharedStrings.xml" Id="R0fce1cbcd11b489f" /><Relationship Type="http://schemas.openxmlformats.org/officeDocument/2006/relationships/worksheet" Target="/xl/worksheets/sheet1.xml" Id="R7dec7d2f87844e68" /><Relationship Type="http://schemas.openxmlformats.org/officeDocument/2006/relationships/worksheet" Target="/xl/worksheets/sheet2.xml" Id="R399b5b90ef804017" /><Relationship Type="http://schemas.openxmlformats.org/officeDocument/2006/relationships/worksheet" Target="/xl/worksheets/sheet3.xml" Id="Rd4481d7d0f234492" /><Relationship Type="http://schemas.openxmlformats.org/officeDocument/2006/relationships/worksheet" Target="/xl/worksheets/sheet4.xml" Id="R915f391df2e243e8" /><Relationship Type="http://schemas.openxmlformats.org/officeDocument/2006/relationships/worksheet" Target="/xl/worksheets/sheet5.xml" Id="R1444125f6883469b" /></Relationships>
</file>

<file path=xl/tables/table1.xml><?xml version="1.0" encoding="utf-8"?>
<x:table xmlns:x="http://schemas.openxmlformats.org/spreadsheetml/2006/main" id="21" name="BaselineDecisions" displayName="BaselineDecisions" ref="A39:H61" headerRowCount="1" totalsRowCount="0" totalsRowShown="0">
  <x:autoFilter ref="A39:H61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6" name="SiteDecisions" displayName="SiteDecisions" ref="A155:H160" headerRowCount="1" totalsRowCount="0" totalsRowShown="0">
  <x:autoFilter ref="A155:H160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5" name="SmokeCases" displayName="SmokeCases" ref="A5:Z96" headerRowCount="1" totalsRowCount="0" totalsRowShown="0">
  <x:autoFilter ref="A5:Z96"/>
  <x:tableColumns count="26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测试层次"/>
    <x:tableColumn id="17" name="交付项ID／影响点"/>
    <x:tableColumn id="18" name="执行基线ID"/>
    <x:tableColumn id="19" name="依据类型"/>
    <x:tableColumn id="20" name="设计思路／测试方法（建议）"/>
    <x:tableColumn id="21" name="数据选择／核对证据（建议）"/>
    <x:tableColumn id="22" name="依据有效性"/>
    <x:tableColumn id="23" name="用例复核处理"/>
    <x:tableColumn id="24" name="本轮复核说明"/>
    <x:tableColumn id="25" name="配套UI case"/>
    <x:tableColumn id="26" name="对应颜色层级（关联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4" name="UiCases" displayName="UiCases" ref="A5:AL47" headerRowCount="1" totalsRowCount="0" totalsRowShown="0">
  <x:autoFilter ref="A5:AL47"/>
  <x:tableColumns count="38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原型评审优先级"/>
    <x:tableColumn id="17" name="原型确认状态"/>
    <x:tableColumn id="18" name="框架适配判断"/>
    <x:tableColumn id="19" name="原处理角色"/>
    <x:tableColumn id="20" name="测试层次"/>
    <x:tableColumn id="21" name="交付项ID／影响点"/>
    <x:tableColumn id="22" name="执行基线ID"/>
    <x:tableColumn id="23" name="依据类型"/>
    <x:tableColumn id="24" name="原Review类型"/>
    <x:tableColumn id="25" name="原型问题摘录"/>
    <x:tableColumn id="26" name="原Review建议摘录"/>
    <x:tableColumn id="27" name="原后续处理建议"/>
    <x:tableColumn id="28" name="飞书记录ID"/>
    <x:tableColumn id="29" name="本轮用例修正说明"/>
    <x:tableColumn id="30" name="设计思路／测试方法（建议）"/>
    <x:tableColumn id="31" name="数据选择／核对证据（建议）"/>
    <x:tableColumn id="32" name="依据有效性"/>
    <x:tableColumn id="33" name="用例复核处理"/>
    <x:tableColumn id="34" name="本轮复核说明"/>
    <x:tableColumn id="35" name="层级对应检查重点"/>
    <x:tableColumn id="36" name="配套功能case"/>
    <x:tableColumn id="37" name="验收所需依据"/>
    <x:tableColumn id="38" name="层级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7" name="RequirementTrace" displayName="RequirementTrace" ref="A5:H124" headerRowCount="1" totalsRowCount="0" totalsRowShown="0">
  <x:tableColumns count="8">
    <x:tableColumn id="1" name="条款组ID"/>
    <x:tableColumn id="2" name="需求条款／出处"/>
    <x:tableColumn id="3" name="对应检查ID"/>
    <x:tableColumn id="4" name="边界／异常核对点"/>
    <x:tableColumn id="5" name="本轮处理"/>
    <x:tableColumn id="6" name="依据属性"/>
    <x:tableColumn id="7" name="未决口径／适用条件"/>
    <x:tableColumn id="8" name="需求原文链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9" name="SiteEvidence" displayName="SiteEvidence" ref="A5:H15" headerRowCount="1" totalsRowCount="0" totalsRowShown="0">
  <x:tableColumns count="8">
    <x:tableColumn id="1" name="观察ID"/>
    <x:tableColumn id="2" name="对象/场景"/>
    <x:tableColumn id="3" name="页面可见事实"/>
    <x:tableColumn id="4" name="未验证范围"/>
    <x:tableColumn id="5" name="关联用例"/>
    <x:tableColumn id="6" name="需求/UI差异及修订"/>
    <x:tableColumn id="7" name="关联决策"/>
    <x:tableColumn id="8" name="来源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85462851c84248" /><Relationship Type="http://schemas.openxmlformats.org/officeDocument/2006/relationships/table" Target="/xl/tables/table2.xml" Id="R70c19bc2a31b46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8fc8fbffeb734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e83cfe5d068942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7494d6470db940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7324a1c5d99e473d" /></Relationships>
</file>

<file path=xl/worksheets/sheet1.xml><?xml version="1.0" encoding="utf-8"?>
<x:worksheet xmlns:x="http://schemas.openxmlformats.org/spreadsheetml/2006/main">
  <x:sheetPr>
    <x:tabColor rgb="FF213B62"/>
  </x:sheetPr>
  <x:sheetViews>
    <x:sheetView showGridLines="0" workbookViewId="0"/>
  </x:sheetViews>
  <x:sheetFormatPr defaultRowHeight="15"/>
  <x:cols>
    <x:col min="1" max="1" width="19.3799991607666" hidden="0" customWidth="1"/>
    <x:col min="2" max="2" width="52.5" hidden="0" customWidth="1"/>
    <x:col min="3" max="3" width="16.25" hidden="0" customWidth="1"/>
    <x:col min="4" max="4" width="12.5" hidden="0" customWidth="1"/>
    <x:col min="5" max="5" width="24.3799991607666" hidden="0" customWidth="1"/>
    <x:col min="6" max="6" width="35" hidden="0" customWidth="1"/>
    <x:col min="7" max="7" width="40" hidden="0" customWidth="1"/>
    <x:col min="8" max="8" width="4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SN318 分批提测检查表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2026-10-12 颜色层级对应｜91功能＋42UI；28冒烟＋63专项；21有效Review逐项对应</x:v>
      </x:c>
      <x:c r="B3" s="4"/>
      <x:c r="C3" s="4"/>
      <x:c r="D3" s="4"/>
      <x:c r="E3" s="4"/>
      <x:c r="F3" s="4"/>
      <x:c r="G3" s="4"/>
      <x:c r="H3" s="4"/>
    </x:row>
    <x:row r="4" ht="37.5" customHeight="1">
      <x:c r="A4" s="15" t="str">
        <x:v>当前检查提示</x:v>
      </x:c>
      <x:c r="B4" s="16" t="str">
        <x:f>IF(B6&lt;&gt;"已就绪","请补齐本批信息并核对交付覆盖与基线",IF(H30&gt;0,"请填写纳入项的交付映射",IF(B20+F20+H20=0,"本批没有适用检查项",IF(B25+F25+H25+F30&gt;0,"请明确适用项的验收依据",IF(B27+F27+H27&gt;0,"关键项失败，建议退回整改",IF(B24+F24+H24&gt;0,"存在未完成或受阻检查",IF(B23+F23+H23+H31&gt;0,"存在一般失败或后置项，需评审带项意见","本批检查已完成，待人工评审")))))))</x:f>
        <x:v>请补齐本批信息并核对交付覆盖与基线</x:v>
      </x:c>
      <x:c r="C4" s="2"/>
      <x:c r="D4" s="2"/>
      <x:c r="E4" s="2"/>
      <x:c r="F4" s="2"/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41.25" customHeight="1">
      <x:c r="A6" s="10" t="str">
        <x:v>本批执行前提</x:v>
      </x:c>
      <x:c r="B6" s="10" t="str">
        <x:f>IF(OR(LEN(TRIM(B7))=0,LEN(TRIM(B8))=0,LEN(TRIM(B9))=0,LEN(TRIM(B10))=0,LEN(TRIM(B11))=0,LEN(TRIM(B15))=0,LEN(TRIM(B16))=0,B12&lt;&gt;"已确认",B17&lt;&gt;"已核对"),"未就绪","已就绪")</x:f>
        <x:v>未就绪</x:v>
      </x:c>
      <x:c r="C6" s="10"/>
      <x:c r="D6" s="10"/>
      <x:c r="E6" s="10" t="str">
        <x:v>说明</x:v>
      </x:c>
      <x:c r="F6" s="10" t="str">
        <x:v>已就绪只表示执行信息齐备；测试结果、证据及关联决策仍须逐项满足。</x:v>
      </x:c>
      <x:c r="G6" s="10"/>
      <x:c r="H6" s="10"/>
    </x:row>
    <x:row r="7" ht="48" customHeight="1">
      <x:c r="A7" s="18" t="str">
        <x:v>批次名称</x:v>
      </x:c>
      <x:c r="B7" s="86"/>
      <x:c r="C7" s="2"/>
      <x:c r="D7" s="2"/>
      <x:c r="E7" s="18" t="str">
        <x:v>填写顺序</x:v>
      </x:c>
      <x:c r="F7" s="10" t="str">
        <x:v>先把交付项对应到本批“是”的用例及影响链路，填写交付项ID；核对覆盖后执行。库内其余待选择不阻塞本批。</x:v>
      </x:c>
      <x:c r="G7" s="18" t="str">
        <x:v>本批执行方式</x:v>
      </x:c>
      <x:c r="H7" s="10" t="str">
        <x:v>开发按交付清单自查，测试复核核心闭环；UI复核采用的规范和专项稿。用例库不等于本批必测全集。</x:v>
      </x:c>
    </x:row>
    <x:row r="8" ht="48" customHeight="1">
      <x:c r="A8" s="18" t="str">
        <x:v>开发版本／Build</x:v>
      </x:c>
      <x:c r="B8" s="86"/>
      <x:c r="C8" s="2"/>
      <x:c r="D8" s="2"/>
      <x:c r="E8" s="18" t="str">
        <x:v>数据与账号</x:v>
      </x:c>
      <x:c r="F8" s="10" t="str">
        <x:v>28冒烟为用例库候选；每交付模块选入口/权限、正向闭环、关键失败及保存读回。计价交付需SM25成本核算与SM52重量核算，细矩阵归专项。</x:v>
      </x:c>
      <x:c r="G8" s="18" t="str">
        <x:v>冒烟最小集合</x:v>
      </x:c>
      <x:c r="H8" s="10" t="str">
        <x:v>每个交付模块：入口与权限、1条有效主链路、1条关键失败／状态保护、保存后读回；受影响上下游补1条联动。</x:v>
      </x:c>
    </x:row>
    <x:row r="9" ht="48" customHeight="1">
      <x:c r="A9" s="18" t="str">
        <x:v>本次交付清单</x:v>
      </x:c>
      <x:c r="B9" s="86"/>
      <x:c r="C9" s="2"/>
      <x:c r="D9" s="2"/>
      <x:c r="E9" s="18" t="str">
        <x:v>跨批使用</x:v>
      </x:c>
      <x:c r="F9" s="10" t="str">
        <x:v>每批复制文件。Build或验收基线ID变化后，旧结果自动失效；复测完成后更新执行版本与执行基线。</x:v>
      </x:c>
      <x:c r="G9" s="18" t="str">
        <x:v>专项回归</x:v>
      </x:c>
      <x:c r="H9" s="10" t="str">
        <x:v>必填边界、区间、版本、算法、并发、导出等按本批改动风险选取。与冒烟单独统计，选入计划后需执行。</x:v>
      </x:c>
    </x:row>
    <x:row r="10" ht="48" customHeight="1">
      <x:c r="A10" s="18" t="str">
        <x:v>需求基线／决策版本</x:v>
      </x:c>
      <x:c r="B10" s="86"/>
      <x:c r="C10" s="2"/>
      <x:c r="D10" s="2"/>
      <x:c r="E10" s="18" t="str">
        <x:v>记录方式</x:v>
      </x:c>
      <x:c r="F10" s="10" t="str">
        <x:v>结果、Build、执行基线ID、执行人、证据一起填写；未确认依据不能计通过。关联决策自动纳入，须附确认方案证据。</x:v>
      </x:c>
      <x:c r="G10" s="18" t="str">
        <x:v>UI判定依据</x:v>
      </x:c>
      <x:c r="H10" s="10" t="str">
        <x:v>Review视图rev637：1已修改、3修改中、17待确认；颜色表示适配方式。确认状态及颜色均不代表本批实测通过。</x:v>
      </x:c>
    </x:row>
    <x:row r="11" ht="48" customHeight="1">
      <x:c r="A11" s="18" t="str">
        <x:v>UI 基线／采纳项版本</x:v>
      </x:c>
      <x:c r="B11" s="86"/>
      <x:c r="C11" s="2"/>
      <x:c r="D11" s="2"/>
      <x:c r="E11" s="18" t="str">
        <x:v>关键项</x:v>
      </x:c>
      <x:c r="F11" s="10" t="str">
        <x:v>预置关键项为建议分类，可按影响调整；原型 P0/P1/P2 独立保留，不直接作为缺陷等级。</x:v>
      </x:c>
      <x:c r="G11" s="18" t="str">
        <x:v>UI符合率</x:v>
      </x:c>
      <x:c r="H11" s="10" t="str">
        <x:v>UI符合率仅统计有效依据已确认项的当前有效结果；缺批次执行信息不能计通过。同时披露F32确认覆盖率、H32未完成，不能称为整页像素拟合率。</x:v>
      </x:c>
    </x:row>
    <x:row r="12" ht="48" customHeight="1">
      <x:c r="A12" s="18" t="str">
        <x:v>范围与基线确认</x:v>
      </x:c>
      <x:c r="B12" s="86" t="str">
        <x:v>待确认</x:v>
      </x:c>
      <x:c r="C12" s="2"/>
      <x:c r="D12" s="2"/>
      <x:c r="E12" s="18" t="str">
        <x:v>未纳入项</x:v>
      </x:c>
      <x:c r="F12" s="10" t="str">
        <x:v>库内未涉及保持待选择；交付项明确延期或不适用设否并注明原因。不能通过不选择用例掩盖交付项漏测。</x:v>
      </x:c>
      <x:c r="G12" s="18" t="str">
        <x:v>差异记录</x:v>
      </x:c>
      <x:c r="H12" s="10" t="str">
        <x:v>记录URL、Build、基线、角色、视口／缩放、状态、截图、应有／实有及影响；规范条款与产品决策分别引用。</x:v>
      </x:c>
    </x:row>
    <x:row r="13" ht="48" customHeight="1">
      <x:c r="A13" s="18" t="str">
        <x:v>浏览器与缩放</x:v>
      </x:c>
      <x:c r="B13" s="86" t="str">
        <x:v>Edge 或 Chrome；缩放 100%</x:v>
      </x:c>
      <x:c r="C13" s="2"/>
      <x:c r="D13" s="2"/>
      <x:c r="E13" s="18" t="str">
        <x:v>结论要求</x:v>
      </x:c>
      <x:c r="F13" s="10" t="str">
        <x:v>自动提示只汇总记录。最终提测结论由团队评审；一般差异带项提测需记录接受意见和修复安排。</x:v>
      </x:c>
      <x:c r="G13" s="18" t="str">
        <x:v>带项规则</x:v>
      </x:c>
      <x:c r="H13" s="10" t="str">
        <x:v>普通视觉差异可记录负责人、期限和接受意见后评审。关键操作不可达、错价／数据损坏及核心规则未定建议退回。</x:v>
      </x:c>
    </x:row>
    <x:row r="14" ht="48" customHeight="1">
      <x:c r="A14" s="18" t="str">
        <x:v>视口／支持设备</x:v>
      </x:c>
      <x:c r="B14" s="86" t="str">
        <x:v>按本批确认范围填写</x:v>
      </x:c>
      <x:c r="C14" s="2"/>
      <x:c r="D14" s="2"/>
      <x:c r="E14" s="18" t="str">
        <x:v>环境观察</x:v>
      </x:c>
      <x:c r="F14" s="10" t="str">
        <x:v>2026-10-12已只读访问基础配置分组/对象、列表与部分编辑/详情；未提交/启停/删除。页面Build未显示，仍需本批填写。</x:v>
      </x:c>
      <x:c r="G14" s="18" t="str">
        <x:v>基线签名</x:v>
      </x:c>
      <x:c r="H14" s="10" t="str">
        <x:v>将B18的完整验收基线ID填入执行基线列。版本名称应含日期或版本号，避免同名修改导致旧证据仍被接受。</x:v>
      </x:c>
    </x:row>
    <x:row r="15" ht="21" customHeight="1">
      <x:c r="A15" s="18" t="str">
        <x:v>测试账号别名</x:v>
      </x:c>
      <x:c r="B15" s="86"/>
      <x:c r="C15" s="2"/>
      <x:c r="D15" s="2"/>
      <x:c r="E15" s="2"/>
      <x:c r="F15" s="2"/>
      <x:c r="G15" s="2"/>
      <x:c r="H15" s="2"/>
    </x:row>
    <x:row r="16" ht="21" customHeight="1">
      <x:c r="A16" s="18" t="str">
        <x:v>执行日期</x:v>
      </x:c>
      <x:c r="B16" s="90"/>
      <x:c r="C16" s="2"/>
      <x:c r="D16" s="2"/>
      <x:c r="E16" s="21" t="str">
        <x:v>模板生成日期</x:v>
      </x:c>
      <x:c r="F16" s="22" t="d">
        <x:v>2026-10-12T00:00:00.000Z</x:v>
      </x:c>
      <x:c r="G16" s="2"/>
      <x:c r="H16" s="2"/>
    </x:row>
    <x:row r="17" ht="21" customHeight="1">
      <x:c r="A17" s="2" t="str">
        <x:v>交付清单覆盖核对</x:v>
      </x:c>
      <x:c r="B17" s="91" t="str">
        <x:v>待确认</x:v>
      </x:c>
      <x:c r="C17" s="2"/>
      <x:c r="D17" s="2"/>
      <x:c r="E17" s="2"/>
      <x:c r="F17" s="2"/>
      <x:c r="G17" s="2"/>
      <x:c r="H17" s="2"/>
    </x:row>
    <x:row r="18" ht="34.5" customHeight="1">
      <x:c r="A18" s="2" t="str">
        <x:v>本批验收基线ID</x:v>
      </x:c>
      <x:c r="B18" s="10" t="str">
        <x:f>IF(OR(B10="",B11=""),"待填写需求及UI基线",B10&amp;" | "&amp;B11)</x:f>
        <x:v>待填写需求及UI基线</x:v>
      </x:c>
      <x:c r="C18" s="2"/>
      <x:c r="D18" s="2"/>
      <x:c r="E18" s="2"/>
      <x:c r="F18" s="2"/>
      <x:c r="G18" s="2"/>
      <x:c r="H18" s="2"/>
    </x:row>
    <x:row r="19" ht="21" customHeight="1">
      <x:c r="A19" s="88" t="str">
        <x:v>冒烟统计</x:v>
      </x:c>
      <x:c r="B19" s="88" t="str">
        <x:v>当前记录</x:v>
      </x:c>
      <x:c r="C19" s="2"/>
      <x:c r="D19" s="2"/>
      <x:c r="E19" s="88" t="str">
        <x:v>UI 统计</x:v>
      </x:c>
      <x:c r="F19" s="88" t="str">
        <x:v>当前记录</x:v>
      </x:c>
      <x:c r="G19" s="88" t="str">
        <x:v>专项回归统计</x:v>
      </x:c>
      <x:c r="H19" s="88" t="str">
        <x:v>当前记录</x:v>
      </x:c>
    </x:row>
    <x:row r="20" ht="21" customHeight="1">
      <x:c r="A20" s="2" t="str">
        <x:v>适用检查数</x:v>
      </x:c>
      <x:c r="B20" s="25" t="n">
        <x:f>COUNTIFS('冒烟用例'!$D$6:$D$96,"是",'冒烟用例'!$P$6:$P$96,"冒烟")</x:f>
        <x:v>5</x:v>
      </x:c>
      <x:c r="C20" s="2"/>
      <x:c r="D20" s="2"/>
      <x:c r="E20" s="2" t="str">
        <x:v>适用检查数</x:v>
      </x:c>
      <x:c r="F20" s="25" t="n">
        <x:f>COUNTIFS('UI检查'!$D$6:$D$47,"是")</x:f>
        <x:v>0</x:v>
      </x:c>
      <x:c r="G20" s="2" t="str">
        <x:v>适用检查数</x:v>
      </x:c>
      <x:c r="H20" s="25" t="n">
        <x:f>COUNTIFS('冒烟用例'!$D$6:$D$96,"是",'冒烟用例'!$P$6:$P$96,"专项回归")</x:f>
        <x:v>0</x:v>
      </x:c>
    </x:row>
    <x:row r="21" ht="21" customHeight="1">
      <x:c r="A21" s="2" t="str">
        <x:v>其中关键项</x:v>
      </x:c>
      <x:c r="B21" s="25" t="n">
        <x:f>COUNTIFS('冒烟用例'!$D$6:$D$96,"是",'冒烟用例'!$P$6:$P$96,"冒烟",'冒烟用例'!$E$6:$E$96,"是")</x:f>
        <x:v>5</x:v>
      </x:c>
      <x:c r="C21" s="2"/>
      <x:c r="D21" s="2"/>
      <x:c r="E21" s="2" t="str">
        <x:v>其中关键项</x:v>
      </x:c>
      <x:c r="F21" s="25" t="n">
        <x:f>COUNTIFS('UI检查'!$D$6:$D$47,"是",'UI检查'!$E$6:$E$47,"是")</x:f>
        <x:v>0</x:v>
      </x:c>
      <x:c r="G21" s="2" t="str">
        <x:v>其中关键项</x:v>
      </x:c>
      <x:c r="H21" s="25" t="n">
        <x:f>COUNTIFS('冒烟用例'!$D$6:$D$96,"是",'冒烟用例'!$P$6:$P$96,"专项回归",'冒烟用例'!$E$6:$E$96,"是")</x:f>
        <x:v>0</x:v>
      </x:c>
    </x:row>
    <x:row r="22" ht="21" customHeight="1">
      <x:c r="A22" s="2" t="str">
        <x:v>当前版本通过</x:v>
      </x:c>
      <x:c r="B22" s="25" t="n">
        <x:f>COUNTIFS('冒烟用例'!$D$6:$D$96,"是",'冒烟用例'!$P$6:$P$96,"冒烟",'冒烟用例'!$I$6:$I$96,"通过")</x:f>
        <x:v>0</x:v>
      </x:c>
      <x:c r="C22" s="2"/>
      <x:c r="D22" s="2"/>
      <x:c r="E22" s="2" t="str">
        <x:v>当前版本通过</x:v>
      </x:c>
      <x:c r="F22" s="25" t="n">
        <x:f>COUNTIFS('UI检查'!$D$6:$D$47,"是",'UI检查'!$I$6:$I$47,"通过")</x:f>
        <x:v>0</x:v>
      </x:c>
      <x:c r="G22" s="2" t="str">
        <x:v>当前版本通过</x:v>
      </x:c>
      <x:c r="H22" s="25" t="n">
        <x:f>COUNTIFS('冒烟用例'!$D$6:$D$96,"是",'冒烟用例'!$P$6:$P$96,"专项回归",'冒烟用例'!$I$6:$I$96,"通过")</x:f>
        <x:v>0</x:v>
      </x:c>
    </x:row>
    <x:row r="23" ht="21" customHeight="1">
      <x:c r="A23" s="2" t="str">
        <x:v>当前版本失败</x:v>
      </x:c>
      <x:c r="B23" s="25" t="n">
        <x:f>COUNTIFS('冒烟用例'!$D$6:$D$96,"是",'冒烟用例'!$P$6:$P$96,"冒烟",'冒烟用例'!$I$6:$I$96,"失败")</x:f>
        <x:v>0</x:v>
      </x:c>
      <x:c r="C23" s="2"/>
      <x:c r="D23" s="2"/>
      <x:c r="E23" s="2" t="str">
        <x:v>当前版本失败</x:v>
      </x:c>
      <x:c r="F23" s="25" t="n">
        <x:f>COUNTIFS('UI检查'!$D$6:$D$47,"是",'UI检查'!$I$6:$I$47,"失败")</x:f>
        <x:v>0</x:v>
      </x:c>
      <x:c r="G23" s="2" t="str">
        <x:v>当前版本失败</x:v>
      </x:c>
      <x:c r="H23" s="25" t="n">
        <x:f>COUNTIFS('冒烟用例'!$D$6:$D$96,"是",'冒烟用例'!$P$6:$P$96,"专项回归",'冒烟用例'!$I$6:$I$96,"失败")</x:f>
        <x:v>0</x:v>
      </x:c>
    </x:row>
    <x:row r="24" ht="21" customHeight="1">
      <x:c r="A24" s="2" t="str">
        <x:v>未完成／受阻</x:v>
      </x:c>
      <x:c r="B24" s="25" t="n">
        <x:f>COUNTIFS('冒烟用例'!$D$6:$D$96,"是",'冒烟用例'!$P$6:$P$96,"冒烟")-COUNTIFS('冒烟用例'!$D$6:$D$96,"是",'冒烟用例'!$P$6:$P$96,"冒烟",'冒烟用例'!$I$6:$I$96,"通过")-COUNTIFS('冒烟用例'!$D$6:$D$96,"是",'冒烟用例'!$P$6:$P$96,"冒烟",'冒烟用例'!$I$6:$I$96,"失败")</x:f>
        <x:v>5</x:v>
      </x:c>
      <x:c r="C24" s="2"/>
      <x:c r="D24" s="2"/>
      <x:c r="E24" s="2" t="str">
        <x:v>未完成／受阻</x:v>
      </x:c>
      <x:c r="F24" s="25" t="n">
        <x:f>COUNTIFS('UI检查'!$D$6:$D$47,"是")-COUNTIFS('UI检查'!$D$6:$D$47,"是",'UI检查'!$I$6:$I$47,"通过")-COUNTIFS('UI检查'!$D$6:$D$47,"是",'UI检查'!$I$6:$I$47,"失败")</x:f>
        <x:v>0</x:v>
      </x:c>
      <x:c r="G24" s="2" t="str">
        <x:v>未完成／受阻</x:v>
      </x:c>
      <x:c r="H24" s="25" t="n">
        <x:f>COUNTIFS('冒烟用例'!$D$6:$D$96,"是",'冒烟用例'!$P$6:$P$96,"专项回归")-COUNTIFS('冒烟用例'!$D$6:$D$96,"是",'冒烟用例'!$P$6:$P$96,"专项回归",'冒烟用例'!$I$6:$I$96,"通过")-COUNTIFS('冒烟用例'!$D$6:$D$96,"是",'冒烟用例'!$P$6:$P$96,"专项回归",'冒烟用例'!$I$6:$I$96,"失败")</x:f>
        <x:v>0</x:v>
      </x:c>
    </x:row>
    <x:row r="25" ht="21" customHeight="1">
      <x:c r="A25" s="2" t="str">
        <x:v>依据待确认</x:v>
      </x:c>
      <x:c r="B25" s="25" t="n">
        <x:f>COUNTIFS('冒烟用例'!$D$6:$D$96,"是",'冒烟用例'!$P$6:$P$96,"冒烟")-COUNTIFS('冒烟用例'!$D$6:$D$96,"是",'冒烟用例'!$P$6:$P$96,"冒烟",'冒烟用例'!$V$6:$V$96,"已确认")</x:f>
        <x:v>5</x:v>
      </x:c>
      <x:c r="C25" s="2"/>
      <x:c r="D25" s="2"/>
      <x:c r="E25" s="2" t="str">
        <x:v>依据待确认</x:v>
      </x:c>
      <x:c r="F25" s="25" t="n">
        <x:f>COUNTIFS('UI检查'!$D$6:$D$47,"是")-COUNTIFS('UI检查'!$D$6:$D$47,"是",'UI检查'!$AF$6:$AF$47,"已确认")</x:f>
        <x:v>0</x:v>
      </x:c>
      <x:c r="G25" s="2" t="str">
        <x:v>依据待确认</x:v>
      </x:c>
      <x:c r="H25" s="25" t="n">
        <x:f>COUNTIFS('冒烟用例'!$D$6:$D$96,"是",'冒烟用例'!$P$6:$P$96,"专项回归")-COUNTIFS('冒烟用例'!$D$6:$D$96,"是",'冒烟用例'!$P$6:$P$96,"专项回归",'冒烟用例'!$V$6:$V$96,"已确认")</x:f>
        <x:v>0</x:v>
      </x:c>
    </x:row>
    <x:row r="26" ht="21" customHeight="1">
      <x:c r="A26" s="2" t="str">
        <x:v>库内待筛选（提示）</x:v>
      </x:c>
      <x:c r="B26" s="25" t="n">
        <x:f>COUNTIFS('冒烟用例'!$D$6:$D$96,"待选择",'冒烟用例'!$P$6:$P$96,"冒烟")</x:f>
        <x:v>23</x:v>
      </x:c>
      <x:c r="C26" s="2"/>
      <x:c r="D26" s="2"/>
      <x:c r="E26" s="2" t="str">
        <x:v>库内待筛选（提示）</x:v>
      </x:c>
      <x:c r="F26" s="25" t="n">
        <x:f>COUNTIFS('UI检查'!$D$6:$D$47,"待选择")</x:f>
        <x:v>42</x:v>
      </x:c>
      <x:c r="G26" s="2" t="str">
        <x:v>库内待筛选（提示）</x:v>
      </x:c>
      <x:c r="H26" s="25" t="n">
        <x:f>COUNTIFS('冒烟用例'!$D$6:$D$96,"待选择",'冒烟用例'!$P$6:$P$96,"专项回归")</x:f>
        <x:v>63</x:v>
      </x:c>
    </x:row>
    <x:row r="27" ht="21" customHeight="1">
      <x:c r="A27" s="2" t="str">
        <x:v>关键失败</x:v>
      </x:c>
      <x:c r="B27" s="25" t="n">
        <x:f>COUNTIFS('冒烟用例'!$D$6:$D$96,"是",'冒烟用例'!$P$6:$P$96,"冒烟",'冒烟用例'!$E$6:$E$96,"是",'冒烟用例'!$I$6:$I$96,"失败")</x:f>
        <x:v>0</x:v>
      </x:c>
      <x:c r="C27" s="2"/>
      <x:c r="D27" s="2"/>
      <x:c r="E27" s="2" t="str">
        <x:v>关键失败</x:v>
      </x:c>
      <x:c r="F27" s="25" t="n">
        <x:f>COUNTIFS('UI检查'!$D$6:$D$47,"是",'UI检查'!$E$6:$E$47,"是",'UI检查'!$I$6:$I$47,"失败")</x:f>
        <x:v>0</x:v>
      </x:c>
      <x:c r="G27" s="2" t="str">
        <x:v>关键失败</x:v>
      </x:c>
      <x:c r="H27" s="25" t="n">
        <x:f>COUNTIFS('冒烟用例'!$D$6:$D$96,"是",'冒烟用例'!$P$6:$P$96,"专项回归",'冒烟用例'!$E$6:$E$96,"是",'冒烟用例'!$I$6:$I$96,"失败")</x:f>
        <x:v>0</x:v>
      </x:c>
    </x:row>
    <x:row r="28" ht="21" customHeight="1">
      <x:c r="A28" s="2" t="str">
        <x:v>关键未完成</x:v>
      </x:c>
      <x:c r="B28" s="25" t="n">
        <x:f>COUNTIFS('冒烟用例'!$D$6:$D$96,"是",'冒烟用例'!$P$6:$P$96,"冒烟",'冒烟用例'!$E$6:$E$96,"是")-COUNTIFS('冒烟用例'!$D$6:$D$96,"是",'冒烟用例'!$P$6:$P$96,"冒烟",'冒烟用例'!$E$6:$E$96,"是",'冒烟用例'!$I$6:$I$96,"通过")-COUNTIFS('冒烟用例'!$D$6:$D$96,"是",'冒烟用例'!$P$6:$P$96,"冒烟",'冒烟用例'!$E$6:$E$96,"是",'冒烟用例'!$I$6:$I$96,"失败")</x:f>
        <x:v>5</x:v>
      </x:c>
      <x:c r="C28" s="2"/>
      <x:c r="D28" s="2"/>
      <x:c r="E28" s="2" t="str">
        <x:v>关键未完成</x:v>
      </x:c>
      <x:c r="F28" s="25" t="n">
        <x:f>COUNTIFS('UI检查'!$D$6:$D$47,"是",'UI检查'!$E$6:$E$47,"是")-COUNTIFS('UI检查'!$D$6:$D$47,"是",'UI检查'!$E$6:$E$47,"是",'UI检查'!$I$6:$I$47,"通过")-COUNTIFS('UI检查'!$D$6:$D$47,"是",'UI检查'!$E$6:$E$47,"是",'UI检查'!$I$6:$I$47,"失败")</x:f>
        <x:v>0</x:v>
      </x:c>
      <x:c r="G28" s="2" t="str">
        <x:v>关键未完成</x:v>
      </x:c>
      <x:c r="H28" s="25" t="n">
        <x:f>COUNTIFS('冒烟用例'!$D$6:$D$96,"是",'冒烟用例'!$P$6:$P$96,"专项回归",'冒烟用例'!$E$6:$E$96,"是")-COUNTIFS('冒烟用例'!$D$6:$D$96,"是",'冒烟用例'!$P$6:$P$96,"专项回归",'冒烟用例'!$E$6:$E$96,"是",'冒烟用例'!$I$6:$I$96,"通过")-COUNTIFS('冒烟用例'!$D$6:$D$96,"是",'冒烟用例'!$P$6:$P$96,"专项回归",'冒烟用例'!$E$6:$E$96,"是",'冒烟用例'!$I$6:$I$96,"失败")</x:f>
        <x:v>0</x:v>
      </x:c>
    </x:row>
    <x:row r="29" ht="21" customHeight="1">
      <x:c r="A29" s="2" t="str">
        <x:v>已确认项通过率</x:v>
      </x:c>
      <x:c r="B29" s="26" t="str">
        <x:f>IF(COUNTIFS('冒烟用例'!$D$6:$D$96,"是",'冒烟用例'!$P$6:$P$96,"冒烟",'冒烟用例'!$V$6:$V$96,"已确认")=0,"无已确认项",COUNTIFS('冒烟用例'!$D$6:$D$96,"是",'冒烟用例'!$P$6:$P$96,"冒烟",'冒烟用例'!$I$6:$I$96,"通过")/COUNTIFS('冒烟用例'!$D$6:$D$96,"是",'冒烟用例'!$P$6:$P$96,"冒烟",'冒烟用例'!$V$6:$V$96,"已确认"))</x:f>
        <x:v>无已确认项</x:v>
      </x:c>
      <x:c r="C29" s="2"/>
      <x:c r="D29" s="2"/>
      <x:c r="E29" s="2" t="str">
        <x:v>已确认项通过率</x:v>
      </x:c>
      <x:c r="F29" s="26" t="str">
        <x:f>IF(COUNTIFS('UI检查'!$D$6:$D$47,"是",'UI检查'!$AF$6:$AF$47,"已确认")=0,"无已确认项",COUNTIFS('UI检查'!$D$6:$D$47,"是",'UI检查'!$I$6:$I$47,"通过")/COUNTIFS('UI检查'!$D$6:$D$47,"是",'UI检查'!$AF$6:$AF$47,"已确认"))</x:f>
        <x:v>无已确认项</x:v>
      </x:c>
      <x:c r="G29" s="2" t="str">
        <x:v>已确认项通过率</x:v>
      </x:c>
      <x:c r="H29" s="26" t="str">
        <x:f>IF(COUNTIFS('冒烟用例'!$D$6:$D$96,"是",'冒烟用例'!$P$6:$P$96,"专项回归",'冒烟用例'!$V$6:$V$96,"已确认")=0,"无已确认项",COUNTIFS('冒烟用例'!$D$6:$D$96,"是",'冒烟用例'!$P$6:$P$96,"专项回归",'冒烟用例'!$I$6:$I$96,"通过")/COUNTIFS('冒烟用例'!$D$6:$D$96,"是",'冒烟用例'!$P$6:$P$96,"专项回归",'冒烟用例'!$V$6:$V$96,"已确认"))</x:f>
        <x:v>无已确认项</x:v>
      </x:c>
    </x:row>
    <x:row r="30" ht="45" customHeight="1">
      <x:c r="A30" s="2" t="str">
        <x:v>统计口径</x:v>
      </x:c>
      <x:c r="B30" s="10" t="str">
        <x:v>仅“是”进入计划；冒烟／回归分开。通过须依据确认、交付映射、Build与基线ID一致、有证据和执行人。库内待筛选仅提示；覆盖由B17签认。</x:v>
      </x:c>
      <x:c r="C30" s="2"/>
      <x:c r="D30" s="2"/>
      <x:c r="E30" s="2" t="str">
        <x:v>涉及且未决事项</x:v>
      </x:c>
      <x:c r="F30" s="2" t="n">
        <x:f>COUNTIFS($H$40:$H$61,"待确认")+COUNTIFS($H$40:$H$61,"范围矛盾")+COUNTIFS($H$40:$H$61,"核心依据不可后置")+COUNTIFS($H$115:$H$117,"待确认")+COUNTIFS($H$115:$H$117,"范围矛盾")+COUNTIFS($H$115:$H$117,"核心依据不可后置")+COUNTIFS($H$156:$H$160,"待确认")+COUNTIFS($H$156:$H$160,"范围矛盾")+COUNTIFS($H$156:$H$160,"核心依据不可后置")</x:f>
        <x:v>0</x:v>
      </x:c>
      <x:c r="G30" s="2" t="str">
        <x:v>纳入项交付映射缺失</x:v>
      </x:c>
      <x:c r="H30" s="2" t="n">
        <x:f>COUNTIFS('冒烟用例'!$D$6:$D$96,"是")-COUNTIFS('冒烟用例'!$D$6:$D$96,"是",'冒烟用例'!$Q$6:$Q$96,"&lt;&gt;")+COUNTIFS('UI检查'!$D$6:$D$47,"是")-COUNTIFS('UI检查'!$D$6:$D$47,"是",'UI检查'!$U$6:$U$47,"&lt;&gt;")</x:f>
        <x:v>5</x:v>
      </x:c>
    </x:row>
    <x:row r="31" ht="21" customHeight="1">
      <x:c r="A31" s="2"/>
      <x:c r="B31" s="2"/>
      <x:c r="C31" s="2"/>
      <x:c r="D31" s="2"/>
      <x:c r="E31" s="2" t="str">
        <x:v>库内事项待筛选（提示）</x:v>
      </x:c>
      <x:c r="F31" s="2" t="n">
        <x:f>COUNTIFS($H$40:$H$61,"库内待选择")+COUNTIFS($H$115:$H$117,"库内待选择")+COUNTIFS($H$156:$H$160,"库内待选择")</x:f>
        <x:v>30</x:v>
      </x:c>
      <x:c r="G31" s="2" t="str">
        <x:v>涉及事项已记录后置</x:v>
      </x:c>
      <x:c r="H31" s="2" t="n">
        <x:f>COUNTIFS($H$40:$H$61,"已记录后置")+COUNTIFS($H$115:$H$117,"已记录后置")+COUNTIFS($H$156:$H$160,"已记录后置")</x:f>
        <x:v>0</x:v>
      </x:c>
    </x:row>
    <x:row r="32" ht="48.75" customHeight="1">
      <x:c r="A32" s="2"/>
      <x:c r="B32" s="2"/>
      <x:c r="C32" s="2"/>
      <x:c r="D32" s="2"/>
      <x:c r="E32" s="10" t="str">
        <x:v>UI依据确认覆盖率</x:v>
      </x:c>
      <x:c r="F32" s="163" t="str">
        <x:f>IF(F20=0,"无适用项",COUNTIFS('UI检查'!$D$6:$D$47,"是",'UI检查'!$AF$6:$AF$47,"已确认")/F20)</x:f>
        <x:v>无适用项</x:v>
      </x:c>
      <x:c r="G32" s="10" t="str">
        <x:v>已确认但未完成</x:v>
      </x:c>
      <x:c r="H32" s="10" t="n">
        <x:f>COUNTIFS('UI检查'!$D$6:$D$47,"是",'UI检查'!$AF$6:$AF$47,"已确认")-F22-F23</x:f>
        <x:v>0</x:v>
      </x:c>
    </x:row>
    <x:row r="33" ht="63.75" customHeight="1">
      <x:c r="A33" s="2" t="str">
        <x:v>人工提测结论</x:v>
      </x:c>
      <x:c r="B33" s="91" t="str">
        <x:v>待评审</x:v>
      </x:c>
      <x:c r="C33" s="2"/>
      <x:c r="D33" s="2"/>
      <x:c r="E33" s="2" t="str">
        <x:v>建议退回的情况</x:v>
      </x:c>
      <x:c r="F33" s="10" t="str">
        <x:v>关键项失败、关键操作受阻或核心依据未确定。一般视觉差异可由团队评审是否带项提测。</x:v>
      </x:c>
      <x:c r="G33" s="2"/>
      <x:c r="H33" s="2"/>
    </x:row>
    <x:row r="34" ht="21" customHeight="1">
      <x:c r="A34" s="2" t="str">
        <x:v>评审人</x:v>
      </x:c>
      <x:c r="B34" s="91"/>
      <x:c r="C34" s="2"/>
      <x:c r="D34" s="2"/>
      <x:c r="E34" s="2"/>
      <x:c r="F34" s="2"/>
      <x:c r="G34" s="2"/>
      <x:c r="H34" s="2"/>
    </x:row>
    <x:row r="35" ht="45" customHeight="1">
      <x:c r="A35" s="2" t="str">
        <x:v>带项意见／修复安排</x:v>
      </x:c>
      <x:c r="B35" s="86"/>
      <x:c r="C35" s="2"/>
      <x:c r="D35" s="2"/>
      <x:c r="E35" s="2" t="str">
        <x:v>评审记录检查</x:v>
      </x:c>
      <x:c r="F35" s="10" t="str">
        <x:f>IF(B33="待评审","待人工评审",IF(OR(LEN(TRIM(B34))=0,LEN(TRIM(B36))=0),"请补齐评审人与证据",IF(B33="退回整改","已记录退回整改",IF(B33="同意提测",IF(B4="本批检查已完成，待人工评审","已记录同意提测","检查前提未满足，不能标记同意"),IF(B33="允许带项提测",IF(AND(OR(B4="本批检查已完成，待人工评审",B4="存在一般失败或后置项，需评审带项意见"),LEN(TRIM(B35))&gt;0),"已记录带项提测","需满足检查前提并补齐带项意见"),"请填写有效评审结论")))))</x:f>
        <x:v>待人工评审</x:v>
      </x:c>
      <x:c r="G35" s="2"/>
      <x:c r="H35" s="2"/>
    </x:row>
    <x:row r="36" ht="45" customHeight="1">
      <x:c r="A36" s="2" t="str">
        <x:v>评审证据链接</x:v>
      </x:c>
      <x:c r="B36" s="86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7" t="str">
        <x:v>本批验收待确认事项</x:v>
      </x:c>
      <x:c r="B38" s="2"/>
      <x:c r="C38" s="2"/>
      <x:c r="D38" s="2"/>
      <x:c r="E38" s="2"/>
      <x:c r="F38" s="2"/>
      <x:c r="G38" s="2"/>
      <x:c r="H38" s="2"/>
    </x:row>
    <x:row r="39" ht="28.5" customHeight="1">
      <x:c r="A39" s="84" t="str">
        <x:v>编号</x:v>
      </x:c>
      <x:c r="B39" s="84" t="str">
        <x:v>需要明确的事项</x:v>
      </x:c>
      <x:c r="C39" s="84" t="str">
        <x:v>关联检查</x:v>
      </x:c>
      <x:c r="D39" s="84" t="str">
        <x:v>本批涉及</x:v>
      </x:c>
      <x:c r="E39" s="84" t="str">
        <x:v>建议负责角色</x:v>
      </x:c>
      <x:c r="F39" s="84" t="str">
        <x:v>确认状态</x:v>
      </x:c>
      <x:c r="G39" s="84" t="str">
        <x:v>确认方案／版本／证据</x:v>
      </x:c>
      <x:c r="H39" s="84" t="str">
        <x:v>本批有效决策</x:v>
      </x:c>
    </x:row>
    <x:row r="40" ht="82.5" customHeight="1">
      <x:c r="A40" s="10" t="str">
        <x:v>DEC01</x:v>
      </x:c>
      <x:c r="B40" s="10" t="str">
        <x:v>基础配置当前导航分组/对象侧栏/页头新增，与Review一级Tabs/右侧列表顶部新增位置的采用方案；现实现不等于批准稿</x:v>
      </x:c>
      <x:c r="C40" s="42" t="str">
        <x:v>UI01</x:v>
      </x:c>
      <x:c r="D40" s="86" t="str">
        <x:v>待选择</x:v>
      </x:c>
      <x:c r="E40" s="10" t="str">
        <x:v>UI、产品</x:v>
      </x:c>
      <x:c r="F40" s="86" t="str">
        <x:v>待确认</x:v>
      </x:c>
      <x:c r="G40" s="86"/>
      <x:c r="H40" s="10" t="str">
        <x:f>IF(AND((COUNTIFS('UI检查'!$A$6:$A$47,"UI01",'UI检查'!$D$6:$D$47,"是"))&gt;0,D40="否"),"范围矛盾",IF(OR(D40="是",(COUNTIFS('UI检查'!$A$6:$A$47,"UI01",'UI检查'!$D$6:$D$47,"是"))&gt;0),IF(AND(F40="已确认",LEN(TRIM(G40))&gt;0),"已确认",IF(AND(F40="已记录后置",LEN(TRIM(G40))&gt;0),"已记录后置","待确认")),IF(D40="否","不涉及","库内待选择")))</x:f>
        <x:v>库内待选择</x:v>
      </x:c>
    </x:row>
    <x:row r="41" ht="82.5" customHeight="1">
      <x:c r="A41" s="10" t="str">
        <x:v>DEC02</x:v>
      </x:c>
      <x:c r="B41" s="10" t="str">
        <x:v>左侧菜单跨分类收起与手动多分类展开</x:v>
      </x:c>
      <x:c r="C41" s="42" t="str">
        <x:v>UI02</x:v>
      </x:c>
      <x:c r="D41" s="86" t="str">
        <x:v>待选择</x:v>
      </x:c>
      <x:c r="E41" s="10" t="str">
        <x:v>UI、产品</x:v>
      </x:c>
      <x:c r="F41" s="86" t="str">
        <x:v>待确认</x:v>
      </x:c>
      <x:c r="G41" s="86"/>
      <x:c r="H41" s="10" t="str">
        <x:f>IF(AND((COUNTIFS('UI检查'!$A$6:$A$47,"UI02",'UI检查'!$D$6:$D$47,"是"))&gt;0,D41="否"),"范围矛盾",IF(OR(D41="是",(COUNTIFS('UI检查'!$A$6:$A$47,"UI02",'UI检查'!$D$6:$D$47,"是"))&gt;0),IF(AND(F41="已确认",LEN(TRIM(G41))&gt;0),"已确认",IF(AND(F41="已记录后置",LEN(TRIM(G41))&gt;0),"已记录后置","待确认")),IF(D41="否","不涉及","库内待选择")))</x:f>
        <x:v>库内待选择</x:v>
      </x:c>
    </x:row>
    <x:row r="42" ht="82.5" customHeight="1">
      <x:c r="A42" s="10" t="str">
        <x:v>DEC03</x:v>
      </x:c>
      <x:c r="B42" s="10" t="str">
        <x:v>服务单元详情：需求弹窗与 Review Drawer 的选择</x:v>
      </x:c>
      <x:c r="C42" s="42" t="str">
        <x:v>UI18</x:v>
      </x:c>
      <x:c r="D42" s="86" t="str">
        <x:v>待选择</x:v>
      </x:c>
      <x:c r="E42" s="10" t="str">
        <x:v>产品、UI</x:v>
      </x:c>
      <x:c r="F42" s="86" t="str">
        <x:v>待确认</x:v>
      </x:c>
      <x:c r="G42" s="86"/>
      <x:c r="H42" s="10" t="str">
        <x:f>IF(AND((COUNTIFS('UI检查'!$A$6:$A$47,"UI18",'UI检查'!$D$6:$D$47,"是"))&gt;0,D42="否"),"范围矛盾",IF(OR(D42="是",(COUNTIFS('UI检查'!$A$6:$A$47,"UI18",'UI检查'!$D$6:$D$47,"是"))&gt;0),IF(AND(F42="已确认",LEN(TRIM(G42))&gt;0),"已确认",IF(AND(F42="已记录后置",LEN(TRIM(G42))&gt;0),"已记录后置","待确认")),IF(D42="否","不涉及","库内待选择")))</x:f>
        <x:v>库内待选择</x:v>
      </x:c>
    </x:row>
    <x:row r="43" ht="82.5" customHeight="1">
      <x:c r="A43" s="10" t="str">
        <x:v>DEC04</x:v>
      </x:c>
      <x:c r="B43" s="10" t="str">
        <x:v>编码是否承担详情入口，或采用普通文本</x:v>
      </x:c>
      <x:c r="C43" s="42" t="str">
        <x:v>UI15</x:v>
      </x:c>
      <x:c r="D43" s="86" t="str">
        <x:v>待选择</x:v>
      </x:c>
      <x:c r="E43" s="10" t="str">
        <x:v>产品</x:v>
      </x:c>
      <x:c r="F43" s="86" t="str">
        <x:v>待确认</x:v>
      </x:c>
      <x:c r="G43" s="86"/>
      <x:c r="H43" s="10" t="str">
        <x:f>IF(AND((COUNTIFS('UI检查'!$A$6:$A$47,"UI15",'UI检查'!$D$6:$D$47,"是"))&gt;0,D43="否"),"范围矛盾",IF(OR(D43="是",(COUNTIFS('UI检查'!$A$6:$A$47,"UI15",'UI检查'!$D$6:$D$47,"是"))&gt;0),IF(AND(F43="已确认",LEN(TRIM(G43))&gt;0),"已确认",IF(AND(F43="已记录后置",LEN(TRIM(G43))&gt;0),"核心依据不可后置","待确认")),IF(D43="否","不涉及","库内待选择")))</x:f>
        <x:v>库内待选择</x:v>
      </x:c>
    </x:row>
    <x:row r="44" ht="82.5" customHeight="1">
      <x:c r="A44" s="10" t="str">
        <x:v>DEC05</x:v>
      </x:c>
      <x:c r="B44" s="10" t="str">
        <x:v>AI 建档独立页面、步骤及确认流程</x:v>
      </x:c>
      <x:c r="C44" s="42" t="str">
        <x:v>UI16、SM27</x:v>
      </x:c>
      <x:c r="D44" s="86" t="str">
        <x:v>待选择</x:v>
      </x:c>
      <x:c r="E44" s="10" t="str">
        <x:v>产品、UI</x:v>
      </x:c>
      <x:c r="F44" s="86" t="str">
        <x:v>待确认</x:v>
      </x:c>
      <x:c r="G44" s="86"/>
      <x:c r="H44" s="10" t="str">
        <x:f>IF(AND((COUNTIFS('UI检查'!$A$6:$A$47,"UI16",'UI检查'!$D$6:$D$47,"是")+COUNTIFS('冒烟用例'!$A$6:$A$96,"SM27",'冒烟用例'!$D$6:$D$96,"是"))&gt;0,D44="否"),"范围矛盾",IF(OR(D44="是",(COUNTIFS('UI检查'!$A$6:$A$47,"UI16",'UI检查'!$D$6:$D$47,"是")+COUNTIFS('冒烟用例'!$A$6:$A$96,"SM27",'冒烟用例'!$D$6:$D$96,"是"))&gt;0),IF(AND(F44="已确认",LEN(TRIM(G44))&gt;0),"已确认",IF(AND(F44="已记录后置",LEN(TRIM(G44))&gt;0),"核心依据不可后置","待确认")),IF(D44="否","不涉及","库内待选择")))</x:f>
        <x:v>库内待选择</x:v>
      </x:c>
    </x:row>
    <x:row r="45" ht="82.5" customHeight="1">
      <x:c r="A45" s="10" t="str">
        <x:v>DEC06</x:v>
      </x:c>
      <x:c r="B45" s="10" t="str">
        <x:v>航空公司IATA/ICAO格式及唯一性、名称/状态必填、国家候选来源和编码只读；当前字段已观察但保存/服务端未验证</x:v>
      </x:c>
      <x:c r="C45" s="42" t="str">
        <x:v>SM10、SM16</x:v>
      </x:c>
      <x:c r="D45" s="86" t="str">
        <x:v>待选择</x:v>
      </x:c>
      <x:c r="E45" s="10" t="str">
        <x:v>产品</x:v>
      </x:c>
      <x:c r="F45" s="86" t="str">
        <x:v>待确认</x:v>
      </x:c>
      <x:c r="G45" s="86"/>
      <x:c r="H45" s="10" t="str">
        <x:f>IF(AND((COUNTIFS('冒烟用例'!$A$6:$A$96,"SM10",'冒烟用例'!$D$6:$D$96,"是")+COUNTIFS('冒烟用例'!$A$6:$A$96,"SM16",'冒烟用例'!$D$6:$D$96,"是"))&gt;0,D45="否"),"范围矛盾",IF(OR(D45="是",(COUNTIFS('冒烟用例'!$A$6:$A$96,"SM10",'冒烟用例'!$D$6:$D$96,"是")+COUNTIFS('冒烟用例'!$A$6:$A$96,"SM16",'冒烟用例'!$D$6:$D$96,"是"))&gt;0),IF(AND(F45="已确认",LEN(TRIM(G45))&gt;0),"已确认",IF(AND(F45="已记录后置",LEN(TRIM(G45))&gt;0),"核心依据不可后置","待确认")),IF(D45="否","不涉及","库内待选择")))</x:f>
        <x:v>库内待选择</x:v>
      </x:c>
    </x:row>
    <x:row r="46" ht="82.5" customHeight="1">
      <x:c r="A46" s="10" t="str">
        <x:v>DEC07</x:v>
      </x:c>
      <x:c r="B46" s="10" t="str">
        <x:v>当前固定对象目录与分类新增/改名/删除的交付范围、实际入口；仅本页面未见分类CRUD</x:v>
      </x:c>
      <x:c r="C46" s="42" t="str">
        <x:v>SM17</x:v>
      </x:c>
      <x:c r="D46" s="86" t="str">
        <x:v>待选择</x:v>
      </x:c>
      <x:c r="E46" s="10" t="str">
        <x:v>产品</x:v>
      </x:c>
      <x:c r="F46" s="86" t="str">
        <x:v>待确认</x:v>
      </x:c>
      <x:c r="G46" s="86"/>
      <x:c r="H46" s="10" t="str">
        <x:f>IF(AND((COUNTIFS('冒烟用例'!$A$6:$A$96,"SM17",'冒烟用例'!$D$6:$D$96,"是"))&gt;0,D46="否"),"范围矛盾",IF(OR(D46="是",(COUNTIFS('冒烟用例'!$A$6:$A$96,"SM17",'冒烟用例'!$D$6:$D$96,"是"))&gt;0),IF(AND(F46="已确认",LEN(TRIM(G46))&gt;0),"已确认",IF(AND(F46="已记录后置",LEN(TRIM(G46))&gt;0),"核心依据不可后置","待确认")),IF(D46="否","不涉及","库内待选择")))</x:f>
        <x:v>库内待选择</x:v>
      </x:c>
    </x:row>
    <x:row r="47" ht="82.5" customHeight="1">
      <x:c r="A47" s="10" t="str">
        <x:v>DEC08</x:v>
      </x:c>
      <x:c r="B47" s="10" t="str">
        <x:v>未定义模块跨页选择及导出字段／格式；组合当前页、产品同状态、单元规则跨页已有正文要求</x:v>
      </x:c>
      <x:c r="C47" s="42" t="str">
        <x:v>SM28、SM55、UI13</x:v>
      </x:c>
      <x:c r="D47" s="86" t="str">
        <x:v>待选择</x:v>
      </x:c>
      <x:c r="E47" s="10" t="str">
        <x:v>产品</x:v>
      </x:c>
      <x:c r="F47" s="86" t="str">
        <x:v>待确认</x:v>
      </x:c>
      <x:c r="G47" s="86"/>
      <x:c r="H47" s="10" t="str">
        <x:f>IF(AND((COUNTIFS('冒烟用例'!$A$6:$A$96,"SM28",'冒烟用例'!$D$6:$D$96,"是")+COUNTIFS('冒烟用例'!$A$6:$A$96,"SM55",'冒烟用例'!$D$6:$D$96,"是")+COUNTIFS('UI检查'!$A$6:$A$47,"UI13",'UI检查'!$D$6:$D$47,"是"))&gt;0,D47="否"),"范围矛盾",IF(OR(D47="是",(COUNTIFS('冒烟用例'!$A$6:$A$96,"SM28",'冒烟用例'!$D$6:$D$96,"是")+COUNTIFS('冒烟用例'!$A$6:$A$96,"SM55",'冒烟用例'!$D$6:$D$96,"是")+COUNTIFS('UI检查'!$A$6:$A$47,"UI13",'UI检查'!$D$6:$D$47,"是"))&gt;0),IF(AND(F47="已确认",LEN(TRIM(G47))&gt;0),"已确认",IF(AND(F47="已记录后置",LEN(TRIM(G47))&gt;0),"核心依据不可后置","待确认")),IF(D47="否","不涉及","库内待选择")))</x:f>
        <x:v>库内待选择</x:v>
      </x:c>
    </x:row>
    <x:row r="48" ht="82.5" customHeight="1">
      <x:c r="A48" s="10" t="str">
        <x:v>DEC09</x:v>
      </x:c>
      <x:c r="B48" s="10" t="str">
        <x:v>地点/Zone正文即时查询与当前查询按钮的触发、重置/刷新语义及主子列表范围，未实际执行检索</x:v>
      </x:c>
      <x:c r="C48" s="42" t="str">
        <x:v>SM43、SM58、UI09</x:v>
      </x:c>
      <x:c r="D48" s="86" t="str">
        <x:v>待选择</x:v>
      </x:c>
      <x:c r="E48" s="10" t="str">
        <x:v>产品、UI</x:v>
      </x:c>
      <x:c r="F48" s="86" t="str">
        <x:v>待确认</x:v>
      </x:c>
      <x:c r="G48" s="86"/>
      <x:c r="H48" s="10" t="str">
        <x:f>IF(AND((COUNTIFS('冒烟用例'!$A$6:$A$96,"SM43",'冒烟用例'!$D$6:$D$96,"是")+COUNTIFS('冒烟用例'!$A$6:$A$96,"SM58",'冒烟用例'!$D$6:$D$96,"是")+COUNTIFS('UI检查'!$A$6:$A$47,"UI09",'UI检查'!$D$6:$D$47,"是"))&gt;0,D48="否"),"范围矛盾",IF(OR(D48="是",(COUNTIFS('冒烟用例'!$A$6:$A$96,"SM43",'冒烟用例'!$D$6:$D$96,"是")+COUNTIFS('冒烟用例'!$A$6:$A$96,"SM58",'冒烟用例'!$D$6:$D$96,"是")+COUNTIFS('UI检查'!$A$6:$A$47,"UI09",'UI检查'!$D$6:$D$47,"是"))&gt;0),IF(AND(F48="已确认",LEN(TRIM(G48))&gt;0),"已确认",IF(AND(F48="已记录后置",LEN(TRIM(G48))&gt;0),"核心依据不可后置","待确认")),IF(D48="否","不涉及","库内待选择")))</x:f>
        <x:v>库内待选择</x:v>
      </x:c>
    </x:row>
    <x:row r="49" ht="82.5" customHeight="1">
      <x:c r="A49" s="10" t="str">
        <x:v>DEC10</x:v>
      </x:c>
      <x:c r="B49" s="10" t="str">
        <x:v>金额项目2位/规范4位冲突；币种小数位配置与业务金额显示/计算精度分别确认，不从CNY/USD样本2推全站</x:v>
      </x:c>
      <x:c r="C49" s="42" t="str">
        <x:v>UI22、UI29</x:v>
      </x:c>
      <x:c r="D49" s="86" t="str">
        <x:v>待选择</x:v>
      </x:c>
      <x:c r="E49" s="10" t="str">
        <x:v>产品、UI</x:v>
      </x:c>
      <x:c r="F49" s="86" t="str">
        <x:v>待确认</x:v>
      </x:c>
      <x:c r="G49" s="86"/>
      <x:c r="H49" s="10" t="str">
        <x:f>IF(AND((COUNTIFS('UI检查'!$A$6:$A$47,"UI22",'UI检查'!$D$6:$D$47,"是")+COUNTIFS('UI检查'!$A$6:$A$47,"UI29",'UI检查'!$D$6:$D$47,"是"))&gt;0,D49="否"),"范围矛盾",IF(OR(D49="是",(COUNTIFS('UI检查'!$A$6:$A$47,"UI22",'UI检查'!$D$6:$D$47,"是")+COUNTIFS('UI检查'!$A$6:$A$47,"UI29",'UI检查'!$D$6:$D$47,"是"))&gt;0),IF(AND(F49="已确认",LEN(TRIM(G49))&gt;0),"已确认",IF(AND(F49="已记录后置",LEN(TRIM(G49))&gt;0),"核心依据不可后置","待确认")),IF(D49="否","不涉及","库内待选择")))</x:f>
        <x:v>库内待选择</x:v>
      </x:c>
    </x:row>
    <x:row r="50" ht="82.5" customHeight="1">
      <x:c r="A50" s="10" t="str">
        <x:v>DEC11</x:v>
      </x:c>
      <x:c r="B50" s="10" t="str">
        <x:v>产品保存态：按钮描述待生效，列表已划线改为草稿；统一状态与接口含义</x:v>
      </x:c>
      <x:c r="C50" s="42" t="str">
        <x:v>SM24、SM50</x:v>
      </x:c>
      <x:c r="D50" s="86" t="str">
        <x:v>待选择</x:v>
      </x:c>
      <x:c r="E50" s="10" t="str">
        <x:v>产品、开发</x:v>
      </x:c>
      <x:c r="F50" s="86" t="str">
        <x:v>待确认</x:v>
      </x:c>
      <x:c r="G50" s="86"/>
      <x:c r="H50" s="10" t="str">
        <x:f>IF(AND((COUNTIFS('冒烟用例'!$A$6:$A$96,"SM24",'冒烟用例'!$D$6:$D$96,"是")+COUNTIFS('冒烟用例'!$A$6:$A$96,"SM50",'冒烟用例'!$D$6:$D$96,"是"))&gt;0,D50="否"),"范围矛盾",IF(OR(D50="是",(COUNTIFS('冒烟用例'!$A$6:$A$96,"SM24",'冒烟用例'!$D$6:$D$96,"是")+COUNTIFS('冒烟用例'!$A$6:$A$96,"SM50",'冒烟用例'!$D$6:$D$96,"是"))&gt;0),IF(AND(F50="已确认",LEN(TRIM(G50))&gt;0),"已确认",IF(AND(F50="已记录后置",LEN(TRIM(G50))&gt;0),"核心依据不可后置","待确认")),IF(D50="否","不涉及","库内待选择")))</x:f>
        <x:v>库内待选择</x:v>
      </x:c>
    </x:row>
    <x:row r="51" ht="82.5" customHeight="1">
      <x:c r="A51" s="10" t="str">
        <x:v>DEC12</x:v>
      </x:c>
      <x:c r="B51" s="10" t="str">
        <x:v>动态价卡不预置价格行与统一至少1明细校验如何分支；API失败与重试口径</x:v>
      </x:c>
      <x:c r="C51" s="42" t="str">
        <x:v>SM42</x:v>
      </x:c>
      <x:c r="D51" s="86" t="str">
        <x:v>待选择</x:v>
      </x:c>
      <x:c r="E51" s="10" t="str">
        <x:v>产品、开发</x:v>
      </x:c>
      <x:c r="F51" s="86" t="str">
        <x:v>待确认</x:v>
      </x:c>
      <x:c r="G51" s="86"/>
      <x:c r="H51" s="10" t="str">
        <x:f>IF(AND((COUNTIFS('冒烟用例'!$A$6:$A$96,"SM42",'冒烟用例'!$D$6:$D$96,"是"))&gt;0,D51="否"),"范围矛盾",IF(OR(D51="是",(COUNTIFS('冒烟用例'!$A$6:$A$96,"SM42",'冒烟用例'!$D$6:$D$96,"是"))&gt;0),IF(AND(F51="已确认",LEN(TRIM(G51))&gt;0),"已确认",IF(AND(F51="已记录后置",LEN(TRIM(G51))&gt;0),"核心依据不可后置","待确认")),IF(D51="否","不涉及","库内待选择")))</x:f>
        <x:v>库内待选择</x:v>
      </x:c>
    </x:row>
    <x:row r="52" ht="82.5" customHeight="1">
      <x:c r="A52" s="10" t="str">
        <x:v>DEC13</x:v>
      </x:c>
      <x:c r="B52" s="10" t="str">
        <x:v>单元自动生成价卡的初始内容、重复新增入口、修改同步与生效版归档边界</x:v>
      </x:c>
      <x:c r="C52" s="42" t="str">
        <x:v>SM21、SM30、SM39、SM40</x:v>
      </x:c>
      <x:c r="D52" s="86" t="str">
        <x:v>待选择</x:v>
      </x:c>
      <x:c r="E52" s="10" t="str">
        <x:v>产品、开发</x:v>
      </x:c>
      <x:c r="F52" s="86" t="str">
        <x:v>待确认</x:v>
      </x:c>
      <x:c r="G52" s="86"/>
      <x:c r="H52" s="10" t="str">
        <x:f>IF(AND((COUNTIFS('冒烟用例'!$A$6:$A$96,"SM21",'冒烟用例'!$D$6:$D$96,"是")+COUNTIFS('冒烟用例'!$A$6:$A$96,"SM30",'冒烟用例'!$D$6:$D$96,"是")+COUNTIFS('冒烟用例'!$A$6:$A$96,"SM39",'冒烟用例'!$D$6:$D$96,"是")+COUNTIFS('冒烟用例'!$A$6:$A$96,"SM40",'冒烟用例'!$D$6:$D$96,"是"))&gt;0,D52="否"),"范围矛盾",IF(OR(D52="是",(COUNTIFS('冒烟用例'!$A$6:$A$96,"SM21",'冒烟用例'!$D$6:$D$96,"是")+COUNTIFS('冒烟用例'!$A$6:$A$96,"SM30",'冒烟用例'!$D$6:$D$96,"是")+COUNTIFS('冒烟用例'!$A$6:$A$96,"SM39",'冒烟用例'!$D$6:$D$96,"是")+COUNTIFS('冒烟用例'!$A$6:$A$96,"SM40",'冒烟用例'!$D$6:$D$96,"是"))&gt;0),IF(AND(F52="已确认",LEN(TRIM(G52))&gt;0),"已确认",IF(AND(F52="已记录后置",LEN(TRIM(G52))&gt;0),"核心依据不可后置","待确认")),IF(D52="否","不涉及","库内待选择")))</x:f>
        <x:v>库内待选择</x:v>
      </x:c>
    </x:row>
    <x:row r="53" ht="112.5" customHeight="1">
      <x:c r="A53" s="10" t="str">
        <x:v>DEC14</x:v>
      </x:c>
      <x:c r="B53" s="10" t="str">
        <x:v>选路建议规则、DR-01抛比、同分、时间日历与供应商跨范围约束；容量策略隔离及最低成本同分／比较版本固定</x:v>
      </x:c>
      <x:c r="C53" s="42" t="str">
        <x:v>SM32、SM34—38、SM65、SM67、SM68</x:v>
      </x:c>
      <x:c r="D53" s="86" t="str">
        <x:v>待选择</x:v>
      </x:c>
      <x:c r="E53" s="10" t="str">
        <x:v>产品、算法</x:v>
      </x:c>
      <x:c r="F53" s="86" t="str">
        <x:v>待确认</x:v>
      </x:c>
      <x:c r="G53" s="86"/>
      <x:c r="H53" s="10" t="str">
        <x:f>IF(AND((COUNTIFS('冒烟用例'!$A$6:$A$96,"SM32",'冒烟用例'!$D$6:$D$96,"是")+COUNTIFS('冒烟用例'!$A$6:$A$96,"SM34",'冒烟用例'!$D$6:$D$96,"是")+COUNTIFS('冒烟用例'!$A$6:$A$96,"SM35",'冒烟用例'!$D$6:$D$96,"是")+COUNTIFS('冒烟用例'!$A$6:$A$96,"SM36",'冒烟用例'!$D$6:$D$96,"是")+COUNTIFS('冒烟用例'!$A$6:$A$96,"SM37",'冒烟用例'!$D$6:$D$96,"是")+COUNTIFS('冒烟用例'!$A$6:$A$96,"SM38",'冒烟用例'!$D$6:$D$96,"是")+COUNTIFS('冒烟用例'!$A$6:$A$96,"SM65",'冒烟用例'!$D$6:$D$96,"是")+COUNTIFS('冒烟用例'!$A$6:$A$96,"SM67",'冒烟用例'!$D$6:$D$96,"是")+COUNTIFS('冒烟用例'!$A$6:$A$96,"SM68",'冒烟用例'!$D$6:$D$96,"是"))&gt;0,D53="否"),"范围矛盾",IF(OR(D53="是",(COUNTIFS('冒烟用例'!$A$6:$A$96,"SM32",'冒烟用例'!$D$6:$D$96,"是")+COUNTIFS('冒烟用例'!$A$6:$A$96,"SM34",'冒烟用例'!$D$6:$D$96,"是")+COUNTIFS('冒烟用例'!$A$6:$A$96,"SM35",'冒烟用例'!$D$6:$D$96,"是")+COUNTIFS('冒烟用例'!$A$6:$A$96,"SM36",'冒烟用例'!$D$6:$D$96,"是")+COUNTIFS('冒烟用例'!$A$6:$A$96,"SM37",'冒烟用例'!$D$6:$D$96,"是")+COUNTIFS('冒烟用例'!$A$6:$A$96,"SM38",'冒烟用例'!$D$6:$D$96,"是")+COUNTIFS('冒烟用例'!$A$6:$A$96,"SM65",'冒烟用例'!$D$6:$D$96,"是")+COUNTIFS('冒烟用例'!$A$6:$A$96,"SM67",'冒烟用例'!$D$6:$D$96,"是")+COUNTIFS('冒烟用例'!$A$6:$A$96,"SM68",'冒烟用例'!$D$6:$D$96,"是"))&gt;0),IF(AND(F53="已确认",LEN(TRIM(G53))&gt;0),"已确认",IF(AND(F53="已记录后置",LEN(TRIM(G53))&gt;0),"核心依据不可后置","待确认")),IF(D53="否","不涉及","库内待选择")))</x:f>
        <x:v>库内待选择</x:v>
      </x:c>
    </x:row>
    <x:row r="54" ht="112.5" customHeight="1">
      <x:c r="A54" s="10" t="str">
        <x:v>DEC15</x:v>
      </x:c>
      <x:c r="B54" s="10" t="str">
        <x:v>单元多范围前缀、抛比零负／换算精度、容量零负；名称格式§6.2与§七13冲突及§七15改名权限；时间正文日期与评论纯时间</x:v>
      </x:c>
      <x:c r="C54" s="42" t="str">
        <x:v>SM29、SM63</x:v>
      </x:c>
      <x:c r="D54" s="86" t="str">
        <x:v>待选择</x:v>
      </x:c>
      <x:c r="E54" s="10" t="str">
        <x:v>产品</x:v>
      </x:c>
      <x:c r="F54" s="86" t="str">
        <x:v>待确认</x:v>
      </x:c>
      <x:c r="G54" s="86"/>
      <x:c r="H54" s="10" t="str">
        <x:f>IF(AND((COUNTIFS('冒烟用例'!$A$6:$A$96,"SM29",'冒烟用例'!$D$6:$D$96,"是")+COUNTIFS('冒烟用例'!$A$6:$A$96,"SM63",'冒烟用例'!$D$6:$D$96,"是"))&gt;0,D54="否"),"范围矛盾",IF(OR(D54="是",(COUNTIFS('冒烟用例'!$A$6:$A$96,"SM29",'冒烟用例'!$D$6:$D$96,"是")+COUNTIFS('冒烟用例'!$A$6:$A$96,"SM63",'冒烟用例'!$D$6:$D$96,"是"))&gt;0),IF(AND(F54="已确认",LEN(TRIM(G54))&gt;0),"已确认",IF(AND(F54="已记录后置",LEN(TRIM(G54))&gt;0),"核心依据不可后置","待确认")),IF(D54="否","不涉及","库内待选择")))</x:f>
        <x:v>库内待选择</x:v>
      </x:c>
    </x:row>
    <x:row r="55" ht="82.5" customHeight="1">
      <x:c r="A55" s="10" t="str">
        <x:v>DEC16</x:v>
      </x:c>
      <x:c r="B55" s="10" t="str">
        <x:v>已停用产品删除条件：历史引用条款已划线删除，不能继续照旧判定</x:v>
      </x:c>
      <x:c r="C55" s="42" t="str">
        <x:v>SM50</x:v>
      </x:c>
      <x:c r="D55" s="86" t="str">
        <x:v>待选择</x:v>
      </x:c>
      <x:c r="E55" s="10" t="str">
        <x:v>产品</x:v>
      </x:c>
      <x:c r="F55" s="86" t="str">
        <x:v>待确认</x:v>
      </x:c>
      <x:c r="G55" s="86"/>
      <x:c r="H55" s="10" t="str">
        <x:f>IF(AND((COUNTIFS('冒烟用例'!$A$6:$A$96,"SM50",'冒烟用例'!$D$6:$D$96,"是"))&gt;0,D55="否"),"范围矛盾",IF(OR(D55="是",(COUNTIFS('冒烟用例'!$A$6:$A$96,"SM50",'冒烟用例'!$D$6:$D$96,"是"))&gt;0),IF(AND(F55="已确认",LEN(TRIM(G55))&gt;0),"已确认",IF(AND(F55="已记录后置",LEN(TRIM(G55))&gt;0),"核心依据不可后置","待确认")),IF(D55="否","不涉及","库内待选择")))</x:f>
        <x:v>库内待选择</x:v>
      </x:c>
    </x:row>
    <x:row r="56" ht="82.5" customHeight="1">
      <x:c r="A56" s="10" t="str">
        <x:v>DEC17</x:v>
      </x:c>
      <x:c r="B56" s="10" t="str">
        <x:v>AI本批交付字段、来源对照、材料格式大小、失败恢复与保存流程</x:v>
      </x:c>
      <x:c r="C56" s="42" t="str">
        <x:v>SM27、UI16、UI37、UI38</x:v>
      </x:c>
      <x:c r="D56" s="86" t="str">
        <x:v>待选择</x:v>
      </x:c>
      <x:c r="E56" s="10" t="str">
        <x:v>产品、算法</x:v>
      </x:c>
      <x:c r="F56" s="86" t="str">
        <x:v>待确认</x:v>
      </x:c>
      <x:c r="G56" s="86"/>
      <x:c r="H56" s="10" t="str">
        <x:f>IF(AND((COUNTIFS('冒烟用例'!$A$6:$A$96,"SM27",'冒烟用例'!$D$6:$D$96,"是")+COUNTIFS('UI检查'!$A$6:$A$47,"UI16",'UI检查'!$D$6:$D$47,"是")+COUNTIFS('UI检查'!$A$6:$A$47,"UI37",'UI检查'!$D$6:$D$47,"是")+COUNTIFS('UI检查'!$A$6:$A$47,"UI38",'UI检查'!$D$6:$D$47,"是"))&gt;0,D56="否"),"范围矛盾",IF(OR(D56="是",(COUNTIFS('冒烟用例'!$A$6:$A$96,"SM27",'冒烟用例'!$D$6:$D$96,"是")+COUNTIFS('UI检查'!$A$6:$A$47,"UI16",'UI检查'!$D$6:$D$47,"是")+COUNTIFS('UI检查'!$A$6:$A$47,"UI37",'UI检查'!$D$6:$D$47,"是")+COUNTIFS('UI检查'!$A$6:$A$47,"UI38",'UI检查'!$D$6:$D$47,"是"))&gt;0),IF(AND(F56="已确认",LEN(TRIM(G56))&gt;0),"已确认",IF(AND(F56="已记录后置",LEN(TRIM(G56))&gt;0),"核心依据不可后置","待确认")),IF(D56="否","不涉及","库内待选择")))</x:f>
        <x:v>库内待选择</x:v>
      </x:c>
    </x:row>
    <x:row r="57" ht="108.75" customHeight="1">
      <x:c r="A57" s="10" t="str">
        <x:v>DEC18</x:v>
      </x:c>
      <x:c r="B57" s="10" t="str">
        <x:v>本批UI稿/规范版本、支持端/容差；Tabs40/触达44、页头94与4倍数、表头#F7F8FA/#F7F7F7源内差异须记录采用方案；只确认本批实际组件。</x:v>
      </x:c>
      <x:c r="C57" s="42" t="str">
        <x:v>UI01—42</x:v>
      </x:c>
      <x:c r="D57" s="86" t="str">
        <x:v>待选择</x:v>
      </x:c>
      <x:c r="E57" s="10" t="str">
        <x:v>UI、产品</x:v>
      </x:c>
      <x:c r="F57" s="86" t="str">
        <x:v>待确认</x:v>
      </x:c>
      <x:c r="G57" s="86"/>
      <x:c r="H57" s="10" t="str">
        <x:f>IF(AND((COUNTIFS('UI检查'!$A$6:$A$47,"UI01",'UI检查'!$D$6:$D$47,"是")+COUNTIFS('UI检查'!$A$6:$A$47,"UI02",'UI检查'!$D$6:$D$47,"是")+COUNTIFS('UI检查'!$A$6:$A$47,"UI03",'UI检查'!$D$6:$D$47,"是")+COUNTIFS('UI检查'!$A$6:$A$47,"UI04",'UI检查'!$D$6:$D$47,"是")+COUNTIFS('UI检查'!$A$6:$A$47,"UI05",'UI检查'!$D$6:$D$47,"是")+COUNTIFS('UI检查'!$A$6:$A$47,"UI06",'UI检查'!$D$6:$D$47,"是")+COUNTIFS('UI检查'!$A$6:$A$47,"UI07",'UI检查'!$D$6:$D$47,"是")+COUNTIFS('UI检查'!$A$6:$A$47,"UI08",'UI检查'!$D$6:$D$47,"是")+COUNTIFS('UI检查'!$A$6:$A$47,"UI09",'UI检查'!$D$6:$D$47,"是")+COUNTIFS('UI检查'!$A$6:$A$47,"UI10",'UI检查'!$D$6:$D$47,"是")+COUNTIFS('UI检查'!$A$6:$A$47,"UI11",'UI检查'!$D$6:$D$47,"是")+COUNTIFS('UI检查'!$A$6:$A$47,"UI12",'UI检查'!$D$6:$D$47,"是")+COUNTIFS('UI检查'!$A$6:$A$47,"UI13",'UI检查'!$D$6:$D$47,"是")+COUNTIFS('UI检查'!$A$6:$A$47,"UI14",'UI检查'!$D$6:$D$47,"是")+COUNTIFS('UI检查'!$A$6:$A$47,"UI15",'UI检查'!$D$6:$D$47,"是")+COUNTIFS('UI检查'!$A$6:$A$47,"UI16",'UI检查'!$D$6:$D$47,"是")+COUNTIFS('UI检查'!$A$6:$A$47,"UI17",'UI检查'!$D$6:$D$47,"是")+COUNTIFS('UI检查'!$A$6:$A$47,"UI18",'UI检查'!$D$6:$D$47,"是")+COUNTIFS('UI检查'!$A$6:$A$47,"UI19",'UI检查'!$D$6:$D$47,"是")+COUNTIFS('UI检查'!$A$6:$A$47,"UI20",'UI检查'!$D$6:$D$47,"是")+COUNTIFS('UI检查'!$A$6:$A$47,"UI21",'UI检查'!$D$6:$D$47,"是")+COUNTIFS('UI检查'!$A$6:$A$47,"UI22",'UI检查'!$D$6:$D$47,"是")+COUNTIFS('UI检查'!$A$6:$A$47,"UI23",'UI检查'!$D$6:$D$47,"是")+COUNTIFS('UI检查'!$A$6:$A$47,"UI24",'UI检查'!$D$6:$D$47,"是")+COUNTIFS('UI检查'!$A$6:$A$47,"UI25",'UI检查'!$D$6:$D$47,"是")+COUNTIFS('UI检查'!$A$6:$A$47,"UI26",'UI检查'!$D$6:$D$47,"是")+COUNTIFS('UI检查'!$A$6:$A$47,"UI27",'UI检查'!$D$6:$D$47,"是")+COUNTIFS('UI检查'!$A$6:$A$47,"UI28",'UI检查'!$D$6:$D$47,"是")+COUNTIFS('UI检查'!$A$6:$A$47,"UI29",'UI检查'!$D$6:$D$47,"是")+COUNTIFS('UI检查'!$A$6:$A$47,"UI30",'UI检查'!$D$6:$D$47,"是")+COUNTIFS('UI检查'!$A$6:$A$47,"UI31",'UI检查'!$D$6:$D$47,"是")+COUNTIFS('UI检查'!$A$6:$A$47,"UI32",'UI检查'!$D$6:$D$47,"是")+COUNTIFS('UI检查'!$A$6:$A$47,"UI33",'UI检查'!$D$6:$D$47,"是")+COUNTIFS('UI检查'!$A$6:$A$47,"UI34",'UI检查'!$D$6:$D$47,"是")+COUNTIFS('UI检查'!$A$6:$A$47,"UI35",'UI检查'!$D$6:$D$47,"是")+COUNTIFS('UI检查'!$A$6:$A$47,"UI36",'UI检查'!$D$6:$D$47,"是")+COUNTIFS('UI检查'!$A$6:$A$47,"UI37",'UI检查'!$D$6:$D$47,"是")+COUNTIFS('UI检查'!$A$6:$A$47,"UI38",'UI检查'!$D$6:$D$47,"是")+COUNTIFS('UI检查'!$A$6:$A$47,"UI39",'UI检查'!$D$6:$D$47,"是")+COUNTIFS('UI检查'!$A$6:$A$47,"UI40",'UI检查'!$D$6:$D$47,"是")+COUNTIFS('UI检查'!$A$6:$A$47,"UI41",'UI检查'!$D$6:$D$47,"是")+COUNTIFS('UI检查'!$A$6:$A$47,"UI42",'UI检查'!$D$6:$D$47,"是"))&gt;0,D57="否"),"范围矛盾",IF(OR(D57="是",(COUNTIFS('UI检查'!$A$6:$A$47,"UI01",'UI检查'!$D$6:$D$47,"是")+COUNTIFS('UI检查'!$A$6:$A$47,"UI02",'UI检查'!$D$6:$D$47,"是")+COUNTIFS('UI检查'!$A$6:$A$47,"UI03",'UI检查'!$D$6:$D$47,"是")+COUNTIFS('UI检查'!$A$6:$A$47,"UI04",'UI检查'!$D$6:$D$47,"是")+COUNTIFS('UI检查'!$A$6:$A$47,"UI05",'UI检查'!$D$6:$D$47,"是")+COUNTIFS('UI检查'!$A$6:$A$47,"UI06",'UI检查'!$D$6:$D$47,"是")+COUNTIFS('UI检查'!$A$6:$A$47,"UI07",'UI检查'!$D$6:$D$47,"是")+COUNTIFS('UI检查'!$A$6:$A$47,"UI08",'UI检查'!$D$6:$D$47,"是")+COUNTIFS('UI检查'!$A$6:$A$47,"UI09",'UI检查'!$D$6:$D$47,"是")+COUNTIFS('UI检查'!$A$6:$A$47,"UI10",'UI检查'!$D$6:$D$47,"是")+COUNTIFS('UI检查'!$A$6:$A$47,"UI11",'UI检查'!$D$6:$D$47,"是")+COUNTIFS('UI检查'!$A$6:$A$47,"UI12",'UI检查'!$D$6:$D$47,"是")+COUNTIFS('UI检查'!$A$6:$A$47,"UI13",'UI检查'!$D$6:$D$47,"是")+COUNTIFS('UI检查'!$A$6:$A$47,"UI14",'UI检查'!$D$6:$D$47,"是")+COUNTIFS('UI检查'!$A$6:$A$47,"UI15",'UI检查'!$D$6:$D$47,"是")+COUNTIFS('UI检查'!$A$6:$A$47,"UI16",'UI检查'!$D$6:$D$47,"是")+COUNTIFS('UI检查'!$A$6:$A$47,"UI17",'UI检查'!$D$6:$D$47,"是")+COUNTIFS('UI检查'!$A$6:$A$47,"UI18",'UI检查'!$D$6:$D$47,"是")+COUNTIFS('UI检查'!$A$6:$A$47,"UI19",'UI检查'!$D$6:$D$47,"是")+COUNTIFS('UI检查'!$A$6:$A$47,"UI20",'UI检查'!$D$6:$D$47,"是")+COUNTIFS('UI检查'!$A$6:$A$47,"UI21",'UI检查'!$D$6:$D$47,"是")+COUNTIFS('UI检查'!$A$6:$A$47,"UI22",'UI检查'!$D$6:$D$47,"是")+COUNTIFS('UI检查'!$A$6:$A$47,"UI23",'UI检查'!$D$6:$D$47,"是")+COUNTIFS('UI检查'!$A$6:$A$47,"UI24",'UI检查'!$D$6:$D$47,"是")+COUNTIFS('UI检查'!$A$6:$A$47,"UI25",'UI检查'!$D$6:$D$47,"是")+COUNTIFS('UI检查'!$A$6:$A$47,"UI26",'UI检查'!$D$6:$D$47,"是")+COUNTIFS('UI检查'!$A$6:$A$47,"UI27",'UI检查'!$D$6:$D$47,"是")+COUNTIFS('UI检查'!$A$6:$A$47,"UI28",'UI检查'!$D$6:$D$47,"是")+COUNTIFS('UI检查'!$A$6:$A$47,"UI29",'UI检查'!$D$6:$D$47,"是")+COUNTIFS('UI检查'!$A$6:$A$47,"UI30",'UI检查'!$D$6:$D$47,"是")+COUNTIFS('UI检查'!$A$6:$A$47,"UI31",'UI检查'!$D$6:$D$47,"是")+COUNTIFS('UI检查'!$A$6:$A$47,"UI32",'UI检查'!$D$6:$D$47,"是")+COUNTIFS('UI检查'!$A$6:$A$47,"UI33",'UI检查'!$D$6:$D$47,"是")+COUNTIFS('UI检查'!$A$6:$A$47,"UI34",'UI检查'!$D$6:$D$47,"是")+COUNTIFS('UI检查'!$A$6:$A$47,"UI35",'UI检查'!$D$6:$D$47,"是")+COUNTIFS('UI检查'!$A$6:$A$47,"UI36",'UI检查'!$D$6:$D$47,"是")+COUNTIFS('UI检查'!$A$6:$A$47,"UI37",'UI检查'!$D$6:$D$47,"是")+COUNTIFS('UI检查'!$A$6:$A$47,"UI38",'UI检查'!$D$6:$D$47,"是")+COUNTIFS('UI检查'!$A$6:$A$47,"UI39",'UI检查'!$D$6:$D$47,"是")+COUNTIFS('UI检查'!$A$6:$A$47,"UI40",'UI检查'!$D$6:$D$47,"是")+COUNTIFS('UI检查'!$A$6:$A$47,"UI41",'UI检查'!$D$6:$D$47,"是")+COUNTIFS('UI检查'!$A$6:$A$47,"UI42",'UI检查'!$D$6:$D$47,"是"))&gt;0),IF(AND(F57="已确认",LEN(TRIM(G57))&gt;0),"已确认",IF(AND(F57="已记录后置",LEN(TRIM(G57))&gt;0),"核心依据不可后置","待确认")),IF(D57="否","不涉及","库内待选择")))</x:f>
        <x:v>库内待选择</x:v>
      </x:c>
    </x:row>
    <x:row r="58" ht="112.5" customHeight="1">
      <x:c r="A58" s="10" t="str">
        <x:v>DEC19</x:v>
      </x:c>
      <x:c r="B58" s="10" t="str">
        <x:v>计费／生效端点、进位方向与金额／汇率精度；旧生效卡编辑时间校验；产品改价取值、默认覆盖例外、恢复来源快照；矩阵相邻、具体费用公式及裁决口径</x:v>
      </x:c>
      <x:c r="C58" s="42" t="str">
        <x:v>SM23、SM25、SM41、SM47、SM48、SM52、SM56、SM68—70、SM77、SM79</x:v>
      </x:c>
      <x:c r="D58" s="86" t="str">
        <x:v>待选择</x:v>
      </x:c>
      <x:c r="E58" s="10" t="str">
        <x:v>产品、开发</x:v>
      </x:c>
      <x:c r="F58" s="86" t="str">
        <x:v>待确认</x:v>
      </x:c>
      <x:c r="G58" s="86"/>
      <x:c r="H58" s="10" t="str">
        <x:f>IF(AND((COUNTIFS('冒烟用例'!$A$6:$A$96,"SM23",'冒烟用例'!$D$6:$D$96,"是")+COUNTIFS('冒烟用例'!$A$6:$A$96,"SM25",'冒烟用例'!$D$6:$D$96,"是")+COUNTIFS('冒烟用例'!$A$6:$A$96,"SM41",'冒烟用例'!$D$6:$D$96,"是")+COUNTIFS('冒烟用例'!$A$6:$A$96,"SM47",'冒烟用例'!$D$6:$D$96,"是")+COUNTIFS('冒烟用例'!$A$6:$A$96,"SM48",'冒烟用例'!$D$6:$D$96,"是")+COUNTIFS('冒烟用例'!$A$6:$A$96,"SM52",'冒烟用例'!$D$6:$D$96,"是")+COUNTIFS('冒烟用例'!$A$6:$A$96,"SM56",'冒烟用例'!$D$6:$D$96,"是")+COUNTIFS('冒烟用例'!$A$6:$A$96,"SM68",'冒烟用例'!$D$6:$D$96,"是")+COUNTIFS('冒烟用例'!$A$6:$A$96,"SM69",'冒烟用例'!$D$6:$D$96,"是")+COUNTIFS('冒烟用例'!$A$6:$A$96,"SM70",'冒烟用例'!$D$6:$D$96,"是")+COUNTIFS('冒烟用例'!$A$6:$A$96,"SM77",'冒烟用例'!$D$6:$D$96,"是")+COUNTIFS('冒烟用例'!$A$6:$A$96,"SM79",'冒烟用例'!$D$6:$D$96,"是"))&gt;0,D58="否"),"范围矛盾",IF(OR(D58="是",(COUNTIFS('冒烟用例'!$A$6:$A$96,"SM23",'冒烟用例'!$D$6:$D$96,"是")+COUNTIFS('冒烟用例'!$A$6:$A$96,"SM25",'冒烟用例'!$D$6:$D$96,"是")+COUNTIFS('冒烟用例'!$A$6:$A$96,"SM41",'冒烟用例'!$D$6:$D$96,"是")+COUNTIFS('冒烟用例'!$A$6:$A$96,"SM47",'冒烟用例'!$D$6:$D$96,"是")+COUNTIFS('冒烟用例'!$A$6:$A$96,"SM48",'冒烟用例'!$D$6:$D$96,"是")+COUNTIFS('冒烟用例'!$A$6:$A$96,"SM52",'冒烟用例'!$D$6:$D$96,"是")+COUNTIFS('冒烟用例'!$A$6:$A$96,"SM56",'冒烟用例'!$D$6:$D$96,"是")+COUNTIFS('冒烟用例'!$A$6:$A$96,"SM68",'冒烟用例'!$D$6:$D$96,"是")+COUNTIFS('冒烟用例'!$A$6:$A$96,"SM69",'冒烟用例'!$D$6:$D$96,"是")+COUNTIFS('冒烟用例'!$A$6:$A$96,"SM70",'冒烟用例'!$D$6:$D$96,"是")+COUNTIFS('冒烟用例'!$A$6:$A$96,"SM77",'冒烟用例'!$D$6:$D$96,"是")+COUNTIFS('冒烟用例'!$A$6:$A$96,"SM79",'冒烟用例'!$D$6:$D$96,"是"))&gt;0),IF(AND(F58="已确认",LEN(TRIM(G58))&gt;0),"已确认",IF(AND(F58="已记录后置",LEN(TRIM(G58))&gt;0),"核心依据不可后置","待确认")),IF(D58="否","不涉及","库内待选择")))</x:f>
        <x:v>库内待选择</x:v>
      </x:c>
    </x:row>
    <x:row r="59" ht="82.5" customHeight="1">
      <x:c r="A59" s="10" t="str">
        <x:v>DEC20</x:v>
      </x:c>
      <x:c r="B59" s="10" t="str">
        <x:v>本批交付清单逐项覆盖：新增／修改项、受影响链路、执行层次及未纳入理由；由B17签认</x:v>
      </x:c>
      <x:c r="C59" s="42" t="str">
        <x:v>全部检查</x:v>
      </x:c>
      <x:c r="D59" s="86" t="str">
        <x:v>待选择</x:v>
      </x:c>
      <x:c r="E59" s="10" t="str">
        <x:v>开发、测试、产品</x:v>
      </x:c>
      <x:c r="F59" s="86" t="str">
        <x:v>待确认</x:v>
      </x:c>
      <x:c r="G59" s="86"/>
      <x:c r="H59" s="10" t="str">
        <x:f>IF(AND((0)&gt;0,D59="否"),"范围矛盾",IF(OR(D59="是",(0)&gt;0),IF(AND(F59="已确认",LEN(TRIM(G59))&gt;0),"已确认",IF(AND(F59="已记录后置",LEN(TRIM(G59))&gt;0),"核心依据不可后置","待确认")),IF(D59="否","不涉及","库内待选择")))</x:f>
        <x:v>库内待选择</x:v>
      </x:c>
    </x:row>
    <x:row r="60" ht="112.5" customHeight="1">
      <x:c r="A60" s="10" t="str">
        <x:v>DEC21</x:v>
      </x:c>
      <x:c r="B60" s="10" t="str">
        <x:v>计费历史分期：§6.1 P0与§6.4可放P1冲突；OMS接入／测试回传、快照样例及多币种合计口径</x:v>
      </x:c>
      <x:c r="C60" s="42" t="str">
        <x:v>SM26、SM59、SM60、SM81</x:v>
      </x:c>
      <x:c r="D60" s="86" t="str">
        <x:v>待选择</x:v>
      </x:c>
      <x:c r="E60" s="10" t="str">
        <x:v>产品、开发、测试</x:v>
      </x:c>
      <x:c r="F60" s="86" t="str">
        <x:v>待确认</x:v>
      </x:c>
      <x:c r="G60" s="86"/>
      <x:c r="H60" s="10" t="str">
        <x:f>IF(AND((COUNTIFS('冒烟用例'!$A$6:$A$96,"SM26",'冒烟用例'!$D$6:$D$96,"是")+COUNTIFS('冒烟用例'!$A$6:$A$96,"SM59",'冒烟用例'!$D$6:$D$96,"是")+COUNTIFS('冒烟用例'!$A$6:$A$96,"SM60",'冒烟用例'!$D$6:$D$96,"是")+COUNTIFS('冒烟用例'!$A$6:$A$96,"SM81",'冒烟用例'!$D$6:$D$96,"是"))&gt;0,D60="否"),"范围矛盾",IF(OR(D60="是",(COUNTIFS('冒烟用例'!$A$6:$A$96,"SM26",'冒烟用例'!$D$6:$D$96,"是")+COUNTIFS('冒烟用例'!$A$6:$A$96,"SM59",'冒烟用例'!$D$6:$D$96,"是")+COUNTIFS('冒烟用例'!$A$6:$A$96,"SM60",'冒烟用例'!$D$6:$D$96,"是")+COUNTIFS('冒烟用例'!$A$6:$A$96,"SM81",'冒烟用例'!$D$6:$D$96,"是"))&gt;0),IF(AND(F60="已确认",LEN(TRIM(G60))&gt;0),"已确认",IF(AND(F60="已记录后置",LEN(TRIM(G60))&gt;0),"核心依据不可后置","待确认")),IF(D60="否","不涉及","库内待选择")))</x:f>
        <x:v>库内待选择</x:v>
      </x:c>
    </x:row>
    <x:row r="61" ht="112.5" customHeight="1">
      <x:c r="A61" s="10" t="str">
        <x:v>DEC22</x:v>
      </x:c>
      <x:c r="B61" s="10" t="str">
        <x:v>下单规则反馈：正文显示已选数量与Review删除Tag/数量汇总如何取舍；跨页选择与保存不丢失</x:v>
      </x:c>
      <x:c r="C61" s="42" t="str">
        <x:v>UI03、SM63</x:v>
      </x:c>
      <x:c r="D61" s="86" t="str">
        <x:v>待选择</x:v>
      </x:c>
      <x:c r="E61" s="10" t="str">
        <x:v>产品、UI、开发</x:v>
      </x:c>
      <x:c r="F61" s="86" t="str">
        <x:v>待确认</x:v>
      </x:c>
      <x:c r="G61" s="86"/>
      <x:c r="H61" s="10" t="str">
        <x:f>IF(AND((COUNTIFS('UI检查'!$A$6:$A$47,"UI03",'UI检查'!$D$6:$D$47,"是")+COUNTIFS('冒烟用例'!$A$6:$A$96,"SM63",'冒烟用例'!$D$6:$D$96,"是"))&gt;0,D61="否"),"范围矛盾",IF(OR(D61="是",(COUNTIFS('UI检查'!$A$6:$A$47,"UI03",'UI检查'!$D$6:$D$47,"是")+COUNTIFS('冒烟用例'!$A$6:$A$96,"SM63",'冒烟用例'!$D$6:$D$96,"是"))&gt;0),IF(AND(F61="已确认",LEN(TRIM(G61))&gt;0),"已确认",IF(AND(F61="已记录后置",LEN(TRIM(G61))&gt;0),"核心依据不可后置","待确认")),IF(D61="否","不涉及","库内待选择")))</x:f>
        <x:v>库内待选择</x:v>
      </x:c>
    </x:row>
    <x:row r="62" ht="21" customHeight="1">
      <x:c r="A62" s="2"/>
      <x:c r="B62" s="2"/>
      <x:c r="C62" s="2"/>
      <x:c r="D62" s="2"/>
      <x:c r="E62" s="2"/>
      <x:c r="F62" s="2"/>
      <x:c r="G62" s="2"/>
      <x:c r="H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</x:row>
    <x:row r="64" ht="21" customHeight="1">
      <x:c r="A64" s="27" t="str">
        <x:v>参考资料与读取快照</x:v>
      </x:c>
      <x:c r="B64" s="2"/>
      <x:c r="C64" s="2"/>
      <x:c r="D64" s="2"/>
      <x:c r="E64" s="2"/>
      <x:c r="F64" s="2"/>
      <x:c r="G64" s="2"/>
      <x:c r="H64" s="2"/>
    </x:row>
    <x:row r="65" ht="21" customHeight="1">
      <x:c r="A65" s="2" t="str">
        <x:v>来源 ID</x:v>
      </x:c>
      <x:c r="B65" s="2" t="str">
        <x:v>资料／观察范围</x:v>
      </x:c>
      <x:c r="C65" s="2"/>
      <x:c r="D65" s="2"/>
      <x:c r="E65" s="2"/>
      <x:c r="F65" s="2"/>
      <x:c r="G65" s="2" t="str">
        <x:v>来源链接</x:v>
      </x:c>
      <x:c r="H65" s="2"/>
    </x:row>
    <x:row r="66" ht="54" customHeight="1">
      <x:c r="A66" s="2" t="str">
        <x:v>REQ</x:v>
      </x:c>
      <x:c r="B66" s="10" t="str">
        <x:v>产品管理及数据映射V1.0评审稿；2026-10-12完整只读获取revision8340，按正文、删除线、评论与待确认项区别复核；沿用的引用调研/旧接口本轮未重读。</x:v>
      </x:c>
      <x:c r="C66" s="2"/>
      <x:c r="D66" s="2"/>
      <x:c r="E66" s="2"/>
      <x:c r="F66" s="2"/>
      <x:c r="G66" s="10" t="str">
        <x:v>https://example.invalid/source/662ffe8557</x:v>
      </x:c>
      <x:c r="H66" s="2"/>
    </x:row>
    <x:row r="67" ht="54" customHeight="1">
      <x:c r="A67" s="2" t="str">
        <x:v>REVIEW</x:v>
      </x:c>
      <x:c r="B67" s="10" t="str">
        <x:v>UI Review视图rev637，2026-10-12完整读取22条，21有效＋1空记录；全部有效记录ID映射到UI case。</x:v>
      </x:c>
      <x:c r="C67" s="2"/>
      <x:c r="D67" s="2"/>
      <x:c r="E67" s="2"/>
      <x:c r="F67" s="2"/>
      <x:c r="G67" s="10" t="str">
        <x:v>https://example.invalid/source/e04459bb0b</x:v>
      </x:c>
      <x:c r="H67" s="2"/>
    </x:row>
    <x:row r="68" ht="54" customHeight="1">
      <x:c r="A68" s="2" t="str">
        <x:v>SPEC</x:v>
      </x:c>
      <x:c r="B68" s="10" t="str">
        <x:v>通用规范V1.2 revision5256；首轮12份内嵌表，二次补7份加载/空态/长文本/数字/时间/主色/圆角，共19份。源内及项目数值差异按DEC10/18确认；表头色不可默任选。</x:v>
      </x:c>
      <x:c r="C68" s="2"/>
      <x:c r="D68" s="2"/>
      <x:c r="E68" s="2"/>
      <x:c r="F68" s="2"/>
      <x:c r="G68" s="10" t="str">
        <x:v>https://example.invalid/source/05cc32fecc</x:v>
      </x:c>
      <x:c r="H68" s="2"/>
    </x:row>
    <x:row r="69" ht="54" customHeight="1">
      <x:c r="A69" s="2" t="str">
        <x:v>TEST</x:v>
      </x:c>
      <x:c r="B69" s="10" t="str">
        <x:v>历史环境链接；2026-10-10曾回到登录。本轮未访问，无当前环境可用性或实测结论。</x:v>
      </x:c>
      <x:c r="C69" s="2"/>
      <x:c r="D69" s="2"/>
      <x:c r="E69" s="2"/>
      <x:c r="F69" s="2"/>
      <x:c r="G69" s="10" t="str">
        <x:v>https://localhost/pcs/system-config/master-data?group=dictionary&amp;resource=airline</x:v>
      </x:c>
      <x:c r="H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</x:row>
    <x:row r="71" ht="63.75" customHeight="1">
      <x:c r="A71" s="2" t="str">
        <x:v>使用约定</x:v>
      </x:c>
      <x:c r="B71" s="10" t="str">
        <x:v>128检查点全部未执行；本轮完成资料、用例与检查表统计逻辑复核。执行前补批次/Build/交付映射/批准基线；外部模型、供应商接口和实际数据操作依本批授权。</x:v>
      </x:c>
      <x:c r="C71" s="2"/>
      <x:c r="D71" s="2"/>
      <x:c r="E71" s="2"/>
      <x:c r="F71" s="2"/>
      <x:c r="G71" s="2"/>
      <x:c r="H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</x:row>
    <x:row r="73" ht="78.75" customHeight="1">
      <x:c r="A73" s="2" t="str">
        <x:v>原型 Review 快照</x:v>
      </x:c>
      <x:c r="B73" s="10" t="str">
        <x:v>当前20条Review：P0 7、P1 8、P2 5；已修改1、修改中2、待确认17。适配：直接复用14、组合复用2、调整后复用1、无法覆盖2、信息待明确1。1条空记录不计检查覆盖。</x:v>
      </x:c>
      <x:c r="C73" s="2"/>
      <x:c r="D73" s="2"/>
      <x:c r="E73" s="2"/>
      <x:c r="F73" s="2"/>
      <x:c r="G73" s="2"/>
      <x:c r="H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</x:row>
    <x:row r="75" ht="90" customHeight="1">
      <x:c r="A75" s="2" t="str">
        <x:v>本次用例修订</x:v>
      </x:c>
      <x:c r="B75" s="10" t="str">
        <x:v>新增SM83—88六条基础配置具体检查；UI35—40六条页面承载/入口、AI状态、上传和规范量值检查；更新18条旧Review来源。复核明细见下方R01—R13。</x:v>
      </x:c>
      <x:c r="C75" s="2"/>
      <x:c r="D75" s="2"/>
      <x:c r="E75" s="2"/>
      <x:c r="F75" s="2"/>
      <x:c r="G75" s="2"/>
      <x:c r="H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</x:row>
    <x:row r="77" ht="78.75" customHeight="1">
      <x:c r="A77" s="2" t="str">
        <x:v>重点冲突</x:v>
      </x:c>
      <x:c r="B77" s="10" t="str">
        <x:v>保留DEC10/11/12/19/21/22，补DEC23新建页面、DEC24汇率生命周期、DEC25财务生效；DEC18补页头94px与4倍数说明冲突。本批纳入关联用例后才纳入待决范围。</x:v>
      </x:c>
      <x:c r="C77" s="2"/>
      <x:c r="D77" s="2"/>
      <x:c r="E77" s="2"/>
      <x:c r="F77" s="2"/>
      <x:c r="G77" s="2"/>
      <x:c r="H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</x:row>
    <x:row r="79" ht="127.5" customHeight="1">
      <x:c r="A79" s="2" t="str">
        <x:v>决策联动规则</x:v>
      </x:c>
      <x:c r="B79" s="10" t="str">
        <x:v>关联用例设是后决策自动纳入；手填否显示范围矛盾；确认须方案/日期版本/证据。DEC01/02/03/23承载方案可记录后置，但须批准本批可测的现行方案、负责人、期限、影响和接受证据；核心规则不得后置。最终提测仍需人工评审。</x:v>
      </x:c>
      <x:c r="C79" s="2"/>
      <x:c r="D79" s="2"/>
      <x:c r="E79" s="2"/>
      <x:c r="F79" s="2"/>
      <x:c r="G79" s="2"/>
      <x:c r="H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</x:row>
    <x:row r="82" ht="28.5" customHeight="1">
      <x:c r="A82" s="152" t="str">
        <x:v>按需求设计用例｜思路补充（测试建议）</x:v>
      </x:c>
      <x:c r="B82" s="152"/>
      <x:c r="C82" s="152"/>
      <x:c r="D82" s="152"/>
      <x:c r="E82" s="152"/>
      <x:c r="F82" s="152"/>
      <x:c r="G82" s="152"/>
      <x:c r="H82" s="152"/>
    </x:row>
    <x:row r="83" ht="75" customHeight="1">
      <x:c r="A83" s="10" t="str">
        <x:v>当前库：28冒烟＋63专项＋42UI，共133检查点；颜色表示框架适配层级，来源确认状态、本批采用及测试结果分别判断。</x:v>
      </x:c>
      <x:c r="B83" s="10"/>
      <x:c r="C83" s="10"/>
      <x:c r="D83" s="10"/>
      <x:c r="E83" s="10"/>
      <x:c r="F83" s="10"/>
      <x:c r="G83" s="10"/>
      <x:c r="H83" s="10"/>
    </x:row>
    <x:row r="84" ht="21" customHeight="1">
      <x:c r="A84" s="10"/>
      <x:c r="B84" s="10"/>
      <x:c r="C84" s="10"/>
      <x:c r="D84" s="10"/>
      <x:c r="E84" s="10"/>
      <x:c r="F84" s="10"/>
      <x:c r="G84" s="10"/>
      <x:c r="H84" s="10"/>
    </x:row>
    <x:row r="85" ht="49.5" customHeight="1">
      <x:c r="A85" s="153" t="str">
        <x:v>1. 先从交付清单定范围</x:v>
      </x:c>
      <x:c r="B85" s="154" t="str">
        <x:v>将每个交付项映射到现有SM／UI编号；库内有用例不代表本批交付。未覆盖项补关联或说明原因，填写本批适用与交付项ID。冒烟、专项回归、UI核对分别选择，不能拿整库检查点数作本批固定分母。</x:v>
      </x:c>
      <x:c r="C85" s="154"/>
      <x:c r="D85" s="154"/>
      <x:c r="E85" s="154"/>
      <x:c r="F85" s="154"/>
      <x:c r="G85" s="154"/>
      <x:c r="H85" s="154"/>
    </x:row>
    <x:row r="86" ht="49.5" customHeight="1">
      <x:c r="A86" s="155" t="str">
        <x:v>2. 把需求拆成可观察规则</x:v>
      </x:c>
      <x:c r="B86" s="156" t="str">
        <x:v>按前置条件、输入、动作、状态、输出、受影响对象六项拆解。正文中的必填／唯一／不允许用等价类和边界；状态变化用状态迁移；选择规则用决策表；版本和历史用前后快照对照。删线条款不纳入；评论及缺口交关联DEC确认。</x:v>
      </x:c>
      <x:c r="C86" s="156"/>
      <x:c r="D86" s="156"/>
      <x:c r="E86" s="156"/>
      <x:c r="F86" s="156"/>
      <x:c r="G86" s="156"/>
      <x:c r="H86" s="156"/>
    </x:row>
    <x:row r="87" ht="49.5" customHeight="1">
      <x:c r="A87" s="153" t="str">
        <x:v>3. 先跑最短可用链路</x:v>
      </x:c>
      <x:c r="B87" s="154" t="str">
        <x:v>只为本批已交付且依赖可用的功能拼链：字典→引用表单；单元→成本卡→产品编排／发布→单票成本模拟。按选中模块运行通用检查。历史／重新计费需本批确认分期及OMS测试回传，不能用试算记录替代OMS历史。</x:v>
      </x:c>
      <x:c r="C87" s="154"/>
      <x:c r="D87" s="154"/>
      <x:c r="E87" s="154"/>
      <x:c r="F87" s="154"/>
      <x:c r="G87" s="154"/>
      <x:c r="H87" s="154"/>
    </x:row>
    <x:row r="88" ht="49.5" customHeight="1">
      <x:c r="A88" s="155" t="str">
        <x:v>4. 再补有风险的反例</x:v>
      </x:c>
      <x:c r="B88" s="156" t="str">
        <x:v>每个冒烟检查点先取一组有效输入及关键失败路径；精度、端点、多条件组合、并发等放入专项回归。数据按有效／无效／缺失、启用／待生效／停用、无引用／有引用、新配置／历史快照成对选择；避免无目的地穷举全部组合。此取舍是测试建议。</x:v>
      </x:c>
      <x:c r="C88" s="156"/>
      <x:c r="D88" s="156"/>
      <x:c r="E88" s="156"/>
      <x:c r="F88" s="156"/>
      <x:c r="G88" s="156"/>
      <x:c r="H88" s="156"/>
    </x:row>
    <x:row r="89" ht="49.5" customHeight="1">
      <x:c r="A89" s="153" t="str">
        <x:v>5. 用独立证据判定</x:v>
      </x:c>
      <x:c r="B89" s="154" t="str">
        <x:v>保存后重新查询读回；计算用批准独立账本逐费用核算。每个编号的U／AE列分支清单分别留证，所有本批适用必需分支都完成才标整行通过；未完成记未执行／受阻，不能用单个成功提示代表整行。版本比对ID、历史和当前指针；历史以OMS快照为据；UI固定数据、视口、缩放及基线另实操交互。</x:v>
      </x:c>
      <x:c r="C89" s="154"/>
      <x:c r="D89" s="154"/>
      <x:c r="E89" s="154"/>
      <x:c r="F89" s="154"/>
      <x:c r="G89" s="154"/>
      <x:c r="H89" s="154"/>
    </x:row>
    <x:row r="90" ht="49.5" customHeight="1">
      <x:c r="A90" s="155" t="str">
        <x:v>6. 变化后按影响复测</x:v>
      </x:c>
      <x:c r="B90" s="156" t="str">
        <x:v>规则或组件变化后按交付影响点复测相关SM／UI及上下游；通过需对应本批Build及批准基线。建议同时报：依据确认覆盖率=已确认适用UI项／全部适用UI项；符合度=有效通过UI项／已确认适用UI项（分母为0记不可计算，未执行／受阻不计通过）。已确认须含关联DEC已决和批准现行方案；待确认、未执行、受阻单列，不能因符合度高而略去。口径、容差和准入阈值先由团队确认。</x:v>
      </x:c>
      <x:c r="C90" s="156"/>
      <x:c r="D90" s="156"/>
      <x:c r="E90" s="156"/>
      <x:c r="F90" s="156"/>
      <x:c r="G90" s="156"/>
      <x:c r="H90" s="156"/>
    </x:row>
    <x:row r="91">
      <x:c r="A91" s="10"/>
      <x:c r="B91" s="10"/>
      <x:c r="C91" s="10"/>
      <x:c r="D91" s="10"/>
      <x:c r="E91" s="10"/>
      <x:c r="F91" s="10"/>
      <x:c r="G91" s="10"/>
      <x:c r="H91" s="10"/>
    </x:row>
    <x:row r="92" ht="28.5" customHeight="1">
      <x:c r="A92" s="106" t="str">
        <x:v>模块风险与方法对照｜按本批范围选用，不等于新增验收规则</x:v>
      </x:c>
      <x:c r="B92" s="106"/>
      <x:c r="C92" s="106"/>
      <x:c r="D92" s="106"/>
      <x:c r="E92" s="106"/>
      <x:c r="F92" s="106"/>
      <x:c r="G92" s="106"/>
      <x:c r="H92" s="106"/>
    </x:row>
    <x:row r="93">
      <x:c r="A93" s="10"/>
      <x:c r="B93" s="10"/>
      <x:c r="C93" s="10"/>
      <x:c r="D93" s="10"/>
      <x:c r="E93" s="10"/>
      <x:c r="F93" s="10"/>
      <x:c r="G93" s="10"/>
      <x:c r="H93" s="10"/>
    </x:row>
    <x:row r="94" ht="31.5" customHeight="1">
      <x:c r="A94" s="150" t="str">
        <x:v>模块／主题</x:v>
      </x:c>
      <x:c r="B94" s="150" t="str">
        <x:v>对应现有用例</x:v>
      </x:c>
      <x:c r="C94" s="150" t="str">
        <x:v>需求依据</x:v>
      </x:c>
      <x:c r="D94" s="150" t="str">
        <x:v>主要风险</x:v>
      </x:c>
      <x:c r="E94" s="150" t="str">
        <x:v>设计方法（建议）</x:v>
      </x:c>
      <x:c r="F94" s="150" t="str">
        <x:v>测试数据选择</x:v>
      </x:c>
      <x:c r="G94" s="150" t="str">
        <x:v>判定与证据</x:v>
      </x:c>
      <x:c r="H94" s="150" t="str">
        <x:v>适用条件／待决策</x:v>
      </x:c>
    </x:row>
    <x:row r="95" ht="91.5" customHeight="1">
      <x:c r="A95" s="154" t="str">
        <x:v>通用与入口</x:v>
      </x:c>
      <x:c r="B95" s="154" t="str">
        <x:v>SM01—05；本轮补充SM80、SM82</x:v>
      </x:c>
      <x:c r="C95" s="154" t="str">
        <x:v>共通检查／Review17</x:v>
      </x:c>
      <x:c r="D95" s="154" t="str">
        <x:v>错误身份、深链接和刷新断链</x:v>
      </x:c>
      <x:c r="E95" s="154" t="str">
        <x:v>正反账号／入口对照</x:v>
      </x:c>
      <x:c r="F95" s="154" t="str">
        <x:v>本批角色、目标URL、约定保留状态</x:v>
      </x:c>
      <x:c r="G95" s="154" t="str">
        <x:v>身份、路由、请求结果及保存读回</x:v>
      </x:c>
      <x:c r="H95" s="154" t="str">
        <x:v>按本批页面选择；权限细则不是PRD已定事实</x:v>
      </x:c>
    </x:row>
    <x:row r="96" ht="91.5" customHeight="1">
      <x:c r="A96" s="156" t="str">
        <x:v>字典与表单联动</x:v>
      </x:c>
      <x:c r="B96" s="156" t="str">
        <x:v>SM06—18、57；本轮补充SM63</x:v>
      </x:c>
      <x:c r="C96" s="156" t="str">
        <x:v>REQ §6.5／§6.4</x:v>
      </x:c>
      <x:c r="D96" s="156" t="str">
        <x:v>新增成功但表单不可用；删除破坏历史</x:v>
      </x:c>
      <x:c r="E96" s="156" t="str">
        <x:v>等价类＋CRUD闭环＋前后对照</x:v>
      </x:c>
      <x:c r="F96" s="156" t="str">
        <x:v>普通／编码字典；有／无历史引用；拒收／转人工</x:v>
      </x:c>
      <x:c r="G96" s="156" t="str">
        <x:v>重查选项、表单存值、原历史单据</x:v>
      </x:c>
      <x:c r="H96" s="156" t="str">
        <x:v>航司类型／格式／唯一性DEC06；分类CRUD DEC07</x:v>
      </x:c>
    </x:row>
    <x:row r="97" ht="91.5" customHeight="1">
      <x:c r="A97" s="154" t="str">
        <x:v>地点与分区</x:v>
      </x:c>
      <x:c r="B97" s="154" t="str">
        <x:v>SM19—20、43、58；本轮补充SM72</x:v>
      </x:c>
      <x:c r="C97" s="154" t="str">
        <x:v>REQ §6.5／§6.3</x:v>
      </x:c>
      <x:c r="D97" s="154" t="str">
        <x:v>邮编属性、启用引用、版本匹配错误</x:v>
      </x:c>
      <x:c r="E97" s="154" t="str">
        <x:v>边界＋表达类＋引用联动</x:v>
      </x:c>
      <x:c r="F97" s="154" t="str">
        <x:v>ISO2、重复ID、精确／前缀／区间邮编、地点版本</x:v>
      </x:c>
      <x:c r="G97" s="154" t="str">
        <x:v>属性读回、分区引用与匹配结果、当前版本</x:v>
      </x:c>
      <x:c r="H97" s="154" t="str">
        <x:v>邮编是地点属性；未定邮编匹配边界另确认，不冒用计费DEC19</x:v>
      </x:c>
    </x:row>
    <x:row r="98" ht="91.5" customHeight="1">
      <x:c r="A98" s="156" t="str">
        <x:v>单元与组合</x:v>
      </x:c>
      <x:c r="B98" s="156" t="str">
        <x:v>SM21—22、28—33、54、61；本轮补充SM63–66</x:v>
      </x:c>
      <x:c r="C98" s="156" t="str">
        <x:v>REQ §6.2</x:v>
      </x:c>
      <x:c r="D98" s="156" t="str">
        <x:v>停用仍选用、版本滥增、绑定数重复</x:v>
      </x:c>
      <x:c r="E98" s="156" t="str">
        <x:v>状态迁移＋约束表＋版本／去重对照</x:v>
      </x:c>
      <x:c r="F98" s="156" t="str">
        <x:v>2000字边界；新／有引用；六产品四生效；两会话旧版</x:v>
      </x:c>
      <x:c r="G98" s="156" t="str">
        <x:v>当前及历史配置、产品状态、保存对象、4/6与0/0</x:v>
      </x:c>
      <x:c r="H98" s="156" t="str">
        <x:v>价卡同步DEC13；规则选择与组合分页不同；绑定按直接产品编码</x:v>
      </x:c>
    </x:row>
    <x:row r="99" ht="91.5" customHeight="1">
      <x:c r="A99" s="154" t="str">
        <x:v>选路策略</x:v>
      </x:c>
      <x:c r="B99" s="154" t="str">
        <x:v>SM34—38、62；本轮补充SM67–68</x:v>
      </x:c>
      <x:c r="C99" s="154" t="str">
        <x:v>REQ §6.2策略算例／详情</x:v>
      </x:c>
      <x:c r="D99" s="154" t="str">
        <x:v>算法口径误用、引用数重复累计</x:v>
      </x:c>
      <x:c r="E99" s="154" t="str">
        <x:v>决策表＋人工算例＋引用去重</x:v>
      </x:c>
      <x:c r="F99" s="154" t="str">
        <x:v>P-01—05；不可用／同分／缺参数；启停组合多版本</x:v>
      </x:c>
      <x:c r="G99" s="154" t="str">
        <x:v>选中成员、排除原因、规则说明和当前引用数</x:v>
      </x:c>
      <x:c r="H99" s="154" t="str">
        <x:v>建议算法与DR-01先DEC14；不新增策略；历史版本引用不累加</x:v>
      </x:c>
    </x:row>
    <x:row r="100" ht="91.5" customHeight="1">
      <x:c r="A100" s="156" t="str">
        <x:v>成本卡与燃油</x:v>
      </x:c>
      <x:c r="B100" s="156" t="str">
        <x:v>SM23、39—45；本轮补充SM69–72、SM76</x:v>
      </x:c>
      <x:c r="C100" s="156" t="str">
        <x:v>REQ §6.3</x:v>
      </x:c>
      <x:c r="D100" s="156" t="str">
        <x:v>无效卡参与计算、旧价被覆盖、燃油误乘</x:v>
      </x:c>
      <x:c r="E100" s="156" t="str">
        <x:v>状态／时间边界＋分支＋版本对照</x:v>
      </x:c>
      <x:c r="F100" s="156" t="str">
        <x:v>开始前／期内／结束后；静态／动态；运费／附加费</x:v>
      </x:c>
      <x:c r="G100" s="156" t="str">
        <x:v>命中版本、逐费账本、旧订单快照、规则优先级</x:v>
      </x:c>
      <x:c r="H100" s="156" t="str">
        <x:v>动态卡DEC12；时间／精度DEC19；API依本批条件</x:v>
      </x:c>
    </x:row>
    <x:row r="101" ht="91.5" customHeight="1">
      <x:c r="A101" s="154" t="str">
        <x:v>产品编排与产品库</x:v>
      </x:c>
      <x:c r="B101" s="154" t="str">
        <x:v>SM24、46—50、56—57；本轮补充SM73–77、SM82</x:v>
      </x:c>
      <x:c r="C101" s="154" t="str">
        <x:v>REQ §6.4</x:v>
      </x:c>
      <x:c r="D101" s="154" t="str">
        <x:v>选择与画布不同步、改价污染来源</x:v>
      </x:c>
      <x:c r="E101" s="154" t="str">
        <x:v>双向一致性＋状态＋版本隔离</x:v>
      </x:c>
      <x:c r="F101" s="154" t="str">
        <x:v>A—F实际范围；默认／非默认卡；7组生效期展示</x:v>
      </x:c>
      <x:c r="G101" s="154" t="str">
        <x:v>画布及读回、源价卡前后、产品当前／历史版本</x:v>
      </x:c>
      <x:c r="H101" s="154" t="str">
        <x:v>保存态DEC11；删除DEC16；改价试算来源DEC19</x:v>
      </x:c>
    </x:row>
    <x:row r="102" ht="91.5" customHeight="1">
      <x:c r="A102" s="156" t="str">
        <x:v>单票成本模拟</x:v>
      </x:c>
      <x:c r="B102" s="156" t="str">
        <x:v>SM25、51—53；本轮补充SM78–80</x:v>
      </x:c>
      <x:c r="C102" s="156" t="str">
        <x:v>REQ §6.4计算模拟</x:v>
      </x:c>
      <x:c r="D102" s="156" t="str">
        <x:v>参数错误、计费重／燃油／总成本错误</x:v>
      </x:c>
      <x:c r="E102" s="156" t="str">
        <x:v>条件必填＋公式算例＋异常决策表</x:v>
      </x:c>
      <x:c r="F102" s="156" t="str">
        <x:v>D／F／A+C产品；6000抛比示例；缺卡／拒收／转人工</x:v>
      </x:c>
      <x:c r="G102" s="156" t="str">
        <x:v>人工逐费用→燃油／汇率→总额及实际版本</x:v>
      </x:c>
      <x:c r="H102" s="156" t="str">
        <x:v>只算公司成本；参数随实际范围；舍入／取值DEC19</x:v>
      </x:c>
    </x:row>
    <x:row r="103" ht="91.5" customHeight="1">
      <x:c r="A103" s="154" t="str">
        <x:v>OMS历史与重算</x:v>
      </x:c>
      <x:c r="B103" s="154" t="str">
        <x:v>SM26、59—60；本轮补充SM81</x:v>
      </x:c>
      <x:c r="C103" s="154" t="str">
        <x:v>REQ §6.4计费历史</x:v>
      </x:c>
      <x:c r="D103" s="154" t="str">
        <x:v>历史读取最新价、重算写回原成本</x:v>
      </x:c>
      <x:c r="E103" s="154" t="str">
        <x:v>历史快照对照＋差异控制变量</x:v>
      </x:c>
      <x:c r="F103" s="154" t="str">
        <x:v>已知OMS订单、多费多卡版本、逐项规则变更</x:v>
      </x:c>
      <x:c r="G103" s="154" t="str">
        <x:v>原请求／版本／明细总额；重算前后OMS及结算状态</x:v>
      </x:c>
      <x:c r="H103" s="154" t="str">
        <x:v>DEC21决定本批分期／测试回传／多币种合计</x:v>
      </x:c>
    </x:row>
    <x:row r="104" ht="91.5" customHeight="1">
      <x:c r="A104" s="156" t="str">
        <x:v>AI与真实导出</x:v>
      </x:c>
      <x:c r="B104" s="156" t="str">
        <x:v>SM27、55；UI16</x:v>
      </x:c>
      <x:c r="C104" s="156" t="str">
        <x:v>REQ §6.1／§6.2；Review16</x:v>
      </x:c>
      <x:c r="D104" s="156" t="str">
        <x:v>解析提示成功但字段错、导出只有提示</x:v>
      </x:c>
      <x:c r="E104" s="156" t="str">
        <x:v>原文逐字段比对＋落库／文件核对</x:v>
      </x:c>
      <x:c r="F104" s="156" t="str">
        <x:v>授权样本；本批格式／字段；选中对象</x:v>
      </x:c>
      <x:c r="G104" s="156" t="str">
        <x:v>确认后读回；实际下载内容及范围</x:v>
      </x:c>
      <x:c r="H104" s="156" t="str">
        <x:v>AI字段／文件／失败策略DEC17；导出范围DEC08</x:v>
      </x:c>
    </x:row>
    <x:row r="105" ht="91.5" customHeight="1">
      <x:c r="A105" s="154" t="str">
        <x:v>UI承载与通用规范</x:v>
      </x:c>
      <x:c r="B105" s="154" t="str">
        <x:v>UI01—40</x:v>
      </x:c>
      <x:c r="C105" s="154" t="str">
        <x:v>PRD业务语义＋Review＋SPEC</x:v>
      </x:c>
      <x:c r="D105" s="154" t="str">
        <x:v>交互失效、未定项被略去导致虚高</x:v>
      </x:c>
      <x:c r="E105" s="154" t="str">
        <x:v>组件状态矩阵＋视觉对照＋双指标</x:v>
      </x:c>
      <x:c r="F105" s="154" t="str">
        <x:v>空／长／多列／选中／错误；批准设备和视口</x:v>
      </x:c>
      <x:c r="G105" s="154" t="str">
        <x:v>截图、量值、交互、确认覆盖率、符合度及未完成项</x:v>
      </x:c>
      <x:c r="H105" s="154" t="str">
        <x:v>按批准规范与现行方案逐项验收；范围UI01—40。金额/设备/容差/数值冲突DEC10/18，创建承载DEC23；高符合率不替代关键操作准入。</x:v>
      </x:c>
    </x:row>
    <x:row r="106">
      <x:c r="A106" s="10"/>
      <x:c r="B106" s="10"/>
      <x:c r="C106" s="10"/>
      <x:c r="D106" s="10"/>
      <x:c r="E106" s="10"/>
      <x:c r="F106" s="10"/>
      <x:c r="G106" s="10"/>
      <x:c r="H106" s="10"/>
    </x:row>
    <x:row r="107" ht="48.75" customHeight="1">
      <x:c r="A107" s="10" t="str">
        <x:v>设计依据：主需求revision8340/评审稿、UI Review rev628、通用规范V1.2 revision5256；当前资料读取及用例复核日2026-10-12。</x:v>
      </x:c>
      <x:c r="B107" s="10"/>
      <x:c r="C107" s="10"/>
      <x:c r="D107" s="10"/>
      <x:c r="E107" s="10"/>
      <x:c r="F107" s="10"/>
      <x:c r="G107" s="10"/>
      <x:c r="H107" s="10"/>
    </x:row>
    <x:row r="108" ht="48.75" customHeight="1">
      <x:c r="A108" s="14" t="str">
        <x:v>本轮完整读取主需求和规范正文，核20条有效Review及12份内嵌规格表；引用调研/规则标准化沿用原表证据，仍为参考或后续范围。未执行业务环境、模型/供应商接口或OMS实测。</x:v>
      </x:c>
      <x:c r="B108" s="14"/>
      <x:c r="C108" s="14"/>
      <x:c r="D108" s="14"/>
      <x:c r="E108" s="14"/>
      <x:c r="F108" s="14"/>
      <x:c r="G108" s="14"/>
      <x:c r="H108" s="14"/>
    </x:row>
    <x:row r="109" ht="48.75" customHeight="1">
      <x:c r="A109" s="14" t="str">
        <x:v>本次分批范围由交付清单与B17确认；UI和产品持续调整，当前批准方案与后置目标须分别记录。数据正确、关键入口与保存闭环按本批Build验证。</x:v>
      </x:c>
      <x:c r="B109" s="14"/>
      <x:c r="C109" s="14"/>
      <x:c r="D109" s="14"/>
      <x:c r="E109" s="14"/>
      <x:c r="F109" s="14"/>
      <x:c r="G109" s="14"/>
      <x:c r="H109" s="14"/>
    </x:row>
    <x:row r="110" ht="75" customHeight="1">
      <x:c r="A110" s="10" t="str">
        <x:v>按飞书框架适配颜色对应21条有效Review，保留1条空绿色来源统计；新增红色行内编辑UI42及DEC30，全部133检查点仍未执行。</x:v>
      </x:c>
      <x:c r="B110" s="10"/>
      <x:c r="C110" s="10"/>
      <x:c r="D110" s="10"/>
      <x:c r="E110" s="10"/>
      <x:c r="F110" s="10"/>
      <x:c r="G110" s="10"/>
      <x:c r="H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</x:row>
    <x:row r="113" ht="28.5" customHeight="1">
      <x:c r="A113" s="164" t="str">
        <x:v>本轮补充待确认事项</x:v>
      </x:c>
      <x:c r="B113" s="164"/>
      <x:c r="C113" s="164"/>
      <x:c r="D113" s="164"/>
      <x:c r="E113" s="164"/>
      <x:c r="F113" s="164"/>
      <x:c r="G113" s="164"/>
      <x:c r="H113" s="164"/>
    </x:row>
    <x:row r="114" ht="36" customHeight="1">
      <x:c r="A114" s="160" t="str">
        <x:v>编号</x:v>
      </x:c>
      <x:c r="B114" s="160" t="str">
        <x:v>需要明确的事项</x:v>
      </x:c>
      <x:c r="C114" s="160" t="str">
        <x:v>关联检查</x:v>
      </x:c>
      <x:c r="D114" s="160" t="str">
        <x:v>本批涉及</x:v>
      </x:c>
      <x:c r="E114" s="160" t="str">
        <x:v>建议负责角色</x:v>
      </x:c>
      <x:c r="F114" s="160" t="str">
        <x:v>确认状态</x:v>
      </x:c>
      <x:c r="G114" s="160" t="str">
        <x:v>确认方案／版本／证据</x:v>
      </x:c>
      <x:c r="H114" s="160" t="str">
        <x:v>本批有效决策</x:v>
      </x:c>
    </x:row>
    <x:row r="115" ht="108.75" customHeight="1">
      <x:c r="A115" s="10" t="str">
        <x:v>DEC23</x:v>
      </x:c>
      <x:c r="B115" s="10" t="str">
        <x:v>新建服务单元：PRD弹窗与当前Review独立页面的选择；编辑是否同时调整、返回及未保存行为</x:v>
      </x:c>
      <x:c r="C115" s="10" t="str">
        <x:v>UI35</x:v>
      </x:c>
      <x:c r="D115" s="162" t="str">
        <x:v>待选择</x:v>
      </x:c>
      <x:c r="E115" s="162" t="str">
        <x:v>产品、UI、开发</x:v>
      </x:c>
      <x:c r="F115" s="162" t="str">
        <x:v>待确认</x:v>
      </x:c>
      <x:c r="G115" s="162"/>
      <x:c r="H115" s="10" t="str">
        <x:f>IF(AND((COUNTIFS('UI检查'!$A$6:$A$47,"UI35",'UI检查'!$D$6:$D$47,"是"))&gt;0,D115="否"),"范围矛盾",IF(OR(D115="是",(COUNTIFS('UI检查'!$A$6:$A$47,"UI35",'UI检查'!$D$6:$D$47,"是"))&gt;0),IF(AND(F115="已确认",LEN(TRIM(G115))&gt;0),"已确认",IF(AND(F115="已记录后置",LEN(TRIM(G115))&gt;0),"已记录后置","待确认")),IF(D115="否","不涉及","库内待选择")))</x:f>
        <x:v>库内待选择</x:v>
      </x:c>
    </x:row>
    <x:row r="116" ht="108.75" customHeight="1">
      <x:c r="A116" s="10" t="str">
        <x:v>DEC24</x:v>
      </x:c>
      <x:c r="B116" s="10" t="str">
        <x:v>汇率自然日区间、已生效四字段只读及结束旧区间+新增；直接倍率乘除、4位输入/8位展示/计算、唯一键、端点/重叠及默认同币种例外；页面声明未证明实现</x:v>
      </x:c>
      <x:c r="C116" s="10" t="str">
        <x:v>SM85</x:v>
      </x:c>
      <x:c r="D116" s="162" t="str">
        <x:v>待选择</x:v>
      </x:c>
      <x:c r="E116" s="162" t="str">
        <x:v>产品、财务、开发</x:v>
      </x:c>
      <x:c r="F116" s="162" t="str">
        <x:v>待确认</x:v>
      </x:c>
      <x:c r="G116" s="162"/>
      <x:c r="H116" s="10" t="str">
        <x:f>IF(AND((COUNTIFS('冒烟用例'!$A$6:$A$96,"SM85",'冒烟用例'!$D$6:$D$96,"是"))&gt;0,D116="否"),"范围矛盾",IF(OR(D116="是",(COUNTIFS('冒烟用例'!$A$6:$A$96,"SM85",'冒烟用例'!$D$6:$D$96,"是"))&gt;0),IF(AND(F116="已确认",LEN(TRIM(G116))&gt;0),"已确认",IF(AND(F116="已记录后置",LEN(TRIM(G116))&gt;0),"核心依据不可后置","待确认")),IF(D116="否","不涉及","库内待选择")))</x:f>
        <x:v>库内待选择</x:v>
      </x:c>
    </x:row>
    <x:row r="117" ht="108.75" customHeight="1">
      <x:c r="A117" s="10" t="str">
        <x:v>DEC25</x:v>
      </x:c>
      <x:c r="B117" s="10" t="str">
        <x:v>费用项类型/默认币种与汇率变更的财务生效流程、权限及可核对证据；服务单元等无审批范围不扩大</x:v>
      </x:c>
      <x:c r="C117" s="10" t="str">
        <x:v>SM84、SM85</x:v>
      </x:c>
      <x:c r="D117" s="162" t="str">
        <x:v>待选择</x:v>
      </x:c>
      <x:c r="E117" s="162" t="str">
        <x:v>产品、财务、开发</x:v>
      </x:c>
      <x:c r="F117" s="162" t="str">
        <x:v>待确认</x:v>
      </x:c>
      <x:c r="G117" s="162"/>
      <x:c r="H117" s="10" t="str">
        <x:f>IF(AND((COUNTIFS('冒烟用例'!$A$6:$A$96,"SM84",'冒烟用例'!$D$6:$D$96,"是")+COUNTIFS('冒烟用例'!$A$6:$A$96,"SM85",'冒烟用例'!$D$6:$D$96,"是"))&gt;0,D117="否"),"范围矛盾",IF(OR(D117="是",(COUNTIFS('冒烟用例'!$A$6:$A$96,"SM84",'冒烟用例'!$D$6:$D$96,"是")+COUNTIFS('冒烟用例'!$A$6:$A$96,"SM85",'冒烟用例'!$D$6:$D$96,"是"))&gt;0),IF(AND(F117="已确认",LEN(TRIM(G117))&gt;0),"已确认",IF(AND(F117="已记录后置",LEN(TRIM(G117))&gt;0),"核心依据不可后置","待确认")),IF(D117="否","不涉及","库内待选择")))</x:f>
        <x:v>库内待选择</x:v>
      </x:c>
    </x:row>
    <x:row r="118">
      <x:c r="A118" s="10"/>
      <x:c r="B118" s="10"/>
      <x:c r="C118" s="10"/>
      <x:c r="D118" s="10"/>
      <x:c r="E118" s="10"/>
      <x:c r="F118" s="10"/>
      <x:c r="G118" s="10"/>
      <x:c r="H118" s="10"/>
    </x:row>
    <x:row r="119" ht="28.5" customHeight="1">
      <x:c r="A119" s="164" t="str">
        <x:v>本轮复核问题与处理</x:v>
      </x:c>
      <x:c r="B119" s="164"/>
      <x:c r="C119" s="164"/>
      <x:c r="D119" s="164"/>
      <x:c r="E119" s="164"/>
      <x:c r="F119" s="164"/>
      <x:c r="G119" s="164"/>
      <x:c r="H119" s="164"/>
    </x:row>
    <x:row r="120" ht="56.25" customHeight="1">
      <x:c r="A120" s="10" t="str">
        <x:v>R01</x:v>
      </x:c>
      <x:c r="B120" s="10" t="str">
        <x:v>当前来源</x:v>
      </x:c>
      <x:c r="C120" s="10"/>
      <x:c r="D120" s="10" t="str">
        <x:v>当前视图21行，其中20条有内容、1条空记录；有效Review为P0 7/P1 8/P2 5，已修改1/修改中2/待确认17。空记录无问题/建议，不计入用例覆盖。</x:v>
      </x:c>
      <x:c r="E120" s="10"/>
      <x:c r="F120" s="10"/>
      <x:c r="G120" s="10"/>
      <x:c r="H120" s="10"/>
    </x:row>
    <x:row r="121" ht="56.25" customHeight="1">
      <x:c r="A121" s="10" t="str">
        <x:v>R02</x:v>
      </x:c>
      <x:c r="B121" s="10" t="str">
        <x:v>Review补漏</x:v>
      </x:c>
      <x:c r="C121" s="10"/>
      <x:c r="D121" s="10" t="str">
        <x:v>补UI35新建服务单元独立页、UI36两创建入口与列表重复标题；前者PRD弹窗/新页冲突独立登记DEC23，后者需批准采用后再验。</x:v>
      </x:c>
      <x:c r="E121" s="10"/>
      <x:c r="F121" s="10"/>
      <x:c r="G121" s="10"/>
      <x:c r="H121" s="10"/>
    </x:row>
    <x:row r="122" ht="56.25" customHeight="1">
      <x:c r="A122" s="10" t="str">
        <x:v>R03</x:v>
      </x:c>
      <x:c r="B122" s="10" t="str">
        <x:v>快照刷新</x:v>
      </x:c>
      <x:c r="C122" s="10"/>
      <x:c r="D122" s="10" t="str">
        <x:v>UI01状态改为已修改；UI03当前角色为UI、开发；同步18条旧记录当前问题、建议、后续动作及适配状态。来源状态不改测试结果。</x:v>
      </x:c>
      <x:c r="E122" s="10"/>
      <x:c r="F122" s="10"/>
      <x:c r="G122" s="10"/>
      <x:c r="H122" s="10"/>
    </x:row>
    <x:row r="123" ht="56.25" customHeight="1">
      <x:c r="A123" s="10" t="str">
        <x:v>R04</x:v>
      </x:c>
      <x:c r="B123" s="10" t="str">
        <x:v>配置用例缺口</x:v>
      </x:c>
      <x:c r="C123" s="10"/>
      <x:c r="D123" s="10" t="str">
        <x:v>补SM83—88：服务段/要素64字符及引用保护、费用项必填/财务生效、汇率唯一键/精度/版本、计费方式枚举、货型同源名称唯一、限制规则配置作用域。旧普通字典CRUD不能代表这些具体规则。</x:v>
      </x:c>
      <x:c r="E123" s="10"/>
      <x:c r="F123" s="10"/>
      <x:c r="G123" s="10"/>
      <x:c r="H123" s="10"/>
    </x:row>
    <x:row r="124" ht="75" customHeight="1">
      <x:c r="A124" s="10" t="str">
        <x:v>R05</x:v>
      </x:c>
      <x:c r="B124" s="10" t="str">
        <x:v>冒烟范围</x:v>
      </x:c>
      <x:c r="C124" s="10"/>
      <x:c r="D124" s="10" t="str">
        <x:v>本版28冒烟/63专项，计价核心20KG正向仍为SM52冒烟；20.1→21归SM79，非法/缺失归SM78；新增币种、独立邮编、航线区域3条专项按交付纳入。</x:v>
      </x:c>
      <x:c r="E124" s="10"/>
      <x:c r="F124" s="10"/>
      <x:c r="G124" s="10"/>
      <x:c r="H124" s="10"/>
    </x:row>
    <x:row r="125" ht="75" customHeight="1">
      <x:c r="A125" s="10" t="str">
        <x:v>R06</x:v>
      </x:c>
      <x:c r="B125" s="10" t="str">
        <x:v>有效依据</x:v>
      </x:c>
      <x:c r="C125" s="10"/>
      <x:c r="D125" s="10" t="str">
        <x:v>依据有效性需填写需求/UI基线及确认范围，并满足关联决策；结果需本批执行前提已就绪、关键项已分类和实际证据。未就绪不显示通过；SM55补DEC08。</x:v>
      </x:c>
      <x:c r="E125" s="10"/>
      <x:c r="F125" s="10"/>
      <x:c r="G125" s="10"/>
      <x:c r="H125" s="10"/>
    </x:row>
    <x:row r="126" ht="56.25" customHeight="1">
      <x:c r="A126" s="10" t="str">
        <x:v>R07</x:v>
      </x:c>
      <x:c r="B126" s="10" t="str">
        <x:v>UI状态缺口</x:v>
      </x:c>
      <x:c r="C126" s="10"/>
      <x:c r="D126" s="10" t="str">
        <x:v>补UI37 AI生成/待确认/确认执行分层，UI38上传前限制、进度、取消、重试和边界；材料大小不套规范示例10MB，Agent概念场景不擅加本批。</x:v>
      </x:c>
      <x:c r="E126" s="10"/>
      <x:c r="F126" s="10"/>
      <x:c r="G126" s="10"/>
      <x:c r="H126" s="10"/>
    </x:row>
    <x:row r="127" ht="56.25" customHeight="1">
      <x:c r="A127" s="10" t="str">
        <x:v>R08</x:v>
      </x:c>
      <x:c r="B127" s="10" t="str">
        <x:v>量值补核</x:v>
      </x:c>
      <x:c r="C127" s="10"/>
      <x:c r="D127" s="10" t="str">
        <x:v>只读核对12份内嵌规格表；补UI39容器/语义色/图标、UI40页头/输入规格。保留UI19—34已核对量值，不凭截图自行定义阈值。</x:v>
      </x:c>
      <x:c r="E127" s="10"/>
      <x:c r="F127" s="10"/>
      <x:c r="G127" s="10"/>
      <x:c r="H127" s="10"/>
    </x:row>
    <x:row r="128" ht="75" customHeight="1">
      <x:c r="A128" s="10" t="str">
        <x:v>R09</x:v>
      </x:c>
      <x:c r="B128" s="10" t="str">
        <x:v>规范自身冲突</x:v>
      </x:c>
      <x:c r="C128" s="10"/>
      <x:c r="D128" s="10" t="str">
        <x:v>规范源内差异：Tabs40/触达44、页头94与4倍数、表头#F7F8FA/#F7F7F7统一记录DEC18；按本批批准组件方案验收，不擅自改规范数值。</x:v>
      </x:c>
      <x:c r="E128" s="10"/>
      <x:c r="F128" s="10"/>
      <x:c r="G128" s="10"/>
      <x:c r="H128" s="10"/>
    </x:row>
    <x:row r="129" ht="56.25" customHeight="1">
      <x:c r="A129" s="10" t="str">
        <x:v>R10</x:v>
      </x:c>
      <x:c r="B129" s="10" t="str">
        <x:v>业务口径待定</x:v>
      </x:c>
      <x:c r="C129" s="10"/>
      <x:c r="D129" s="10" t="str">
        <x:v>金额两位/四位DEC10、产品保存态DEC11、动态卡明细DEC12、计费与取价DEC19、OMS历史分期DEC21继续待确认；新增FX生命周期DEC24/财务生效DEC25。只影响本批纳入的关联项。</x:v>
      </x:c>
      <x:c r="E129" s="10"/>
      <x:c r="F129" s="10"/>
      <x:c r="G129" s="10"/>
      <x:c r="H129" s="10"/>
    </x:row>
    <x:row r="130" ht="56.25" customHeight="1">
      <x:c r="A130" s="10" t="str">
        <x:v>R11</x:v>
      </x:c>
      <x:c r="B130" s="10" t="str">
        <x:v>依据标签</x:v>
      </x:c>
      <x:c r="C130" s="10"/>
      <x:c r="D130" s="10" t="str">
        <x:v>SM01登录检查改为测试建议；SM03拆业务分类正文与深链接建议；SM04刷新来自Review/批准状态范围，避免把通用建议误标为需求正文。</x:v>
      </x:c>
      <x:c r="E130" s="10"/>
      <x:c r="F130" s="10"/>
      <x:c r="G130" s="10"/>
      <x:c r="H130" s="10"/>
    </x:row>
    <x:row r="131" ht="56.25" customHeight="1">
      <x:c r="A131" s="10" t="str">
        <x:v>R12</x:v>
      </x:c>
      <x:c r="B131" s="10" t="str">
        <x:v>后置范围</x:v>
      </x:c>
      <x:c r="C131" s="10"/>
      <x:c r="D131" s="10" t="str">
        <x:v>普通承载/视觉差异可按团队意见记录后置，但需批准可测的现行方案、负责人、修复期限、影响和接受证据；关键操作不可达、错价/数据破坏及核心规则未定不得借高符合率掩盖。</x:v>
      </x:c>
      <x:c r="E131" s="10"/>
      <x:c r="F131" s="10"/>
      <x:c r="G131" s="10"/>
      <x:c r="H131" s="10"/>
    </x:row>
    <x:row r="132" ht="56.25" customHeight="1">
      <x:c r="A132" s="10" t="str">
        <x:v>R13</x:v>
      </x:c>
      <x:c r="B132" s="10" t="str">
        <x:v>测试执行边界</x:v>
      </x:c>
      <x:c r="C132" s="10"/>
      <x:c r="D132" s="10" t="str">
        <x:v>本次完成资料读取、用例设计复核及检查表公式验证；未登录业务测试环境，未执行冒烟/UI实测。所有128检查点继续未执行；来源已修改不计测试通过。</x:v>
      </x:c>
      <x:c r="E132" s="10"/>
      <x:c r="F132" s="10"/>
      <x:c r="G132" s="10"/>
      <x:c r="H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</x:row>
    <x:row r="134" ht="28.5" customHeight="1">
      <x:c r="A134" s="164" t="str">
        <x:v>分批冒烟建议｜仅选择本批交付及受影响链路，不是整库必测</x:v>
      </x:c>
      <x:c r="B134" s="164"/>
      <x:c r="C134" s="164"/>
      <x:c r="D134" s="164"/>
      <x:c r="E134" s="164"/>
      <x:c r="F134" s="164"/>
      <x:c r="G134" s="164"/>
      <x:c r="H134" s="164"/>
    </x:row>
    <x:row r="135" ht="48" customHeight="1">
      <x:c r="A135" s="10" t="str">
        <x:v>通用入口</x:v>
      </x:c>
      <x:c r="B135" s="10" t="str">
        <x:v>SM01—05；每个本批模块核身份/权限、入口、刷新与真实反馈。</x:v>
      </x:c>
      <x:c r="C135" s="10"/>
      <x:c r="D135" s="10"/>
      <x:c r="E135" s="10"/>
      <x:c r="F135" s="10"/>
      <x:c r="G135" s="10"/>
      <x:c r="H135" s="10"/>
    </x:row>
    <x:row r="136" ht="48" customHeight="1">
      <x:c r="A136" s="10" t="str">
        <x:v>基础配置</x:v>
      </x:c>
      <x:c r="B136" s="10" t="str">
        <x:v>SM09或SM10→SM11→SM12→SM14/15→SM18；具体字典按实际交付，主数据删除保护及边界用SM83—88专项。</x:v>
      </x:c>
      <x:c r="C136" s="10"/>
      <x:c r="D136" s="10"/>
      <x:c r="E136" s="10"/>
      <x:c r="F136" s="10"/>
      <x:c r="G136" s="10"/>
      <x:c r="H136" s="10"/>
    </x:row>
    <x:row r="137" ht="48" customHeight="1">
      <x:c r="A137" s="10" t="str">
        <x:v>服务单元/组合</x:v>
      </x:c>
      <x:c r="B137" s="10" t="str">
        <x:v>单元SM21→SM22/SM30；组合SM31→有效选用/成本链路，批量删除/角色/并发/算法用SM32—38/SM54等专项。</x:v>
      </x:c>
      <x:c r="C137" s="10"/>
      <x:c r="D137" s="10"/>
      <x:c r="E137" s="10"/>
      <x:c r="F137" s="10"/>
      <x:c r="G137" s="10"/>
      <x:c r="H137" s="10"/>
    </x:row>
    <x:row r="138" ht="48" customHeight="1">
      <x:c r="A138" s="10" t="str">
        <x:v>成本价卡</x:v>
      </x:c>
      <x:c r="B138" s="10" t="str">
        <x:v>SM21/SM23→SM40；仅已启用且报价时有效的批准价卡参与后续成本链路。字段/区间/动态分支按SM39/41/42专项。</x:v>
      </x:c>
      <x:c r="C138" s="10"/>
      <x:c r="D138" s="10"/>
      <x:c r="E138" s="10"/>
      <x:c r="F138" s="10"/>
      <x:c r="G138" s="10"/>
      <x:c r="H138" s="10"/>
    </x:row>
    <x:row r="139" ht="48" customHeight="1">
      <x:c r="A139" s="10" t="str">
        <x:v>产品及试算</x:v>
      </x:c>
      <x:c r="B139" s="10" t="str">
        <x:v>SM46→SM24→SM25＋SM52→SM53；既核131 CNY费用账本也核20KG重量正向算例；参数/小数进位/异常用SM51/SM79/SM78专项。</x:v>
      </x:c>
      <x:c r="C139" s="10"/>
      <x:c r="D139" s="10"/>
      <x:c r="E139" s="10"/>
      <x:c r="F139" s="10"/>
      <x:c r="G139" s="10"/>
      <x:c r="H139" s="10"/>
    </x:row>
    <x:row r="140" ht="48" customHeight="1">
      <x:c r="A140" s="10" t="str">
        <x:v>AI/历史/导出</x:v>
      </x:c>
      <x:c r="B140" s="10" t="str">
        <x:v>AI交付选SM27及UI16/37/38；OMS历史只在DEC21已决且接入证据可用时选SM59/SM26；导出选SM55专项核真实文件。</x:v>
      </x:c>
      <x:c r="C140" s="10"/>
      <x:c r="D140" s="10"/>
      <x:c r="E140" s="10"/>
      <x:c r="F140" s="10"/>
      <x:c r="G140" s="10"/>
      <x:c r="H140" s="10"/>
    </x:row>
    <x:row r="141" ht="48" customHeight="1">
      <x:c r="A141" s="10" t="str">
        <x:v>UI走查</x:v>
      </x:c>
      <x:c r="B141" s="10" t="str">
        <x:v>各模块按批准稿取适用UI；先关键入口/反馈/内容可达，再规范量值及普通视觉差异。两类指标F29/F32与失败/未完成同时报告。</x:v>
      </x:c>
      <x:c r="C141" s="10"/>
      <x:c r="D141" s="10"/>
      <x:c r="E141" s="10"/>
      <x:c r="F141" s="10"/>
      <x:c r="G141" s="10"/>
      <x:c r="H141" s="10"/>
    </x:row>
    <x:row r="143" ht="28.5" customHeight="1">
      <x:c r="A143" s="166" t="str">
        <x:v>二次独立复核｜发现与修正</x:v>
      </x:c>
      <x:c r="B143" s="166"/>
      <x:c r="C143" s="166"/>
      <x:c r="D143" s="166"/>
      <x:c r="E143" s="166"/>
      <x:c r="F143" s="166"/>
      <x:c r="G143" s="166"/>
      <x:c r="H143" s="166"/>
    </x:row>
    <x:row r="144" ht="66" customHeight="1">
      <x:c r="A144" s="10" t="str">
        <x:v>S01</x:v>
      </x:c>
      <x:c r="B144" s="10" t="str">
        <x:v>基线/前提缺失</x:v>
      </x:c>
      <x:c r="C144" s="10"/>
      <x:c r="D144" s="10" t="str">
        <x:v>复现：只有Build和手填通过时，基线字段未填也能显示单行通过及100%，总提示却阻塞。现增加B6执行前提及基线确认校验，单行/符合率不能绕过。</x:v>
      </x:c>
      <x:c r="E144" s="10"/>
      <x:c r="F144" s="10"/>
      <x:c r="G144" s="10"/>
      <x:c r="H144" s="10"/>
    </x:row>
    <x:row r="145" ht="66" customHeight="1">
      <x:c r="A145" s="10" t="str">
        <x:v>S02</x:v>
      </x:c>
      <x:c r="B145" s="10" t="str">
        <x:v>关键项留空</x:v>
      </x:c>
      <x:c r="C145" s="10"/>
      <x:c r="D145" s="10" t="str">
        <x:v>复现：关键项为空＋结果失败会归一般失败，关键失败为0。现显示关键项待分类，进入未完成；分类完成前不能计通过或带项完成。</x:v>
      </x:c>
      <x:c r="E145" s="10"/>
      <x:c r="F145" s="10"/>
      <x:c r="G145" s="10"/>
      <x:c r="H145" s="10"/>
    </x:row>
    <x:row r="146" ht="66" customHeight="1">
      <x:c r="A146" s="10" t="str">
        <x:v>S03</x:v>
      </x:c>
      <x:c r="B146" s="10" t="str">
        <x:v>导出决策漏联</x:v>
      </x:c>
      <x:c r="C146" s="10"/>
      <x:c r="D146" s="10" t="str">
        <x:v>复现：SM55本批依据手填已确认时，DEC08待确认仍显示依据有效。现SM55与DEC08自动纳入及结果联动一致。</x:v>
      </x:c>
      <x:c r="E146" s="10"/>
      <x:c r="F146" s="10"/>
      <x:c r="G146" s="10"/>
      <x:c r="H146" s="10"/>
    </x:row>
    <x:row r="147" ht="66" customHeight="1">
      <x:c r="A147" s="10" t="str">
        <x:v>S04</x:v>
      </x:c>
      <x:c r="B147" s="10" t="str">
        <x:v>核心重量冒烟</x:v>
      </x:c>
      <x:c r="C147" s="10"/>
      <x:c r="D147" s="10" t="str">
        <x:v>上一轮将SM52整条移到专项，固定费用131正确仍可能漏掉重量算法错误。现恢复最小20KG正向冒烟，保留20.1→21专项及原异常分支。</x:v>
      </x:c>
      <x:c r="E147" s="10"/>
      <x:c r="F147" s="10"/>
      <x:c r="G147" s="10"/>
      <x:c r="H147" s="10"/>
    </x:row>
    <x:row r="148" ht="66" customHeight="1">
      <x:c r="A148" s="10" t="str">
        <x:v>S05</x:v>
      </x:c>
      <x:c r="B148" s="10" t="str">
        <x:v>长文本适用范围</x:v>
      </x:c>
      <x:c r="C148" s="10"/>
      <x:c r="D148" s="10" t="str">
        <x:v>规范§9.4普通详情字段最多3行、备注/描述最多2行、列表标题1行。修正UI26不再把详情3行套给所有长文本。</x:v>
      </x:c>
      <x:c r="E148" s="10"/>
      <x:c r="F148" s="10"/>
      <x:c r="G148" s="10"/>
      <x:c r="H148" s="10"/>
    </x:row>
    <x:row r="149" ht="66" customHeight="1">
      <x:c r="A149" s="10" t="str">
        <x:v>S06</x:v>
      </x:c>
      <x:c r="B149" s="10" t="str">
        <x:v>UI数值与局部规则</x:v>
      </x:c>
      <x:c r="C149" s="10"/>
      <x:c r="D149" s="10" t="str">
        <x:v>补UI29百分比2位/体积4位；UI39圆角8/12/16px；详情emoji要求按UI18采纳，避免泛化局部Review。</x:v>
      </x:c>
      <x:c r="E149" s="10"/>
      <x:c r="F149" s="10"/>
      <x:c r="G149" s="10"/>
      <x:c r="H149" s="10"/>
    </x:row>
    <x:row r="150" ht="66" customHeight="1">
      <x:c r="A150" s="10" t="str">
        <x:v>S07</x:v>
      </x:c>
      <x:c r="B150" s="10" t="str">
        <x:v>表头色源内差异</x:v>
      </x:c>
      <x:c r="C150" s="10"/>
      <x:c r="D150" s="10" t="str">
        <x:v>§4.5写#F7F8FA，§5.8规格/Token写#F7F7F7；补DEC18及UI20采用值记录。明确来源差异，不任取一条判实现错误。</x:v>
      </x:c>
      <x:c r="E150" s="10"/>
      <x:c r="F150" s="10"/>
      <x:c r="G150" s="10"/>
      <x:c r="H150" s="10"/>
    </x:row>
    <x:row r="151" ht="66" customHeight="1">
      <x:c r="A151" s="10" t="str">
        <x:v>S08</x:v>
      </x:c>
      <x:c r="B151" s="10" t="str">
        <x:v>复核证据边界</x:v>
      </x:c>
      <x:c r="C151" s="10"/>
      <x:c r="D151" s="10" t="str">
        <x:v>主需求revision8340及UI视图rev628再次读取未变；20条有效Review ID逐一匹配、128编号唯一；补核7份内嵌表。所有业务用例仍未执行。</x:v>
      </x:c>
      <x:c r="E151" s="10"/>
      <x:c r="F151" s="10"/>
      <x:c r="G151" s="10"/>
      <x:c r="H151" s="10"/>
    </x:row>
    <x:row r="154" ht="33" customHeight="1">
      <x:c r="A154" s="170" t="str">
        <x:v>网站与Review｜新增待确认事项（按关联用例自动纳入）</x:v>
      </x:c>
      <x:c r="B154" s="170"/>
      <x:c r="C154" s="170"/>
      <x:c r="D154" s="170"/>
      <x:c r="E154" s="170"/>
      <x:c r="F154" s="170"/>
      <x:c r="G154" s="170"/>
      <x:c r="H154" s="170"/>
    </x:row>
    <x:row r="155" ht="33" customHeight="1">
      <x:c r="A155" s="170" t="str">
        <x:v>编号</x:v>
      </x:c>
      <x:c r="B155" s="170" t="str">
        <x:v>需要明确的事项</x:v>
      </x:c>
      <x:c r="C155" s="170" t="str">
        <x:v>关联检查</x:v>
      </x:c>
      <x:c r="D155" s="170" t="str">
        <x:v>本批涉及</x:v>
      </x:c>
      <x:c r="E155" s="170" t="str">
        <x:v>建议负责角色</x:v>
      </x:c>
      <x:c r="F155" s="170" t="str">
        <x:v>确认状态</x:v>
      </x:c>
      <x:c r="G155" s="170" t="str">
        <x:v>确认方案／版本／证据</x:v>
      </x:c>
      <x:c r="H155" s="170" t="str">
        <x:v>本批有效决策</x:v>
      </x:c>
    </x:row>
    <x:row r="156" ht="157.5" customHeight="1">
      <x:c r="A156" s="10" t="str">
        <x:v>DEC26</x:v>
      </x:c>
      <x:c r="B156" s="10" t="str">
        <x:v>基础配置对象映射/交付：仅名称普通字典与带编码货物类型、PRD可接货型同源；本页面未见服务段/计费要素/计费方式的实际入口，不推断全站缺失</x:v>
      </x:c>
      <x:c r="C156" s="10" t="str">
        <x:v>SM09、SM17、SM83、SM86、SM87</x:v>
      </x:c>
      <x:c r="D156" s="171" t="str">
        <x:v>待选择</x:v>
      </x:c>
      <x:c r="E156" s="171" t="str">
        <x:v>产品、开发、测试</x:v>
      </x:c>
      <x:c r="F156" s="171" t="str">
        <x:v>待确认</x:v>
      </x:c>
      <x:c r="G156" s="171"/>
      <x:c r="H156" s="10" t="str">
        <x:f>IF(AND((COUNTIFS('冒烟用例'!$A$6:$A$96,"SM09",'冒烟用例'!$D$6:$D$96,"是")+COUNTIFS('冒烟用例'!$A$6:$A$96,"SM17",'冒烟用例'!$D$6:$D$96,"是")+COUNTIFS('冒烟用例'!$A$6:$A$96,"SM83",'冒烟用例'!$D$6:$D$96,"是")+COUNTIFS('冒烟用例'!$A$6:$A$96,"SM86",'冒烟用例'!$D$6:$D$96,"是")+COUNTIFS('冒烟用例'!$A$6:$A$96,"SM87",'冒烟用例'!$D$6:$D$96,"是"))&gt;0,D156="否"),"范围矛盾",IF(OR(D156="是",(COUNTIFS('冒烟用例'!$A$6:$A$96,"SM09",'冒烟用例'!$D$6:$D$96,"是")+COUNTIFS('冒烟用例'!$A$6:$A$96,"SM17",'冒烟用例'!$D$6:$D$96,"是")+COUNTIFS('冒烟用例'!$A$6:$A$96,"SM83",'冒烟用例'!$D$6:$D$96,"是")+COUNTIFS('冒烟用例'!$A$6:$A$96,"SM86",'冒烟用例'!$D$6:$D$96,"是")+COUNTIFS('冒烟用例'!$A$6:$A$96,"SM87",'冒烟用例'!$D$6:$D$96,"是"))&gt;0),IF(AND(F156="已确认",LEN(TRIM(G156))&gt;0),"已确认",IF(AND(F156="已记录后置",LEN(TRIM(G156))&gt;0),"核心依据不可后置","待确认")),IF(D156="否","不涉及","库内待选择")))</x:f>
        <x:v>库内待选择</x:v>
      </x:c>
    </x:row>
    <x:row r="157" ht="157.5" customHeight="1">
      <x:c r="A157" s="10" t="str">
        <x:v>DEC27</x:v>
      </x:c>
      <x:c r="B157" s="10" t="str">
        <x:v>费用项分组编码是否对应类型字典、默认币种文本的合法来源/校验、必填及旧空分组处理；不能由文本框取消字典合同</x:v>
      </x:c>
      <x:c r="C157" s="10" t="str">
        <x:v>SM84</x:v>
      </x:c>
      <x:c r="D157" s="171" t="str">
        <x:v>待选择</x:v>
      </x:c>
      <x:c r="E157" s="171" t="str">
        <x:v>产品、财务、开发</x:v>
      </x:c>
      <x:c r="F157" s="171" t="str">
        <x:v>待确认</x:v>
      </x:c>
      <x:c r="G157" s="171"/>
      <x:c r="H157" s="10" t="str">
        <x:f>IF(AND((COUNTIFS('冒烟用例'!$A$6:$A$96,"SM84",'冒烟用例'!$D$6:$D$96,"是"))&gt;0,D157="否"),"范围矛盾",IF(OR(D157="是",(COUNTIFS('冒烟用例'!$A$6:$A$96,"SM84",'冒烟用例'!$D$6:$D$96,"是"))&gt;0),IF(AND(F157="已确认",LEN(TRIM(G157))&gt;0),"已确认",IF(AND(F157="已记录后置",LEN(TRIM(G157))&gt;0),"核心依据不可后置","待确认")),IF(D157="否","不涉及","库内待选择")))</x:f>
        <x:v>库内待选择</x:v>
      </x:c>
    </x:row>
    <x:row r="158" ht="157.5" customHeight="1">
      <x:c r="A158" s="10" t="str">
        <x:v>DEC28</x:v>
      </x:c>
      <x:c r="B158" s="10" t="str">
        <x:v>行政独立对象/邮编与统一地点ID/类型/ISO2/邮编属性的映射；范围端点/前导零/表达式、版本入口和真实Zone命中/历史</x:v>
      </x:c>
      <x:c r="C158" s="10" t="str">
        <x:v>SM19、SM20、SM58、SM72、SM90</x:v>
      </x:c>
      <x:c r="D158" s="171" t="str">
        <x:v>待选择</x:v>
      </x:c>
      <x:c r="E158" s="171" t="str">
        <x:v>产品、开发、测试</x:v>
      </x:c>
      <x:c r="F158" s="171" t="str">
        <x:v>待确认</x:v>
      </x:c>
      <x:c r="G158" s="171"/>
      <x:c r="H158" s="10" t="str">
        <x:f>IF(AND((COUNTIFS('冒烟用例'!$A$6:$A$96,"SM19",'冒烟用例'!$D$6:$D$96,"是")+COUNTIFS('冒烟用例'!$A$6:$A$96,"SM20",'冒烟用例'!$D$6:$D$96,"是")+COUNTIFS('冒烟用例'!$A$6:$A$96,"SM58",'冒烟用例'!$D$6:$D$96,"是")+COUNTIFS('冒烟用例'!$A$6:$A$96,"SM72",'冒烟用例'!$D$6:$D$96,"是")+COUNTIFS('冒烟用例'!$A$6:$A$96,"SM90",'冒烟用例'!$D$6:$D$96,"是"))&gt;0,D158="否"),"范围矛盾",IF(OR(D158="是",(COUNTIFS('冒烟用例'!$A$6:$A$96,"SM19",'冒烟用例'!$D$6:$D$96,"是")+COUNTIFS('冒烟用例'!$A$6:$A$96,"SM20",'冒烟用例'!$D$6:$D$96,"是")+COUNTIFS('冒烟用例'!$A$6:$A$96,"SM58",'冒烟用例'!$D$6:$D$96,"是")+COUNTIFS('冒烟用例'!$A$6:$A$96,"SM72",'冒烟用例'!$D$6:$D$96,"是")+COUNTIFS('冒烟用例'!$A$6:$A$96,"SM90",'冒烟用例'!$D$6:$D$96,"是"))&gt;0),IF(AND(F158="已确认",LEN(TRIM(G158))&gt;0),"已确认",IF(AND(F158="已记录后置",LEN(TRIM(G158))&gt;0),"核心依据不可后置","待确认")),IF(D158="否","不涉及","库内待选择")))</x:f>
        <x:v>库内待选择</x:v>
      </x:c>
    </x:row>
    <x:row r="159" ht="157.5" customHeight="1">
      <x:c r="A159" s="10" t="str">
        <x:v>DEC29</x:v>
      </x:c>
      <x:c r="B159" s="10" t="str">
        <x:v>当前Zone主记录/成员模型与国家范围必填、默认待生效、版本递增/历史、包含排除约束及价卡来源返回的映射；成员新增/编辑入口需补证</x:v>
      </x:c>
      <x:c r="C159" s="10" t="str">
        <x:v>SM43</x:v>
      </x:c>
      <x:c r="D159" s="171" t="str">
        <x:v>待选择</x:v>
      </x:c>
      <x:c r="E159" s="171" t="str">
        <x:v>产品、开发、测试</x:v>
      </x:c>
      <x:c r="F159" s="171" t="str">
        <x:v>待确认</x:v>
      </x:c>
      <x:c r="G159" s="171"/>
      <x:c r="H159" s="10" t="str">
        <x:f>IF(AND((COUNTIFS('冒烟用例'!$A$6:$A$96,"SM43",'冒烟用例'!$D$6:$D$96,"是"))&gt;0,D159="否"),"范围矛盾",IF(OR(D159="是",(COUNTIFS('冒烟用例'!$A$6:$A$96,"SM43",'冒烟用例'!$D$6:$D$96,"是"))&gt;0),IF(AND(F159="已确认",LEN(TRIM(G159))&gt;0),"已确认",IF(AND(F159="已记录后置",LEN(TRIM(G159))&gt;0),"核心依据不可后置","待确认")),IF(D159="否","不涉及","库内待选择")))</x:f>
        <x:v>库内待选择</x:v>
      </x:c>
    </x:row>
    <x:row r="160" ht="157.5" customHeight="1">
      <x:c r="A160" s="10" t="str">
        <x:v>DEC30</x:v>
      </x:c>
      <x:c r="B160" s="10" t="str">
        <x:v>行内编辑专项组件规范及适用页面/字段：触发、权限、查看/编辑/保存/取消/加载/错误、键盘/失焦、未保存保护和量值；当前来源仅有产出规范方向</x:v>
      </x:c>
      <x:c r="C160" s="10" t="str">
        <x:v>UI42</x:v>
      </x:c>
      <x:c r="D160" s="193" t="str">
        <x:v>待选择</x:v>
      </x:c>
      <x:c r="E160" s="193" t="str">
        <x:v>UI、产品、开发</x:v>
      </x:c>
      <x:c r="F160" s="193" t="str">
        <x:v>待确认</x:v>
      </x:c>
      <x:c r="G160" s="193"/>
      <x:c r="H160" s="10" t="str">
        <x:f>IF(AND(COUNTIFS('UI检查'!$A$6:$A$47,"UI42",'UI检查'!$D$6:$D$47,"是")&gt;0,D160="否"),"范围矛盾",IF(OR(D160="是",COUNTIFS('UI检查'!$A$6:$A$47,"UI42",'UI检查'!$D$6:$D$47,"是")&gt;0),IF(AND(F160="已确认",LEN(TRIM(G160))&gt;0),"已确认",IF(AND(F160="已记录后置",LEN(TRIM(G160))&gt;0),"核心依据不可后置","待确认")),IF(D160="否","不涉及","库内待选择")))</x:f>
        <x:v>库内待选择</x:v>
      </x:c>
    </x:row>
    <x:row r="161">
      <x:c r="A161" s="10"/>
      <x:c r="B161" s="10"/>
      <x:c r="C161" s="10"/>
      <x:c r="D161" s="10"/>
      <x:c r="E161" s="10"/>
      <x:c r="F161" s="10"/>
      <x:c r="G161" s="10"/>
      <x:c r="H161" s="10"/>
    </x:row>
    <x:row r="162" ht="70.5" customHeight="1">
      <x:c r="A162" s="10" t="str">
        <x:v>网站复核范围</x:v>
      </x:c>
      <x:c r="B162" s="10" t="str">
        <x:v>五个分组、18个可见对象目录；打开国家、航空公司、货物类型、费用项、币种、汇率、邮编、航线区域、Zone的列表或详情，表单范围见网站详情对照。</x:v>
      </x:c>
      <x:c r="C162" s="10"/>
      <x:c r="D162" s="10"/>
      <x:c r="E162" s="10"/>
      <x:c r="F162" s="10"/>
      <x:c r="G162" s="10"/>
      <x:c r="H162" s="10"/>
    </x:row>
    <x:row r="163" ht="70.5" customHeight="1">
      <x:c r="A163" s="10" t="str">
        <x:v>执行边界</x:v>
      </x:c>
      <x:c r="B163" s="10" t="str">
        <x:v>当前版本/交付清单未取得，成员表单等未核实；保存、权限、启停、删除、跨页、真实匹配、版本/历史与UI量值仍待本批批准依据后的实测。</x:v>
      </x:c>
      <x:c r="C163" s="10"/>
      <x:c r="D163" s="10"/>
      <x:c r="E163" s="10"/>
      <x:c r="F163" s="10"/>
      <x:c r="G163" s="10"/>
      <x:c r="H163" s="10"/>
    </x:row>
    <x:row r="166" ht="46.5" customHeight="1">
      <x:c r="A166" s="173" t="str">
        <x:v>颜色层级与case对应</x:v>
      </x:c>
      <x:c r="B166" s="173" t="str">
        <x:v>按飞书框架适配字段对应；颜色与P0/P1优先级、关键项、测试通过/失败独立。</x:v>
      </x:c>
      <x:c r="C166" s="173"/>
      <x:c r="D166" s="173"/>
      <x:c r="E166" s="173"/>
      <x:c r="F166" s="173"/>
      <x:c r="G166" s="173"/>
      <x:c r="H166" s="173"/>
    </x:row>
    <x:row r="167" ht="46.5" customHeight="1">
      <x:c r="A167" s="173" t="str">
        <x:v>颜色</x:v>
      </x:c>
      <x:c r="B167" s="173" t="str">
        <x:v>框架适配层级</x:v>
      </x:c>
      <x:c r="C167" s="173" t="str">
        <x:v>飞书组内记录</x:v>
      </x:c>
      <x:c r="D167" s="173" t="str">
        <x:v>有效映射记录</x:v>
      </x:c>
      <x:c r="E167" s="173" t="str">
        <x:v>直接对应UI case</x:v>
      </x:c>
      <x:c r="F167" s="173" t="str">
        <x:v>主要检查方式</x:v>
      </x:c>
      <x:c r="G167" s="173" t="str">
        <x:v>配套功能case</x:v>
      </x:c>
      <x:c r="H167" s="173" t="str">
        <x:v>依据及负责范围</x:v>
      </x:c>
    </x:row>
    <x:row r="168" ht="120" customHeight="1">
      <x:c r="A168" s="205" t="str">
        <x:v>红色</x:v>
      </x:c>
      <x:c r="B168" s="205" t="str">
        <x:v>无法覆盖</x:v>
      </x:c>
      <x:c r="C168" s="13" t="n">
        <x:v>3</x:v>
      </x:c>
      <x:c r="D168" s="13" t="n">
        <x:v>3</x:v>
      </x:c>
      <x:c r="E168" s="10" t="str">
        <x:v>UI01、UI02、UI42</x:v>
      </x:c>
      <x:c r="F168" s="10" t="str">
        <x:v>对照批准专项设计稿/组件规范，逐结构、状态、交互验证；现有框架本身不能作为该专项的完整验收依据。</x:v>
      </x:c>
      <x:c r="G168" s="10" t="str">
        <x:v>SM02、SM03、SM04、SM05
SM11、SM12、SM13</x:v>
      </x:c>
      <x:c r="H168" s="10" t="str">
        <x:v>UI专项稿/组件规范及版本；产品确认业务边界；开发实现与测试截图/交互证据。</x:v>
      </x:c>
    </x:row>
    <x:row r="169" ht="120" customHeight="1">
      <x:c r="A169" s="206" t="str">
        <x:v>白灰色</x:v>
      </x:c>
      <x:c r="B169" s="206" t="str">
        <x:v>业务交互、信息待明确</x:v>
      </x:c>
      <x:c r="C169" s="13" t="n">
        <x:v>1</x:v>
      </x:c>
      <x:c r="D169" s="13" t="n">
        <x:v>1</x:v>
      </x:c>
      <x:c r="E169" s="10" t="str">
        <x:v>UI05</x:v>
      </x:c>
      <x:c r="F169" s="10" t="str">
        <x:v>先取得产品批准的业务流程、状态或文案清单，再按明确规则验证；未明确的分支保持依据待确认。</x:v>
      </x:c>
      <x:c r="G169" s="10" t="str">
        <x:v>SM05</x:v>
      </x:c>
      <x:c r="H169" s="10" t="str">
        <x:v>产品确认的保留/删除文案、业务规则或状态说明；明确后重新评估框架适配。</x:v>
      </x:c>
    </x:row>
    <x:row r="170" ht="120" customHeight="1">
      <x:c r="A170" s="207" t="str">
        <x:v>蓝色</x:v>
      </x:c>
      <x:c r="B170" s="207" t="str">
        <x:v>组合复用</x:v>
      </x:c>
      <x:c r="C170" s="13" t="n">
        <x:v>2</x:v>
      </x:c>
      <x:c r="D170" s="13" t="n">
        <x:v>2</x:v>
      </x:c>
      <x:c r="E170" s="10" t="str">
        <x:v>UI03、UI35</x:v>
      </x:c>
      <x:c r="F170" s="10" t="str">
        <x:v>核现有标准组件组合后的布局、状态联动与完整流程，重点检查选中反馈、返回、跨页/未保存数据保护。</x:v>
      </x:c>
      <x:c r="G170" s="10" t="str">
        <x:v>SM21、SM28、SM29、SM63</x:v>
      </x:c>
      <x:c r="H170" s="10" t="str">
        <x:v>批准组合布局与适用组件；业务冲突DEC22或页面承载DEC23已确定；组合交互证据。</x:v>
      </x:c>
    </x:row>
    <x:row r="171" ht="120" customHeight="1">
      <x:c r="A171" s="208" t="str">
        <x:v>黄色</x:v>
      </x:c>
      <x:c r="B171" s="208" t="str">
        <x:v>调整后复用</x:v>
      </x:c>
      <x:c r="C171" s="13" t="n">
        <x:v>1</x:v>
      </x:c>
      <x:c r="D171" s="13" t="n">
        <x:v>1</x:v>
      </x:c>
      <x:c r="E171" s="10" t="str">
        <x:v>UI04</x:v>
      </x:c>
      <x:c r="F171" s="10" t="str">
        <x:v>核局部调整/扩展项及受影响状态，同时回归原组件正常、取消及风险提示交互。</x:v>
      </x:c>
      <x:c r="G171" s="10" t="str">
        <x:v>SM22</x:v>
      </x:c>
      <x:c r="H171" s="10" t="str">
        <x:v>批准局部改动及风险语义；必要UI建议；对应业务影响与取消/确认结果。</x:v>
      </x:c>
    </x:row>
    <x:row r="172" ht="120" customHeight="1">
      <x:c r="A172" s="209" t="str">
        <x:v>绿色</x:v>
      </x:c>
      <x:c r="B172" s="209" t="str">
        <x:v>直接复用</x:v>
      </x:c>
      <x:c r="C172" s="13" t="n">
        <x:v>15</x:v>
      </x:c>
      <x:c r="D172" s="13" t="n">
        <x:v>14</x:v>
      </x:c>
      <x:c r="E172" s="10" t="str">
        <x:v>UI06—UI18、UI36</x:v>
      </x:c>
      <x:c r="F172" s="10" t="str">
        <x:v>对照批准通用框架组件、Token与交互核一致性，保留实际字段/数据/权限差异；复用标签不代表实现已通过。</x:v>
      </x:c>
      <x:c r="G172" s="10" t="str">
        <x:v>SM03、SM04、SM06、SM07
SM08、SM11、SM12、SM21
SM27、SM28、SM30、SM31
SM58</x:v>
      </x:c>
      <x:c r="H172" s="10" t="str">
        <x:v>框架/规范版本、业务配置及批准例外；无需另行UI出稿的通用项仍须开发与测试证据。</x:v>
      </x:c>
    </x:row>
    <x:row r="173" ht="67.5" customHeight="1">
      <x:c r="A173" s="10" t="str">
        <x:v>合计</x:v>
      </x:c>
      <x:c r="B173" s="10" t="str">
        <x:v>五色来源对应</x:v>
      </x:c>
      <x:c r="C173" s="13" t="n">
        <x:f>SUM(C168:C172)</x:f>
        <x:v>22</x:v>
      </x:c>
      <x:c r="D173" s="13" t="n">
        <x:f>SUM(D168:D172)</x:f>
        <x:v>21</x:v>
      </x:c>
      <x:c r="E173" s="10" t="str">
        <x:v>21个UI case</x:v>
      </x:c>
      <x:c r="F173" s="10" t="str">
        <x:v>每条有效来源只直接映射一次；配套功能case可跨层级，不能重复计为来源记录。</x:v>
      </x:c>
      <x:c r="G173" s="10" t="str">
        <x:v>功能验证独立执行</x:v>
      </x:c>
      <x:c r="H173" s="10" t="str">
        <x:v>颜色不替代批准基线或测试结果</x:v>
      </x:c>
    </x:row>
    <x:row r="174">
      <x:c r="A174" s="10"/>
      <x:c r="B174" s="10"/>
      <x:c r="C174" s="10"/>
      <x:c r="D174" s="10"/>
      <x:c r="E174" s="10"/>
      <x:c r="F174" s="10"/>
      <x:c r="G174" s="10"/>
      <x:c r="H174" s="10"/>
    </x:row>
    <x:row r="175" ht="58.5" customHeight="1">
      <x:c r="A175" s="10" t="str">
        <x:v>空记录</x:v>
      </x:c>
      <x:c r="B175" s="10" t="str">
        <x:v>绿色15条含1空记录review-dfa7090250，仅有适配标签，无页面/问题/建议，不生成case；绿色有效映射14条。</x:v>
      </x:c>
      <x:c r="C175" s="10"/>
      <x:c r="D175" s="10"/>
      <x:c r="E175" s="10"/>
      <x:c r="F175" s="10"/>
      <x:c r="G175" s="10"/>
      <x:c r="H175" s="10"/>
    </x:row>
    <x:row r="176" ht="58.5" customHeight="1">
      <x:c r="A176" s="10" t="str">
        <x:v>补充用例</x:v>
      </x:c>
      <x:c r="B176" s="10" t="str">
        <x:v>UI19—UI34、UI37—UI41为规范或网站补充，共21条；没有直接Review记录，不强行套五色。按实际组件配套使用，如UI33/34配套UI01、UI37/38配套UI16。</x:v>
      </x:c>
      <x:c r="C176" s="10"/>
      <x:c r="D176" s="10"/>
      <x:c r="E176" s="10"/>
      <x:c r="F176" s="10"/>
      <x:c r="G176" s="10"/>
      <x:c r="H176" s="10"/>
    </x:row>
    <x:row r="177" ht="82.5" customHeight="1">
      <x:c r="A177" s="10" t="str">
        <x:v>来源</x:v>
      </x:c>
      <x:c r="B177" s="10" t="str">
        <x:v>飞书视图rev637及框架适配字段说明，2026-10-12只读获取；字段定义明确UI/开发/产品分工。https://example.invalid/source/e04459bb0b</x:v>
      </x:c>
      <x:c r="C177" s="10"/>
      <x:c r="D177" s="10"/>
      <x:c r="E177" s="10"/>
      <x:c r="F177" s="10"/>
      <x:c r="G177" s="10"/>
      <x:c r="H177" s="10"/>
    </x:row>
  </x:sheetData>
  <x:mergeCells>
    <x:mergeCell ref="A82:H82"/>
    <x:mergeCell ref="A83:H83"/>
    <x:mergeCell ref="B85:H85"/>
    <x:mergeCell ref="B86:H86"/>
    <x:mergeCell ref="B87:H87"/>
    <x:mergeCell ref="B88:H88"/>
    <x:mergeCell ref="B89:H89"/>
    <x:mergeCell ref="B90:H90"/>
    <x:mergeCell ref="A92:H92"/>
    <x:mergeCell ref="A107:H107"/>
    <x:mergeCell ref="A108:H108"/>
    <x:mergeCell ref="A109:H109"/>
    <x:mergeCell ref="A110:H110"/>
    <x:mergeCell ref="A113:H113"/>
    <x:mergeCell ref="A3:H3"/>
    <x:mergeCell ref="A119:H119"/>
    <x:mergeCell ref="B120:C120"/>
    <x:mergeCell ref="D120:H120"/>
    <x:mergeCell ref="B121:C121"/>
    <x:mergeCell ref="D121:H121"/>
    <x:mergeCell ref="B122:C122"/>
    <x:mergeCell ref="D122:H122"/>
    <x:mergeCell ref="B123:C123"/>
    <x:mergeCell ref="D123:H123"/>
    <x:mergeCell ref="B124:C124"/>
    <x:mergeCell ref="D124:H124"/>
    <x:mergeCell ref="B125:C125"/>
    <x:mergeCell ref="D125:H125"/>
    <x:mergeCell ref="B126:C126"/>
    <x:mergeCell ref="D126:H126"/>
    <x:mergeCell ref="B127:C127"/>
    <x:mergeCell ref="D127:H127"/>
    <x:mergeCell ref="B128:C128"/>
    <x:mergeCell ref="D128:H128"/>
    <x:mergeCell ref="B129:C129"/>
    <x:mergeCell ref="D129:H129"/>
    <x:mergeCell ref="B130:C130"/>
    <x:mergeCell ref="D130:H130"/>
    <x:mergeCell ref="B131:C131"/>
    <x:mergeCell ref="D131:H131"/>
    <x:mergeCell ref="B132:C132"/>
    <x:mergeCell ref="D132:H132"/>
    <x:mergeCell ref="A134:H134"/>
    <x:mergeCell ref="B135:H135"/>
    <x:mergeCell ref="B136:H136"/>
    <x:mergeCell ref="B137:H137"/>
    <x:mergeCell ref="B138:H138"/>
    <x:mergeCell ref="B139:H139"/>
    <x:mergeCell ref="B140:H140"/>
    <x:mergeCell ref="B141:H141"/>
    <x:mergeCell ref="B6:D6"/>
    <x:mergeCell ref="F6:H6"/>
    <x:mergeCell ref="A143:H143"/>
    <x:mergeCell ref="B144:C144"/>
    <x:mergeCell ref="D144:H144"/>
    <x:mergeCell ref="B145:C145"/>
    <x:mergeCell ref="D145:H145"/>
    <x:mergeCell ref="B146:C146"/>
    <x:mergeCell ref="D146:H146"/>
    <x:mergeCell ref="B147:C147"/>
    <x:mergeCell ref="D147:H147"/>
    <x:mergeCell ref="B148:C148"/>
    <x:mergeCell ref="D148:H148"/>
    <x:mergeCell ref="B149:C149"/>
    <x:mergeCell ref="D149:H149"/>
    <x:mergeCell ref="B150:C150"/>
    <x:mergeCell ref="D150:H150"/>
    <x:mergeCell ref="B151:C151"/>
    <x:mergeCell ref="D151:H151"/>
    <x:mergeCell ref="A154:H154"/>
    <x:mergeCell ref="B162:H162"/>
    <x:mergeCell ref="B163:H163"/>
    <x:mergeCell ref="B166:H166"/>
    <x:mergeCell ref="B175:H175"/>
    <x:mergeCell ref="B176:H176"/>
    <x:mergeCell ref="B177:H177"/>
  </x:mergeCells>
  <x:conditionalFormatting sqref="B6:D6">
    <x:cfRule type="containsText" dxfId="108" priority="1" operator="containsText" text="未就绪"/>
  </x:conditionalFormatting>
  <x:dataValidations count="11">
    <x:dataValidation type="list" sqref="B12">
      <x:formula1>"待确认,已确认"</x:formula1>
    </x:dataValidation>
    <x:dataValidation type="list" sqref="B33">
      <x:formula1>"待评审,退回整改,同意提测,允许带项提测"</x:formula1>
    </x:dataValidation>
    <x:dataValidation type="list" sqref="B17">
      <x:formula1>"待确认,已核对"</x:formula1>
    </x:dataValidation>
    <x:dataValidation type="list" sqref="D40:D61">
      <x:formula1>"待选择,是,否"</x:formula1>
    </x:dataValidation>
    <x:dataValidation type="list" sqref="F40:F61">
      <x:formula1>"待确认,已确认,已记录后置"</x:formula1>
    </x:dataValidation>
    <x:dataValidation type="list" sqref="D115:D117">
      <x:formula1>"待选择,是,否"</x:formula1>
    </x:dataValidation>
    <x:dataValidation type="list" sqref="F115:F117">
      <x:formula1>"待确认,已确认,已记录后置"</x:formula1>
    </x:dataValidation>
    <x:dataValidation type="list" sqref="D156:D159">
      <x:formula1>"待选择,是,否"</x:formula1>
    </x:dataValidation>
    <x:dataValidation type="list" sqref="F156:F159">
      <x:formula1>"待确认,已确认,已记录后置"</x:formula1>
    </x:dataValidation>
    <x:dataValidation type="list" sqref="D160">
      <x:formula1>"待选择,是,否"</x:formula1>
    </x:dataValidation>
    <x:dataValidation type="list" sqref="F160">
      <x:formula1>"待确认,已确认,已记录后置"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9c85462851c84248"/>
    <x:tablePart xmlns:r="http://schemas.openxmlformats.org/officeDocument/2006/relationships" r:id="R70c19bc2a31b465c"/>
  </x:tableParts>
</x:worksheet>
</file>

<file path=xl/worksheets/sheet2.xml><?xml version="1.0" encoding="utf-8"?>
<x:worksheet xmlns:x="http://schemas.openxmlformats.org/spreadsheetml/2006/main">
  <x:sheetPr>
    <x:tabColor rgb="FF385E9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4.380000114440918" hidden="0" customWidth="1"/>
    <x:col min="17" max="17" width="25" hidden="0" customWidth="1"/>
    <x:col min="18" max="18" width="35" hidden="0" customWidth="1"/>
    <x:col min="19" max="19" width="23.75" hidden="0" customWidth="1"/>
    <x:col min="20" max="20" width="68.75" hidden="0" customWidth="1"/>
    <x:col min="21" max="21" width="68.75" hidden="0" customWidth="1"/>
    <x:col min="22" max="22" width="18.75" hidden="0" customWidth="1"/>
    <x:col min="23" max="23" width="20.6299991607666" hidden="0" customWidth="1"/>
    <x:col min="24" max="24" width="57.5" hidden="0" customWidth="1"/>
    <x:col min="25" max="25" width="38.75" hidden="0" customWidth="1"/>
    <x:col min="26" max="26" width="5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3" t="str">
        <x:v>SN318 分批冒烟用例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1" customHeight="1">
      <x:c r="A4" s="5" t="str">
        <x:v>本版结合网站只读详情修订步骤；完整用例全部未执行。按交付选是，确认需求/UI及关联决策；执行前提、Build/基线、交付映射和逐分支证据满足后才能计有效结果。 Y/Z列为配套UI case及其颜色层级；功能行为须独立验证，不从颜色或UI结果推定功能通过。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测试层次</x:v>
      </x:c>
      <x:c r="Q5" s="84" t="str">
        <x:v>交付项ID／影响点</x:v>
      </x:c>
      <x:c r="R5" s="84" t="str">
        <x:v>执行基线ID</x:v>
      </x:c>
      <x:c r="S5" s="84" t="str">
        <x:v>依据类型</x:v>
      </x:c>
      <x:c r="T5" s="150" t="str">
        <x:v>设计思路／测试方法（建议）</x:v>
      </x:c>
      <x:c r="U5" s="150" t="str">
        <x:v>数据选择／核对证据（建议）</x:v>
      </x:c>
      <x:c r="V5" s="161" t="str">
        <x:v>依据有效性</x:v>
      </x:c>
      <x:c r="W5" s="161" t="str">
        <x:v>用例复核处理</x:v>
      </x:c>
      <x:c r="X5" s="161" t="str">
        <x:v>本轮复核说明</x:v>
      </x:c>
      <x:c r="Y5" s="173" t="str">
        <x:v>配套UI case</x:v>
      </x:c>
      <x:c r="Z5" s="173" t="str">
        <x:v>对应颜色层级（关联）</x:v>
      </x:c>
    </x:row>
    <x:row r="6" ht="120" customHeight="1">
      <x:c r="A6" s="10" t="str">
        <x:v>SM01</x:v>
      </x:c>
      <x:c r="B6" s="10" t="str">
        <x:v>通用</x:v>
      </x:c>
      <x:c r="C6" s="10" t="str">
        <x:v>账号身份与登录返回</x:v>
      </x:c>
      <x:c r="D6" s="85" t="str">
        <x:v>是</x:v>
      </x:c>
      <x:c r="E6" s="85" t="str">
        <x:v>是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V6&lt;&gt;"已确认","依据待确认",IF('本批提测'!$B$6&lt;&gt;"已就绪","批次未就绪",IF(OR(H6&lt;&gt;'本批提测'!$B$8,G6="",G6="未执行"),"未执行",IF(R6&lt;&gt;'本批提测'!$B$18,"基线已变，需复测",IF(LEN(TRIM(Q6))=0,"交付未映射",IF(AND(OR(G6="通过",G6="失败"),LEN(TRIM(M6))=0),"缺少证据",IF(AND(OR(G6="通过",G6="失败"),LEN(TRIM(O6))=0),"缺少执行人",IF(OR(G6="通过",G6="失败",G6="受阻",G6="依据待确认"),G6,"结果待填写")))))))))))</x:f>
        <x:v>依据待确认</x:v>
      </x:c>
      <x:c r="J6" s="10" t="str">
        <x:v>前置：取得本批测试账号及Build，记录账号别名、角色和本批目标对象。
操作：打开本批深链接，若要求登录则完成登录并核对返回路由。裸入口本轮落至行政与地点/国家；国家深链接group=location&amp;resource=country，航空公司为group=dictionary&amp;resource=airline，不把后者作为所有批次默认入口。</x:v>
      </x:c>
      <x:c r="K6" s="10" t="str">
        <x:v>使用正确身份，进入批准的本批目标分组/对象，URL、对象标题和内容一致。本次已有会话可见页面不代表新账号登录、超时或受限账号已通过。</x:v>
      </x:c>
      <x:c r="L6" s="10" t="str">
        <x:v>通用登录与身份检查为测试建议；此前复核未访问业务环境；本版已只读查看已有会话，登录流程仍待实测。
网站只读对照 WEB01—03，2026-10-12；具体URL及未验证范围见「网站详情对照」。当前实现不替代批准需求。</x:v>
      </x:c>
      <x:c r="M6" s="86"/>
      <x:c r="N6" s="86"/>
      <x:c r="O6" s="86"/>
      <x:c r="P6" s="10" t="str">
        <x:v>冒烟</x:v>
      </x:c>
      <x:c r="Q6" s="86"/>
      <x:c r="R6" s="86"/>
      <x:c r="S6" s="10" t="str">
        <x:v>测试建议／条件需求</x:v>
      </x:c>
      <x:c r="T6" s="10" t="str">
        <x:v>从错误账号及深链接问题选通用入口检查；用身份与跳转目标对照确认后续测试可信。登录链路细节是测试建议。</x:v>
      </x:c>
      <x:c r="U6" s="10" t="str">
        <x:v>使用本批账号别名与已批准角色；比对页面身份、原目标URL和分类。只在航司批次核对airline，不固化所有批次入口。
增加网站证据：记录group/resource、对象名称、主/子列表作用域及字段回显；写入/权限/持久化另取本批执行证据。</x:v>
      </x:c>
      <x:c r="V6" s="10" t="str">
        <x:f>IF(D6="否","不适用",IF(D6&lt;&gt;"是","未纳入本批",IF(OR(LEN(TRIM('本批提测'!$B$10))=0,LEN(TRIM('本批提测'!$B$11))=0,'本批提测'!$B$12&lt;&gt;"已确认",F6&lt;&gt;"已确认"),"待确认","已确认")))</x:f>
        <x:v>待确认</x:v>
      </x:c>
      <x:c r="W6" s="10" t="str">
        <x:v>网站对照修订</x:v>
      </x:c>
      <x:c r="X6" s="10" t="str">
        <x:v>用当前国家默认入口纠正历史航司固定入口；本轮已访问页面，登录流程仍未实测。</x:v>
      </x:c>
      <x:c r="Y6" s="187"/>
      <x:c r="Z6" s="187" t="str">
        <x:v>功能专项，无直接Review映射</x:v>
      </x:c>
    </x:row>
    <x:row r="7" ht="63" customHeight="1">
      <x:c r="A7" s="10" t="str">
        <x:v>SM02</x:v>
      </x:c>
      <x:c r="B7" s="10" t="str">
        <x:v>通用</x:v>
      </x:c>
      <x:c r="C7" s="10" t="str">
        <x:v>页面与接口权限</x:v>
      </x:c>
      <x:c r="D7" s="85" t="str">
        <x:v>是</x:v>
      </x:c>
      <x:c r="E7" s="85" t="str">
        <x:v>是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V7&lt;&gt;"已确认","依据待确认",IF('本批提测'!$B$6&lt;&gt;"已就绪","批次未就绪",IF(OR(H7&lt;&gt;'本批提测'!$B$8,G7="",G7="未执行"),"未执行",IF(R7&lt;&gt;'本批提测'!$B$18,"基线已变，需复测",IF(LEN(TRIM(Q7))=0,"交付未映射",IF(AND(OR(G7="通过",G7="失败"),LEN(TRIM(M7))=0),"缺少证据",IF(AND(OR(G7="通过",G7="失败"),LEN(TRIM(O7))=0),"缺少执行人",IF(OR(G7="通过",G7="失败",G7="受阻",G7="依据待确认"),G7,"结果待填写")))))))))))</x:f>
        <x:v>依据待确认</x:v>
      </x:c>
      <x:c r="J7" s="10" t="str">
        <x:v>前置：准备授权账号及受限账号，权限边界由本批确认。
操作：分别打开本批页面并尝试同一业务操作；核查对应请求的权限结果。</x:v>
      </x:c>
      <x:c r="K7" s="10" t="str">
        <x:v>授权账号可完成操作；受限账号被拒绝，无越权数据或写入。</x:v>
      </x:c>
      <x:c r="L7" s="10" t="str">
        <x:v>建议共通检查；权限规则待本批确认</x:v>
      </x:c>
      <x:c r="M7" s="86"/>
      <x:c r="N7" s="86"/>
      <x:c r="O7" s="86"/>
      <x:c r="P7" s="10" t="str">
        <x:v>冒烟</x:v>
      </x:c>
      <x:c r="Q7" s="86"/>
      <x:c r="R7" s="86"/>
      <x:c r="S7" s="10" t="str">
        <x:v>测试建议／条件需求</x:v>
      </x:c>
      <x:c r="T7" s="10" t="str">
        <x:v>把授权／未授权作为两类输入，检查页面与操作请求的一致权限边界；这是共通风险建议，不新增角色矩阵。</x:v>
      </x:c>
      <x:c r="U7" s="10" t="str">
        <x:v>按本批已确认权限准备两类专用账号；记录访问结果和是否产生写入。未给出权限口径时先确认，不凭按钮隐藏判安全。</x:v>
      </x:c>
      <x:c r="V7" s="10" t="str">
        <x:f>IF(D7="否","不适用",IF(D7&lt;&gt;"是","未纳入本批",IF(OR(LEN(TRIM('本批提测'!$B$10))=0,LEN(TRIM('本批提测'!$B$11))=0,'本批提测'!$B$12&lt;&gt;"已确认",F7&lt;&gt;"已确认"),"待确认","已确认")))</x:f>
        <x:v>待确认</x:v>
      </x:c>
      <x:c r="W7" s="10" t="str">
        <x:v>保留／按批次选取</x:v>
      </x:c>
      <x:c r="X7" s="10" t="str">
        <x:v>设计复核后保留；按交付范围及批准现行基线执行。</x:v>
      </x:c>
      <x:c r="Y7" s="187" t="str">
        <x:v>UI42</x:v>
      </x:c>
      <x:c r="Z7" s="188" t="str">
        <x:v>红色：无法覆盖</x:v>
      </x:c>
    </x:row>
    <x:row r="8" ht="120" customHeight="1">
      <x:c r="A8" s="10" t="str">
        <x:v>SM03</x:v>
      </x:c>
      <x:c r="B8" s="10" t="str">
        <x:v>通用</x:v>
      </x:c>
      <x:c r="C8" s="10" t="str">
        <x:v>基础配置分组、对象与深链接</x:v>
      </x:c>
      <x:c r="D8" s="85" t="str">
        <x:v>是</x:v>
      </x:c>
      <x:c r="E8" s="85" t="str">
        <x:v>是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V8&lt;&gt;"已确认","依据待确认",IF('本批提测'!$B$6&lt;&gt;"已就绪","批次未就绪",IF(OR(H8&lt;&gt;'本批提测'!$B$8,G8="",G8="未执行"),"未执行",IF(R8&lt;&gt;'本批提测'!$B$18,"基线已变，需复测",IF(LEN(TRIM(Q8))=0,"交付未映射",IF(AND(OR(G8="通过",G8="失败"),LEN(TRIM(M8))=0),"缺少证据",IF(AND(OR(G8="通过",G8="失败"),LEN(TRIM(O8))=0),"缺少执行人",IF(OR(G8="通过",G8="失败",G8="受阻",G8="依据待确认"),G8,"结果待填写")))))))))))</x:f>
        <x:v>依据待确认</x:v>
      </x:c>
      <x:c r="J8" s="10" t="str">
        <x:v>从基础配置导航依次选择本批对象，核对group/resource、分组说明、左侧对象、列表列与页头新增按钮。目录：业务字典5项、行政8项、航线区域/Zone、费用项、币种/汇率。以国家→航空公司→汇率→Zone检查对象切换；只有交付的对象纳入本批。</x:v>
      </x:c>
      <x:c r="K8" s="10" t="str">
        <x:v>分组、对象、URL、字段列及新增目标一致，无前一对象残留。裸入口国家只是本次观察；主数据/计价底座当前为分组文字与导航按钮，是否改一级Tabs按UI01/DEC01批准方案判断。</x:v>
      </x:c>
      <x:c r="L8" s="10" t="str">
        <x:v>建议共通检查；REQ §6.5
网站只读对照 WEB01—10，2026-10-12；具体URL及未验证范围见「网站详情对照」。当前实现不替代批准需求。</x:v>
      </x:c>
      <x:c r="M8" s="86"/>
      <x:c r="N8" s="86"/>
      <x:c r="O8" s="86"/>
      <x:c r="P8" s="10" t="str">
        <x:v>冒烟</x:v>
      </x:c>
      <x:c r="Q8" s="86"/>
      <x:c r="R8" s="86"/>
      <x:c r="S8" s="10" t="str">
        <x:v>需求正文＋测试建议</x:v>
      </x:c>
      <x:c r="T8" s="10" t="str">
        <x:v>字典左分类驱动右列表；通过菜单、深链接、分类切换的路径对照检查同一资源的一致性。</x:v>
      </x:c>
      <x:c r="U8" s="10" t="str">
        <x:v>选至少两个已交付分类及各自已知选项；核对URL、菜单高亮、标题和数据所属分类，避免旧列表串分类。
增加网站证据：记录group/resource、对象名称、主/子列表作用域及字段回显；写入/权限/持久化另取本批执行证据。</x:v>
      </x:c>
      <x:c r="V8" s="10" t="str">
        <x:f>IF(D8="否","不适用",IF(D8&lt;&gt;"是","未纳入本批",IF(OR(LEN(TRIM('本批提测'!$B$10))=0,LEN(TRIM('本批提测'!$B$11))=0,'本批提测'!$B$12&lt;&gt;"已确认",F8&lt;&gt;"已确认"),"待确认","已确认")))</x:f>
        <x:v>待确认</x:v>
      </x:c>
      <x:c r="W8" s="10" t="str">
        <x:v>网站对照修订</x:v>
      </x:c>
      <x:c r="X8" s="10" t="str">
        <x:v>补实际双层对象目录、对象特有新增按钮和路由。</x:v>
      </x:c>
      <x:c r="Y8" s="187" t="str">
        <x:v>UI01、UI02、UI06、UI07、UI08、UI15</x:v>
      </x:c>
      <x:c r="Z8" s="187" t="str">
        <x:v>红色：无法覆盖；绿色：直接复用</x:v>
      </x:c>
    </x:row>
    <x:row r="9" ht="63" customHeight="1">
      <x:c r="A9" s="10" t="str">
        <x:v>SM04</x:v>
      </x:c>
      <x:c r="B9" s="10" t="str">
        <x:v>通用</x:v>
      </x:c>
      <x:c r="C9" s="10" t="str">
        <x:v>刷新与返回上下文</x:v>
      </x:c>
      <x:c r="D9" s="85" t="str">
        <x:v>是</x:v>
      </x:c>
      <x:c r="E9" s="85" t="str">
        <x:v>是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V9&lt;&gt;"已确认","依据待确认",IF('本批提测'!$B$6&lt;&gt;"已就绪","批次未就绪",IF(OR(H9&lt;&gt;'本批提测'!$B$8,G9="",G9="未执行"),"未执行",IF(R9&lt;&gt;'本批提测'!$B$18,"基线已变，需复测",IF(LEN(TRIM(Q9))=0,"交付未映射",IF(AND(OR(G9="通过",G9="失败"),LEN(TRIM(M9))=0),"缺少证据",IF(AND(OR(G9="通过",G9="失败"),LEN(TRIM(O9))=0),"缺少执行人",IF(OR(G9="通过",G9="失败",G9="受阻",G9="依据待确认"),G9,"结果待填写")))))))))))</x:f>
        <x:v>依据待确认</x:v>
      </x:c>
      <x:c r="J9" s="10" t="str">
        <x:v>前置：进入本批页面并设置已约定需保留的状态。
操作：刷新页面，再执行浏览器返回和前进。</x:v>
      </x:c>
      <x:c r="K9" s="10" t="str">
        <x:v>保持当前路由；必要状态按确认规则保留，无意外跳转。</x:v>
      </x:c>
      <x:c r="L9" s="10" t="str">
        <x:v>REVIEW 第17项；状态范围需确认</x:v>
      </x:c>
      <x:c r="M9" s="86"/>
      <x:c r="N9" s="86"/>
      <x:c r="O9" s="86"/>
      <x:c r="P9" s="10" t="str">
        <x:v>冒烟</x:v>
      </x:c>
      <x:c r="Q9" s="86"/>
      <x:c r="R9" s="86"/>
      <x:c r="S9" s="10" t="str">
        <x:v>未批准Review建议／状态范围待确认</x:v>
      </x:c>
      <x:c r="T9" s="10" t="str">
        <x:v>用刷新／前进／后退的状态转换验证Review17所述页面上下文；保留状态的范围要先批准。</x:v>
      </x:c>
      <x:c r="U9" s="10" t="str">
        <x:v>记录刷新前路由及约定保留状态，再对照刷新后页面。未保存内容、筛选和页码不一概要求保留，可复用UI17证据。</x:v>
      </x:c>
      <x:c r="V9" s="10" t="str">
        <x:f>IF(D9="否","不适用",IF(D9&lt;&gt;"是","未纳入本批",IF(OR(LEN(TRIM('本批提测'!$B$10))=0,LEN(TRIM('本批提测'!$B$11))=0,'本批提测'!$B$12&lt;&gt;"已确认",F9&lt;&gt;"已确认"),"待确认","已确认")))</x:f>
        <x:v>待确认</x:v>
      </x:c>
      <x:c r="W9" s="10" t="str">
        <x:v>本轮修正</x:v>
      </x:c>
      <x:c r="X9" s="10" t="str">
        <x:v>设计复核后保留；按交付范围及批准现行基线执行。</x:v>
      </x:c>
      <x:c r="Y9" s="187" t="str">
        <x:v>UI02、UI17</x:v>
      </x:c>
      <x:c r="Z9" s="187" t="str">
        <x:v>红色：无法覆盖；绿色：直接复用</x:v>
      </x:c>
    </x:row>
    <x:row r="10" ht="63" customHeight="1">
      <x:c r="A10" s="10" t="str">
        <x:v>SM05</x:v>
      </x:c>
      <x:c r="B10" s="10" t="str">
        <x:v>通用</x:v>
      </x:c>
      <x:c r="C10" s="10" t="str">
        <x:v>成功、加载与失败反馈</x:v>
      </x:c>
      <x:c r="D10" s="85" t="str">
        <x:v>是</x:v>
      </x:c>
      <x:c r="E10" s="85" t="str">
        <x:v>是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V10&lt;&gt;"已确认","依据待确认",IF('本批提测'!$B$6&lt;&gt;"已就绪","批次未就绪",IF(OR(H10&lt;&gt;'本批提测'!$B$8,G10="",G10="未执行"),"未执行",IF(R10&lt;&gt;'本批提测'!$B$18,"基线已变，需复测",IF(LEN(TRIM(Q10))=0,"交付未映射",IF(AND(OR(G10="通过",G10="失败"),LEN(TRIM(M10))=0),"缺少证据",IF(AND(OR(G10="通过",G10="失败"),LEN(TRIM(O10))=0),"缺少执行人",IF(OR(G10="通过",G10="失败",G10="受阻",G10="依据待确认"),G10,"结果待填写")))))))))))</x:f>
        <x:v>依据待确认</x:v>
      </x:c>
      <x:c r="J10" s="10" t="str">
        <x:v>前置：使用可观察的正常请求和可控失败条件。
操作：执行一次查询或保存；检查加载、完成及失败反馈。</x:v>
      </x:c>
      <x:c r="K10" s="10" t="str">
        <x:v>反馈对应真实结果；加载能结束；保存成功可通过重新查询核实。</x:v>
      </x:c>
      <x:c r="L10" s="10" t="str">
        <x:v>建议共通检查；SPEC §7</x:v>
      </x:c>
      <x:c r="M10" s="86"/>
      <x:c r="N10" s="86"/>
      <x:c r="O10" s="86"/>
      <x:c r="P10" s="10" t="str">
        <x:v>冒烟</x:v>
      </x:c>
      <x:c r="Q10" s="86"/>
      <x:c r="R10" s="86"/>
      <x:c r="S10" s="10" t="str">
        <x:v>测试建议／条件需求</x:v>
      </x:c>
      <x:c r="T10" s="10" t="str">
        <x:v>用成功、处理中、失败三类请求结果验证反馈闭环，防止成功提示与真实保存结果不一致；失败条件是测试补充。</x:v>
      </x:c>
      <x:c r="U10" s="10" t="str">
        <x:v>准备可控的正常与失败请求；保存后重新查询实际值。证据包含操作、反馈、请求结果和读回，不只截成功提示。</x:v>
      </x:c>
      <x:c r="V10" s="10" t="str">
        <x:f>IF(D10="否","不适用",IF(D10&lt;&gt;"是","未纳入本批",IF(OR(LEN(TRIM('本批提测'!$B$10))=0,LEN(TRIM('本批提测'!$B$11))=0,'本批提测'!$B$12&lt;&gt;"已确认",F10&lt;&gt;"已确认"),"待确认","已确认")))</x:f>
        <x:v>待确认</x:v>
      </x:c>
      <x:c r="W10" s="10" t="str">
        <x:v>保留／按批次选取</x:v>
      </x:c>
      <x:c r="X10" s="10" t="str">
        <x:v>设计复核后保留；按交付范围及批准现行基线执行。</x:v>
      </x:c>
      <x:c r="Y10" s="187" t="str">
        <x:v>UI05、UI42</x:v>
      </x:c>
      <x:c r="Z10" s="187" t="str">
        <x:v>白灰色：业务交互、信息待明确；红色：无法覆盖</x:v>
      </x:c>
    </x:row>
    <x:row r="11" ht="120" customHeight="1">
      <x:c r="A11" s="10" t="str">
        <x:v>SM06</x:v>
      </x:c>
      <x:c r="B11" s="10" t="str">
        <x:v>基础配置列表</x:v>
      </x:c>
      <x:c r="C11" s="10" t="str">
        <x:v>已有数据与空结果</x:v>
      </x:c>
      <x:c r="D11" s="85" t="str">
        <x:v>待选择</x:v>
      </x:c>
      <x:c r="E11" s="85" t="str">
        <x:v>是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V11&lt;&gt;"已确认","依据待确认",IF('本批提测'!$B$6&lt;&gt;"已就绪","批次未就绪",IF(OR(H11&lt;&gt;'本批提测'!$B$8,G11="",G11="未执行"),"未执行",IF(R11&lt;&gt;'本批提测'!$B$18,"基线已变，需复测",IF(LEN(TRIM(Q11))=0,"交付未映射",IF(AND(OR(G11="通过",G11="失败"),LEN(TRIM(M11))=0),"缺少证据",IF(AND(OR(G11="通过",G11="失败"),LEN(TRIM(O11))=0),"缺少执行人",IF(OR(G11="通过",G11="失败",G11="受阻",G11="依据待确认"),G11,"结果待填写")))))))))))</x:f>
        <x:v>未纳入本批</x:v>
      </x:c>
      <x:c r="J11" s="10" t="str">
        <x:v>按本批对象选已知样本和不命中关键词，执行查询并分别记录结果及总数；国家编码/中文或英文名，航空公司IATA/ICAO/名称，货物类型编码/名称/说明，费用项编码/名称/分组/币种，Zone编码/名称/服务商/方案。字段是否实际参与检索须执行验证，提示文案本身不证明检索正确。</x:v>
      </x:c>
      <x:c r="K11" s="10" t="str">
        <x:v>已知样本及查询结果符合批准字段匹配规则；无结果空态不残留旧数据，总数正确。查询匹配方式、大小写、模糊/精确及状态范围依本批确认。</x:v>
      </x:c>
      <x:c r="L11" s="10" t="str">
        <x:v>REQ §6.5；空态检查为建议补充
网站只读对照 WEB02—05、WEB10，2026-10-12；具体URL及未验证范围见「网站详情对照」。当前实现不替代批准需求。</x:v>
      </x:c>
      <x:c r="M11" s="86"/>
      <x:c r="N11" s="86"/>
      <x:c r="O11" s="86"/>
      <x:c r="P11" s="10" t="str">
        <x:v>冒烟</x:v>
      </x:c>
      <x:c r="Q11" s="86"/>
      <x:c r="R11" s="86"/>
      <x:c r="S11" s="10" t="str">
        <x:v>测试建议／条件需求</x:v>
      </x:c>
      <x:c r="T11" s="10" t="str">
        <x:v>由字典列表拆出命中／无命中两类数据，补查空态是否残留上次结果；空态为测试建议。</x:v>
      </x:c>
      <x:c r="U11" s="10" t="str">
        <x:v>用确定存在的选项与确定不命中的词成对查询；核对数据和空态。接口无数据与请求失败应分别观察。
增加网站证据：记录group/resource、对象名称、主/子列表作用域及字段回显；写入/权限/持久化另取本批执行证据。</x:v>
      </x:c>
      <x:c r="V11" s="10" t="str">
        <x:f>IF(D11="否","不适用",IF(D11&lt;&gt;"是","未纳入本批",IF(OR(LEN(TRIM('本批提测'!$B$10))=0,LEN(TRIM('本批提测'!$B$11))=0,'本批提测'!$B$12&lt;&gt;"已确认",F11&lt;&gt;"已确认"),"待确认","已确认")))</x:f>
        <x:v>未纳入本批</x:v>
      </x:c>
      <x:c r="W11" s="10" t="str">
        <x:v>网站对照修订</x:v>
      </x:c>
      <x:c r="X11" s="10" t="str">
        <x:v>按真实对象搜索提示拆分数据，不能套统一选项值检索。</x:v>
      </x:c>
      <x:c r="Y11" s="187" t="str">
        <x:v>UI09、UI10</x:v>
      </x:c>
      <x:c r="Z11" s="189" t="str">
        <x:v>绿色：直接复用</x:v>
      </x:c>
    </x:row>
    <x:row r="12" ht="120" customHeight="1">
      <x:c r="A12" s="10" t="str">
        <x:v>SM07</x:v>
      </x:c>
      <x:c r="B12" s="10" t="str">
        <x:v>基础配置列表</x:v>
      </x:c>
      <x:c r="C12" s="10" t="str">
        <x:v>查询与重置</x:v>
      </x:c>
      <x:c r="D12" s="85" t="str">
        <x:v>待选择</x:v>
      </x:c>
      <x:c r="E12" s="85" t="str">
        <x:v>是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V12&lt;&gt;"已确认","依据待确认",IF('本批提测'!$B$6&lt;&gt;"已就绪","批次未就绪",IF(OR(H12&lt;&gt;'本批提测'!$B$8,G12="",G12="未执行"),"未执行",IF(R12&lt;&gt;'本批提测'!$B$18,"基线已变，需复测",IF(LEN(TRIM(Q12))=0,"交付未映射",IF(AND(OR(G12="通过",G12="失败"),LEN(TRIM(M12))=0),"缺少证据",IF(AND(OR(G12="通过",G12="失败"),LEN(TRIM(O12))=0),"缺少执行人",IF(OR(G12="通过",G12="失败",G12="受阻",G12="依据待确认"),G12,"结果待填写")))))))))))</x:f>
        <x:v>未纳入本批</x:v>
      </x:c>
      <x:c r="J12" s="10" t="str">
        <x:v>普通对象用关键词+状态（本次默认全部）；邮编另核国家筛选，汇率另核源币种、目标币种、生效日期。分别查询、组合筛选、重置、刷新；航线区域国家关系与Zone成员先明确详情子列表再操作。地点/Zone即时查询与按钮语义按DEC09批准后逐项验。</x:v>
      </x:c>
      <x:c r="K12" s="10" t="str">
        <x:v>查询字段、筛选组合、重置默认、刷新范围与批准规则一致；不串主表/子表或前后对象。存在查询按钮不证明只按钮触发，也不取消正文即时查询要求；需DEC09确认。</x:v>
      </x:c>
      <x:c r="L12" s="10" t="str">
        <x:v>REVIEW 第9项；航司搜索规则待确认
网站只读对照 WEB02—10，2026-10-12；具体URL及未验证范围见「网站详情对照」。当前实现不替代批准需求。</x:v>
      </x:c>
      <x:c r="M12" s="86"/>
      <x:c r="N12" s="86"/>
      <x:c r="O12" s="86"/>
      <x:c r="P12" s="10" t="str">
        <x:v>冒烟</x:v>
      </x:c>
      <x:c r="Q12" s="86"/>
      <x:c r="R12" s="86"/>
      <x:c r="S12" s="10" t="str">
        <x:v>测试建议／条件需求</x:v>
      </x:c>
      <x:c r="T12" s="10" t="str">
        <x:v>根据已交付搜索能力设计查询→重置的状态循环；字段和触发规则从本批基线取，不能由原型控件猜测。</x:v>
      </x:c>
      <x:c r="U12" s="10" t="str">
        <x:v>使用各已批准搜索字段的已知值及默认条件；对照结果集合、重置条件和刷新反馈。航司规则缺失时关联DEC06／本批确认。
增加网站证据：记录group/resource、对象名称、主/子列表作用域及字段回显；写入/权限/持久化另取本批执行证据。</x:v>
      </x:c>
      <x:c r="V12" s="10" t="str">
        <x:f>IF(D12="否","不适用",IF(D12&lt;&gt;"是","未纳入本批",IF(OR(LEN(TRIM('本批提测'!$B$10))=0,LEN(TRIM('本批提测'!$B$11))=0,'本批提测'!$B$12&lt;&gt;"已确认",F12&lt;&gt;"已确认"),"待确认","已确认")))</x:f>
        <x:v>未纳入本批</x:v>
      </x:c>
      <x:c r="W12" s="10" t="str">
        <x:v>网站对照修订</x:v>
      </x:c>
      <x:c r="X12" s="10" t="str">
        <x:v>补汇率/邮编额外筛选及主子列表作用域。</x:v>
      </x:c>
      <x:c r="Y12" s="187" t="str">
        <x:v>UI09</x:v>
      </x:c>
      <x:c r="Z12" s="189" t="str">
        <x:v>绿色：直接复用</x:v>
      </x:c>
    </x:row>
    <x:row r="13" ht="120" customHeight="1">
      <x:c r="A13" s="10" t="str">
        <x:v>SM08</x:v>
      </x:c>
      <x:c r="B13" s="10" t="str">
        <x:v>基础配置列表</x:v>
      </x:c>
      <x:c r="C13" s="10" t="str">
        <x:v>分页与总数</x:v>
      </x:c>
      <x:c r="D13" s="85" t="str">
        <x:v>待选择</x:v>
      </x:c>
      <x:c r="E13" s="85" t="str">
        <x:v>是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V13&lt;&gt;"已确认","依据待确认",IF('本批提测'!$B$6&lt;&gt;"已就绪","批次未就绪",IF(OR(H13&lt;&gt;'本批提测'!$B$8,G13="",G13="未执行"),"未执行",IF(R13&lt;&gt;'本批提测'!$B$18,"基线已变，需复测",IF(LEN(TRIM(Q13))=0,"交付未映射",IF(AND(OR(G13="通过",G13="失败"),LEN(TRIM(M13))=0),"缺少证据",IF(AND(OR(G13="通过",G13="失败"),LEN(TRIM(O13))=0),"缺少执行人",IF(OR(G13="通过",G13="失败",G13="受阻",G13="依据待确认"),G13,"结果待填写")))))))))))</x:f>
        <x:v>未纳入本批</x:v>
      </x:c>
      <x:c r="J13" s="10" t="str">
        <x:v>准备至少21条受控记录，记录当前筛选总数。当前页面显示20条/页及页码输入；翻页检查不重不漏，变更已提供的页容量，按批准规则核对越界页码、筛选后页码与详情子列表独立分页。</x:v>
      </x:c>
      <x:c r="K13" s="10" t="str">
        <x:v>总数/页码/容量/实际记录一致，跨页不串对象。当前1—2条样本不足以通过分页用例；可选容量及跳页规则按实际交付，不硬加10/50/100。</x:v>
      </x:c>
      <x:c r="L13" s="10" t="str">
        <x:v>REVIEW 第11项；仅适用有分页页面
网站只读对照 WEB02—10，2026-10-12；具体URL及未验证范围见「网站详情对照」。当前实现不替代批准需求。</x:v>
      </x:c>
      <x:c r="M13" s="86"/>
      <x:c r="N13" s="86"/>
      <x:c r="O13" s="86"/>
      <x:c r="P13" s="10" t="str">
        <x:v>专项回归</x:v>
      </x:c>
      <x:c r="Q13" s="86"/>
      <x:c r="R13" s="86"/>
      <x:c r="S13" s="10" t="str">
        <x:v>测试建议／条件需求</x:v>
      </x:c>
      <x:c r="T13" s="10" t="str">
        <x:v>分页属于条件能力；以页首／页尾及跨页数据检验计数与分类一致性，放专项回归。</x:v>
      </x:c>
      <x:c r="U13" s="10" t="str">
        <x:v>准备超过一页且可识别的数据，依据实际页大小核对相邻页、末页和总数。无分页的页面不强加条数或跳转功能。
增加网站证据：记录group/resource、对象名称、主/子列表作用域及字段回显；写入/权限/持久化另取本批执行证据。</x:v>
      </x:c>
      <x:c r="V13" s="10" t="str">
        <x:f>IF(D13="否","不适用",IF(D13&lt;&gt;"是","未纳入本批",IF(OR(LEN(TRIM('本批提测'!$B$10))=0,LEN(TRIM('本批提测'!$B$11))=0,'本批提测'!$B$12&lt;&gt;"已确认",F13&lt;&gt;"已确认"),"待确认","已确认")))</x:f>
        <x:v>未纳入本批</x:v>
      </x:c>
      <x:c r="W13" s="10" t="str">
        <x:v>网站对照修订</x:v>
      </x:c>
      <x:c r="X13" s="10" t="str">
        <x:v>采用观察到的20条默认容量，补超过一页前提。</x:v>
      </x:c>
      <x:c r="Y13" s="187" t="str">
        <x:v>UI10、UI11</x:v>
      </x:c>
      <x:c r="Z13" s="189" t="str">
        <x:v>绿色：直接复用</x:v>
      </x:c>
    </x:row>
    <x:row r="14" ht="120" customHeight="1">
      <x:c r="A14" s="10" t="str">
        <x:v>SM09</x:v>
      </x:c>
      <x:c r="B14" s="10" t="str">
        <x:v>业务字典</x:v>
      </x:c>
      <x:c r="C14" s="10" t="str">
        <x:v>仅名称普通字典的适用与必填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V14&lt;&gt;"已确认","依据待确认",IF('本批提测'!$B$6&lt;&gt;"已就绪","批次未就绪",IF(OR(H14&lt;&gt;'本批提测'!$B$8,G14="",G14="未执行"),"未执行",IF(R14&lt;&gt;'本批提测'!$B$18,"基线已变，需复测",IF(LEN(TRIM(Q14))=0,"交付未映射",IF(AND(OR(G14="通过",G14="失败"),LEN(TRIM(M14))=0),"缺少证据",IF(AND(OR(G14="通过",G14="失败"),LEN(TRIM(O14))=0),"缺少执行人",IF(OR(G14="通过",G14="失败",G14="受阻",G14="依据待确认"),G14,"结果待填写")))))))))))</x:f>
        <x:v>未纳入本批</x:v>
      </x:c>
      <x:c r="J14" s="10" t="str">
        <x:v>先在DEC26确认交付对象是否是PRD仅维护选项值/名称的普通字典及真实入口，再执行空值、有效新增和保存读回。国家、航空公司、货物类型等本次有编码的表单不得直接套本条；映射不同应选对应带编码用例。</x:v>
      </x:c>
      <x:c r="K14" s="10" t="str">
        <x:v>仅对批准的普通字典执行选项值必填和保存核查。未确认入口属于该模型时记录依据待确认，不把有编码表单强行判为只填名称即可保存。</x:v>
      </x:c>
      <x:c r="L14" s="10" t="str">
        <x:v>REQ §6.5 普通字典
网站只读对照 WEB02—04，2026-10-12；具体URL及未验证范围见「网站详情对照」。当前实现不替代批准需求。</x:v>
      </x:c>
      <x:c r="M14" s="86"/>
      <x:c r="N14" s="86"/>
      <x:c r="O14" s="86"/>
      <x:c r="P14" s="10" t="str">
        <x:v>冒烟</x:v>
      </x:c>
      <x:c r="Q14" s="86"/>
      <x:c r="R14" s="86"/>
      <x:c r="S14" s="10" t="str">
        <x:v>需求正文</x:v>
      </x:c>
      <x:c r="T14" s="10" t="str">
        <x:v>将普通字典的选项值分成空／有效两类，单独验证必填规则，避免与编码字典混用校验。</x:v>
      </x:c>
      <x:c r="U14" s="10" t="str">
        <x:v>仅适用确认交付的普通字典；其他输入固定合法，先空值再有效值。核对字段错误与保存读回，不自行加长度限制。
增加网站证据：记录group/resource、对象名称、主/子列表作用域及字段回显；写入/权限/持久化另取本批执行证据。</x:v>
      </x:c>
      <x:c r="V14" s="10" t="str">
        <x:f>IF(D14="否","不适用",IF(D14&lt;&gt;"是","未纳入本批",IF(OR(LEN(TRIM('本批提测'!$B$10))=0,LEN(TRIM('本批提测'!$B$11))=0,'本批提测'!$B$12&lt;&gt;"已确认",F14&lt;&gt;"已确认",'本批提测'!$H$156&lt;&gt;"已确认"),"待确认","已确认")))</x:f>
        <x:v>未纳入本批</x:v>
      </x:c>
      <x:c r="W14" s="10" t="str">
        <x:v>网站对照修订</x:v>
      </x:c>
      <x:c r="X14" s="10" t="str">
        <x:v>收窄name-only模型，保留需求并防止误用。</x:v>
      </x:c>
      <x:c r="Y14" s="187"/>
      <x:c r="Z14" s="187" t="str">
        <x:v>功能专项，无直接Review映射</x:v>
      </x:c>
    </x:row>
    <x:row r="15" ht="120" customHeight="1">
      <x:c r="A15" s="10" t="str">
        <x:v>SM10</x:v>
      </x:c>
      <x:c r="B15" s="10" t="str">
        <x:v>业务字典</x:v>
      </x:c>
      <x:c r="C15" s="10" t="str">
        <x:v>航空公司编码、名称与扩展字段</x:v>
      </x:c>
      <x:c r="D15" s="85" t="str">
        <x:v>待选择</x:v>
      </x:c>
      <x:c r="E15" s="85" t="str">
        <x:v>是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V15&lt;&gt;"已确认","依据待确认",IF('本批提测'!$B$6&lt;&gt;"已就绪","批次未就绪",IF(OR(H15&lt;&gt;'本批提测'!$B$8,G15="",G15="未执行"),"未执行",IF(R15&lt;&gt;'本批提测'!$B$18,"基线已变，需复测",IF(LEN(TRIM(Q15))=0,"交付未映射",IF(AND(OR(G15="通过",G15="失败"),LEN(TRIM(M15))=0),"缺少证据",IF(AND(OR(G15="通过",G15="失败"),LEN(TRIM(O15))=0),"缺少执行人",IF(OR(G15="通过",G15="失败",G15="受阻",G15="依据待确认"),G15,"结果待填写")))))))))))</x:f>
        <x:v>未纳入本批</x:v>
      </x:c>
      <x:c r="J15" s="10" t="str">
        <x:v>使用专用航空公司数据；新增入口为新增航空公司。按DEC06批准格式分别缺IATA编码、名称、状态再补齐；填写ICAO、英文名称、国家后保存读回。编辑已有项核对IATA禁用、各扩展字段回显及国家候选来源；新增和编辑分别取证。</x:v>
      </x:c>
      <x:c r="K15" s="10" t="str">
        <x:v>按批准规则校验编码/名称/状态及IATA/ICAO格式、国家来源；合法数据保存回显完整，编码编辑只读。本次星号及disabled仅是UI观察，服务器必填、格式、唯一性未验证；不能用通用编码+名称忽略ICAO/国家。</x:v>
      </x:c>
      <x:c r="L15" s="10" t="str">
        <x:v>REQ §6.5；航司类型与格式待确认
网站只读对照 WEB03，2026-10-12；具体URL及未验证范围见「网站详情对照」。当前实现不替代批准需求。</x:v>
      </x:c>
      <x:c r="M15" s="86"/>
      <x:c r="N15" s="86"/>
      <x:c r="O15" s="86"/>
      <x:c r="P15" s="10" t="str">
        <x:v>冒烟</x:v>
      </x:c>
      <x:c r="Q15" s="86"/>
      <x:c r="R15" s="86"/>
      <x:c r="S15" s="10" t="str">
        <x:v>正文＋待决策</x:v>
      </x:c>
      <x:c r="T15" s="10" t="str">
        <x:v>编码及显示名是两项独立必填；每次只缺一项，另取全合法组，定位规则而非混合报错。</x:v>
      </x:c>
      <x:c r="U15" s="10" t="str">
        <x:v>在确认字典类型后分别构造缺编码、缺显示名、全有效。航司编码格式待DEC06，不预设IATA三字码或长度。
增加网站证据：记录group/resource、对象名称、主/子列表作用域及字段回显；写入/权限/持久化另取本批执行证据。</x:v>
      </x:c>
      <x:c r="V15" s="10" t="str">
        <x:f>IF(D15="否","不适用",IF(D15&lt;&gt;"是","未纳入本批",IF(OR(LEN(TRIM('本批提测'!$B$10))=0,LEN(TRIM('本批提测'!$B$11))=0,'本批提测'!$B$12&lt;&gt;"已确认",F15&lt;&gt;"已确认",'本批提测'!$H$45&lt;&gt;"已确认",AND('本批提测'!$H$40&lt;&gt;"已确认",'本批提测'!$H$40&lt;&gt;"已记录后置")),"待确认","已确认")))</x:f>
        <x:v>未纳入本批</x:v>
      </x:c>
      <x:c r="W15" s="10" t="str">
        <x:v>网站对照修订</x:v>
      </x:c>
      <x:c r="X15" s="10" t="str">
        <x:v>用实际IATA/ICAO/国家表单修订航空公司分支。</x:v>
      </x:c>
      <x:c r="Y15" s="187"/>
      <x:c r="Z15" s="187" t="str">
        <x:v>功能专项，无直接Review映射</x:v>
      </x:c>
    </x:row>
    <x:row r="16" ht="120" customHeight="1">
      <x:c r="A16" s="10" t="str">
        <x:v>SM11</x:v>
      </x:c>
      <x:c r="B16" s="10" t="str">
        <x:v>基础配置对象</x:v>
      </x:c>
      <x:c r="C16" s="10" t="str">
        <x:v>新增保存与持久化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V16&lt;&gt;"已确认","依据待确认",IF('本批提测'!$B$6&lt;&gt;"已就绪","批次未就绪",IF(OR(H16&lt;&gt;'本批提测'!$B$8,G16="",G16="未执行"),"未执行",IF(R16&lt;&gt;'本批提测'!$B$18,"基线已变，需复测",IF(LEN(TRIM(Q16))=0,"交付未映射",IF(AND(OR(G16="通过",G16="失败"),LEN(TRIM(M16))=0),"缺少证据",IF(AND(OR(G16="通过",G16="失败"),LEN(TRIM(O16))=0),"缺少执行人",IF(OR(G16="通过",G16="失败",G16="受阻",G16="依据待确认"),G16,"结果待填写")))))))))))</x:f>
        <x:v>未纳入本批</x:v>
      </x:c>
      <x:c r="J16" s="10" t="str">
        <x:v>按当前分组/对象点击页头对应新增按钮（新增国家/航空公司/货物类型/费用项/币种/汇率/邮编/航线区域/Zone），核对表单对象，再用批准的专用数据保存、重新查询、刷新读回。只选本批交付对象；每个纳入对象分别留证。</x:v>
      </x:c>
      <x:c r="K16" s="10" t="str">
        <x:v>创建目标正确、保存和读回一致、刷新后仍存在。对象特有必填、候选来源及审批须相应用例/决策已确认；一次对象保存不能代表其他对象全部通过。</x:v>
      </x:c>
      <x:c r="L16" s="10" t="str">
        <x:v>REQ §6.5；增加持久化读回检查
网站只读对照 WEB01—10，2026-10-12；具体URL及未验证范围见「网站详情对照」。当前实现不替代批准需求。</x:v>
      </x:c>
      <x:c r="M16" s="86"/>
      <x:c r="N16" s="86"/>
      <x:c r="O16" s="86"/>
      <x:c r="P16" s="10" t="str">
        <x:v>冒烟</x:v>
      </x:c>
      <x:c r="Q16" s="86"/>
      <x:c r="R16" s="86"/>
      <x:c r="S16" s="10" t="str">
        <x:v>需求正文</x:v>
      </x:c>
      <x:c r="T16" s="10" t="str">
        <x:v>新增链路以保存→重查→刷新读回证明持久化；它承接必填检查并验证实际可用数据。</x:v>
      </x:c>
      <x:c r="U16" s="10" t="str">
        <x:v>使用不与现有项混淆的专用测试值；比对提交值、重新查询及刷新后值。保存响应和弹窗关闭不能单独作通过依据。
增加网站证据：记录group/resource、对象名称、主/子列表作用域及字段回显；写入/权限/持久化另取本批执行证据。</x:v>
      </x:c>
      <x:c r="V16" s="10" t="str">
        <x:f>IF(D16="否","不适用",IF(D16&lt;&gt;"是","未纳入本批",IF(OR(LEN(TRIM('本批提测'!$B$10))=0,LEN(TRIM('本批提测'!$B$11))=0,'本批提测'!$B$12&lt;&gt;"已确认",F16&lt;&gt;"已确认"),"待确认","已确认")))</x:f>
        <x:v>未纳入本批</x:v>
      </x:c>
      <x:c r="W16" s="10" t="str">
        <x:v>网站对照修订</x:v>
      </x:c>
      <x:c r="X16" s="10" t="str">
        <x:v>新增入口按具体对象命名，不写不存在的统一新增选项。</x:v>
      </x:c>
      <x:c r="Y16" s="187" t="str">
        <x:v>UI01、UI08</x:v>
      </x:c>
      <x:c r="Z16" s="187" t="str">
        <x:v>红色：无法覆盖；绿色：直接复用</x:v>
      </x:c>
    </x:row>
    <x:row r="17" ht="120" customHeight="1">
      <x:c r="A17" s="10" t="str">
        <x:v>SM12</x:v>
      </x:c>
      <x:c r="B17" s="10" t="str">
        <x:v>基础配置对象</x:v>
      </x:c>
      <x:c r="C17" s="10" t="str">
        <x:v>编辑回显与保存</x:v>
      </x:c>
      <x:c r="D17" s="85" t="str">
        <x:v>待选择</x:v>
      </x:c>
      <x:c r="E17" s="85" t="str">
        <x:v>是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V17&lt;&gt;"已确认","依据待确认",IF('本批提测'!$B$6&lt;&gt;"已就绪","批次未就绪",IF(OR(H17&lt;&gt;'本批提测'!$B$8,G17="",G17="未执行"),"未执行",IF(R17&lt;&gt;'本批提测'!$B$18,"基线已变，需复测",IF(LEN(TRIM(Q17))=0,"交付未映射",IF(AND(OR(G17="通过",G17="失败"),LEN(TRIM(M17))=0),"缺少证据",IF(AND(OR(G17="通过",G17="失败"),LEN(TRIM(O17))=0),"缺少执行人",IF(OR(G17="通过",G17="失败",G17="受阻",G17="依据待确认"),G17,"结果待填写")))))))))))</x:f>
        <x:v>未纳入本批</x:v>
      </x:c>
      <x:c r="J17" s="10" t="str">
        <x:v>分别记录专用测试项原值，打开行编辑，核对回显和可编辑字段。已观察国家编码、IATA、货物类型编码、费用项编码、ISO4217编码、邮编、Zone编码只读；汇率已生效记录源/目标/倍率/生效日另按SM85。仅修改批准可编辑字段，保存并重查；关联字段同时核列表/详情/表单。</x:v>
      </x:c>
      <x:c r="K17" s="10" t="str">
        <x:v>回显及只读状态符合批准对象契约；保存只改变目标对象及预期字段，编码不被隐式重写。列表与编辑关联值可追溯；版本/历史及财务影响需专项证据。</x:v>
      </x:c>
      <x:c r="L17" s="10" t="str">
        <x:v>REQ §6.5
网站只读对照 WEB02—10，2026-10-12；具体URL及未验证范围见「网站详情对照」。当前实现不替代批准需求。</x:v>
      </x:c>
      <x:c r="M17" s="86"/>
      <x:c r="N17" s="86"/>
      <x:c r="O17" s="86"/>
      <x:c r="P17" s="10" t="str">
        <x:v>冒烟</x:v>
      </x:c>
      <x:c r="Q17" s="86"/>
      <x:c r="R17" s="86"/>
      <x:c r="S17" s="10" t="str">
        <x:v>需求正文</x:v>
      </x:c>
      <x:c r="T17" s="10" t="str">
        <x:v>编辑用修改前后对照，同时验证回显和目标定位，避免改错行、遗漏字段或局部未持久化。</x:v>
      </x:c>
      <x:c r="U17" s="10" t="str">
        <x:v>记录目标ID与原值，仅改一个字段；保存后重新查询目标及邻近记录。核对目标已变、其他项无误改。
增加网站证据：记录group/resource、对象名称、主/子列表作用域及字段回显；写入/权限/持久化另取本批执行证据。</x:v>
      </x:c>
      <x:c r="V17" s="10" t="str">
        <x:f>IF(D17="否","不适用",IF(D17&lt;&gt;"是","未纳入本批",IF(OR(LEN(TRIM('本批提测'!$B$10))=0,LEN(TRIM('本批提测'!$B$11))=0,'本批提测'!$B$12&lt;&gt;"已确认",F17&lt;&gt;"已确认"),"待确认","已确认")))</x:f>
        <x:v>未纳入本批</x:v>
      </x:c>
      <x:c r="W17" s="10" t="str">
        <x:v>网站对照修订</x:v>
      </x:c>
      <x:c r="X17" s="10" t="str">
        <x:v>补对象特有只读字段，汇率生命周期单独处理。</x:v>
      </x:c>
      <x:c r="Y17" s="187" t="str">
        <x:v>UI15、UI42</x:v>
      </x:c>
      <x:c r="Z17" s="187" t="str">
        <x:v>绿色：直接复用；红色：无法覆盖</x:v>
      </x:c>
    </x:row>
    <x:row r="18" ht="120" customHeight="1">
      <x:c r="A18" s="10" t="str">
        <x:v>SM13</x:v>
      </x:c>
      <x:c r="B18" s="10" t="str">
        <x:v>基础配置对象</x:v>
      </x:c>
      <x:c r="C18" s="10" t="str">
        <x:v>取消编辑不写入</x:v>
      </x:c>
      <x:c r="D18" s="85" t="str">
        <x:v>待选择</x:v>
      </x:c>
      <x:c r="E18" s="85" t="str">
        <x:v>是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V18&lt;&gt;"已确认","依据待确认",IF('本批提测'!$B$6&lt;&gt;"已就绪","批次未就绪",IF(OR(H18&lt;&gt;'本批提测'!$B$8,G18="",G18="未执行"),"未执行",IF(R18&lt;&gt;'本批提测'!$B$18,"基线已变，需复测",IF(LEN(TRIM(Q18))=0,"交付未映射",IF(AND(OR(G18="通过",G18="失败"),LEN(TRIM(M18))=0),"缺少证据",IF(AND(OR(G18="通过",G18="失败"),LEN(TRIM(O18))=0),"缺少执行人",IF(OR(G18="通过",G18="失败",G18="受阻",G18="依据待确认"),G18,"结果待填写")))))))))))</x:f>
        <x:v>未纳入本批</x:v>
      </x:c>
      <x:c r="J18" s="10" t="str">
        <x:v>打开本批专用测试项编辑，记录原值，改变可编辑内容后分别取消及右上关闭，再重新打开并查询。Zone详情关闭与编辑取消分别操作；成员编辑若未核实入口，不推测其表单。</x:v>
      </x:c>
      <x:c r="K18" s="10" t="str">
        <x:v>取消/关闭未保存修改，原值保持；关闭提示及是否保留未保存输入按批准方案。只打开表单并取消的本次观察不替代含修改的完整本条执行。</x:v>
      </x:c>
      <x:c r="L18" s="10" t="str">
        <x:v>建议补充；关闭和未保存提示规则待确认
网站只读对照 WEB02—10，2026-10-12；具体URL及未验证范围见「网站详情对照」。当前实现不替代批准需求。</x:v>
      </x:c>
      <x:c r="M18" s="86"/>
      <x:c r="N18" s="86"/>
      <x:c r="O18" s="86"/>
      <x:c r="P18" s="10" t="str">
        <x:v>专项回归</x:v>
      </x:c>
      <x:c r="Q18" s="86"/>
      <x:c r="R18" s="86"/>
      <x:c r="S18" s="10" t="str">
        <x:v>测试建议／条件需求</x:v>
      </x:c>
      <x:c r="T18" s="10" t="str">
        <x:v>用编辑后取消的反向路径验证无写入；未保存提示、关闭方式等交互细节作为待批准建议。</x:v>
      </x:c>
      <x:c r="U18" s="10" t="str">
        <x:v>记录原值，输入不同值再取消／关闭，重新打开读回。证据要能证明原数据未变，不仅看到弹窗消失。
增加网站证据：记录group/resource、对象名称、主/子列表作用域及字段回显；写入/权限/持久化另取本批执行证据。</x:v>
      </x:c>
      <x:c r="V18" s="10" t="str">
        <x:f>IF(D18="否","不适用",IF(D18&lt;&gt;"是","未纳入本批",IF(OR(LEN(TRIM('本批提测'!$B$10))=0,LEN(TRIM('本批提测'!$B$11))=0,'本批提测'!$B$12&lt;&gt;"已确认",F18&lt;&gt;"已确认"),"待确认","已确认")))</x:f>
        <x:v>未纳入本批</x:v>
      </x:c>
      <x:c r="W18" s="10" t="str">
        <x:v>网站对照修订</x:v>
      </x:c>
      <x:c r="X18" s="10" t="str">
        <x:v>区分详情关闭与编辑取消，不升级为完整取消测试通过。</x:v>
      </x:c>
      <x:c r="Y18" s="187" t="str">
        <x:v>UI42</x:v>
      </x:c>
      <x:c r="Z18" s="188" t="str">
        <x:v>红色：无法覆盖</x:v>
      </x:c>
    </x:row>
    <x:row r="19" ht="120" customHeight="1">
      <x:c r="A19" s="10" t="str">
        <x:v>SM14</x:v>
      </x:c>
      <x:c r="B19" s="10" t="str">
        <x:v>业务字典</x:v>
      </x:c>
      <x:c r="C19" s="10" t="str">
        <x:v>取消删除</x:v>
      </x:c>
      <x:c r="D19" s="85" t="str">
        <x:v>待选择</x:v>
      </x:c>
      <x:c r="E19" s="85" t="str">
        <x:v>是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V19&lt;&gt;"已确认","依据待确认",IF('本批提测'!$B$6&lt;&gt;"已就绪","批次未就绪",IF(OR(H19&lt;&gt;'本批提测'!$B$8,G19="",G19="未执行"),"未执行",IF(R19&lt;&gt;'本批提测'!$B$18,"基线已变，需复测",IF(LEN(TRIM(Q19))=0,"交付未映射",IF(AND(OR(G19="通过",G19="失败"),LEN(TRIM(M19))=0),"缺少证据",IF(AND(OR(G19="通过",G19="失败"),LEN(TRIM(O19))=0),"缺少执行人",IF(OR(G19="通过",G19="失败",G19="受阻",G19="依据待确认"),G19,"结果待填写")))))))))))</x:f>
        <x:v>未纳入本批</x:v>
      </x:c>
      <x:c r="J19" s="10" t="str">
        <x:v>适用范围：只对本批已交付普通删除的对象及获准清理的测试项执行；当前汇率无普通删除入口，应按SM85结束旧区间/新增处理。航线区域或Zone必须明确删除主记录还是成员关系。
原普通字典分支按下列步骤执行：
原需求验收分支（按映射后入口执行）：
前置：使用明确可清理的专用测试项。
操作：点击删除，在确认提示中取消，重新查询。</x:v>
      </x:c>
      <x:c r="K19" s="10" t="str">
        <x:v>普通字典删除合同保留；汇率及关联对象按各自批准生命周期/引用保护执行，不因不存在普通删除按钮而运行通用删除步骤。
原需求预期（仍须保留）：
出现确认提示；取消后选项仍存在。</x:v>
      </x:c>
      <x:c r="L19" s="10" t="str">
        <x:v>REQ §6.5
网站只读对照 WEB02—10，2026-10-12；具体URL及未验证范围见「网站详情对照」。当前实现不替代批准需求。</x:v>
      </x:c>
      <x:c r="M19" s="86"/>
      <x:c r="N19" s="86"/>
      <x:c r="O19" s="86"/>
      <x:c r="P19" s="10" t="str">
        <x:v>冒烟</x:v>
      </x:c>
      <x:c r="Q19" s="86"/>
      <x:c r="R19" s="86"/>
      <x:c r="S19" s="10" t="str">
        <x:v>需求正文</x:v>
      </x:c>
      <x:c r="T19" s="10" t="str">
        <x:v>删除确认的取消分支与确认分支成对覆盖；先验证取消不触发实际删除。</x:v>
      </x:c>
      <x:c r="U19" s="10" t="str">
        <x:v>选可清理测试项，取消确认后重新查询；核对仍存在。用SM15覆盖确认删除，避免两条用例重复执行同一路径。
增加网站证据：记录group/resource、对象名称、主/子列表作用域及字段回显；写入/权限/持久化另取本批执行证据。</x:v>
      </x:c>
      <x:c r="V19" s="10" t="str">
        <x:f>IF(D19="否","不适用",IF(D19&lt;&gt;"是","未纳入本批",IF(OR(LEN(TRIM('本批提测'!$B$10))=0,LEN(TRIM('本批提测'!$B$11))=0,'本批提测'!$B$12&lt;&gt;"已确认",F19&lt;&gt;"已确认"),"待确认","已确认")))</x:f>
        <x:v>未纳入本批</x:v>
      </x:c>
      <x:c r="W19" s="10" t="str">
        <x:v>网站对照修订</x:v>
      </x:c>
      <x:c r="X19" s="10" t="str">
        <x:v>普通删除按对象限定，汇率排除；关联主表/成员分开取证。</x:v>
      </x:c>
      <x:c r="Y19" s="187"/>
      <x:c r="Z19" s="187" t="str">
        <x:v>功能专项，无直接Review映射</x:v>
      </x:c>
    </x:row>
    <x:row r="20" ht="120" customHeight="1">
      <x:c r="A20" s="10" t="str">
        <x:v>SM15</x:v>
      </x:c>
      <x:c r="B20" s="10" t="str">
        <x:v>业务字典</x:v>
      </x:c>
      <x:c r="C20" s="10" t="str">
        <x:v>删除与历史引用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V20&lt;&gt;"已确认","依据待确认",IF('本批提测'!$B$6&lt;&gt;"已就绪","批次未就绪",IF(OR(H20&lt;&gt;'本批提测'!$B$8,G20="",G20="未执行"),"未执行",IF(R20&lt;&gt;'本批提测'!$B$18,"基线已变，需复测",IF(LEN(TRIM(Q20))=0,"交付未映射",IF(AND(OR(G20="通过",G20="失败"),LEN(TRIM(M20))=0),"缺少证据",IF(AND(OR(G20="通过",G20="失败"),LEN(TRIM(O20))=0),"缺少执行人",IF(OR(G20="通过",G20="失败",G20="受阻",G20="依据待确认"),G20,"结果待填写")))))))))))</x:f>
        <x:v>未纳入本批</x:v>
      </x:c>
      <x:c r="J20" s="10" t="str">
        <x:v>适用范围：只对本批已交付普通删除的对象及获准清理的测试项执行；当前汇率无普通删除入口，应按SM85结束旧区间/新增处理。航线区域或Zone必须明确删除主记录还是成员关系。
原普通字典分支按下列步骤执行：
原需求验收分支（按映射后入口执行）：
前置：使用可清理测试项及引用它的历史测试单据。
操作：确认删除，再检查新建、编辑表单的选项及历史单据。</x:v>
      </x:c>
      <x:c r="K20" s="10" t="str">
        <x:v>普通字典删除合同保留；汇率及关联对象按各自批准生命周期/引用保护执行，不因不存在普通删除按钮而运行通用删除步骤。
原需求预期（仍须保留）：
选项不再出现在新建或编辑表单；历史单据不受影响。</x:v>
      </x:c>
      <x:c r="L20" s="10" t="str">
        <x:v>REQ §6.5；只操作专用测试数据
网站只读对照 WEB02—10，2026-10-12；具体URL及未验证范围见「网站详情对照」。当前实现不替代批准需求。</x:v>
      </x:c>
      <x:c r="M20" s="86"/>
      <x:c r="N20" s="86"/>
      <x:c r="O20" s="86"/>
      <x:c r="P20" s="10" t="str">
        <x:v>冒烟</x:v>
      </x:c>
      <x:c r="Q20" s="86"/>
      <x:c r="R20" s="86"/>
      <x:c r="S20" s="10" t="str">
        <x:v>需求正文</x:v>
      </x:c>
      <x:c r="T20" s="10" t="str">
        <x:v>正文将新建／编辑表单和历史单据分成不同影响对象；以删除前后及新旧业务对照验证该边界。</x:v>
      </x:c>
      <x:c r="U20" s="10" t="str">
        <x:v>准备专用选项及其历史测试引用；删除后核对未来表单不再提供、历史名称／存值未受影响。无历史样本不能宣称历史已验证。
增加网站证据：记录group/resource、对象名称、主/子列表作用域及字段回显；写入/权限/持久化另取本批执行证据。</x:v>
      </x:c>
      <x:c r="V20" s="10" t="str">
        <x:f>IF(D20="否","不适用",IF(D20&lt;&gt;"是","未纳入本批",IF(OR(LEN(TRIM('本批提测'!$B$10))=0,LEN(TRIM('本批提测'!$B$11))=0,'本批提测'!$B$12&lt;&gt;"已确认",F20&lt;&gt;"已确认"),"待确认","已确认")))</x:f>
        <x:v>未纳入本批</x:v>
      </x:c>
      <x:c r="W20" s="10" t="str">
        <x:v>网站对照修订</x:v>
      </x:c>
      <x:c r="X20" s="10" t="str">
        <x:v>普通删除按对象限定，汇率排除；关联主表/成员分开取证。</x:v>
      </x:c>
      <x:c r="Y20" s="187"/>
      <x:c r="Z20" s="187" t="str">
        <x:v>功能专项，无直接Review映射</x:v>
      </x:c>
    </x:row>
    <x:row r="21" ht="120" customHeight="1">
      <x:c r="A21" s="10" t="str">
        <x:v>SM16</x:v>
      </x:c>
      <x:c r="B21" s="10" t="str">
        <x:v>业务字典</x:v>
      </x:c>
      <x:c r="C21" s="10" t="str">
        <x:v>重复编码处理</x:v>
      </x:c>
      <x:c r="D21" s="85" t="str">
        <x:v>待选择</x:v>
      </x:c>
      <x:c r="E21" s="85" t="str">
        <x:v>是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V21&lt;&gt;"已确认","依据待确认",IF('本批提测'!$B$6&lt;&gt;"已就绪","批次未就绪",IF(OR(H21&lt;&gt;'本批提测'!$B$8,G21="",G21="未执行"),"未执行",IF(R21&lt;&gt;'本批提测'!$B$18,"基线已变，需复测",IF(LEN(TRIM(Q21))=0,"交付未映射",IF(AND(OR(G21="通过",G21="失败"),LEN(TRIM(M21))=0),"缺少证据",IF(AND(OR(G21="通过",G21="失败"),LEN(TRIM(O21))=0),"缺少执行人",IF(OR(G21="通过",G21="失败",G21="受阻",G21="依据待确认"),G21,"结果待填写")))))))))))</x:f>
        <x:v>未纳入本批</x:v>
      </x:c>
      <x:c r="J21" s="10" t="str">
        <x:v>在DEC06确认航空公司IATA/ICAO各自唯一性范围、大小写归一和重码处理；国家、币种、费用项、货物类型编码等另按各自批准契约。在新增专用记录时构造重复编码，不对disabled编辑编码做无效提交；读回总数和原项。</x:v>
      </x:c>
      <x:c r="K21" s="10" t="str">
        <x:v>按照已批准唯一键和重码规则拒绝/提示/处理，原数据不误改；不自行假定IATA、ICAO、名称都全局唯一。</x:v>
      </x:c>
      <x:c r="L21" s="10" t="str">
        <x:v>建议补充；关联 DEC06
网站只读对照 WEB02—07，2026-10-12；具体URL及未验证范围见「网站详情对照」。当前实现不替代批准需求。</x:v>
      </x:c>
      <x:c r="M21" s="86"/>
      <x:c r="N21" s="86"/>
      <x:c r="O21" s="86"/>
      <x:c r="P21" s="10" t="str">
        <x:v>专项回归</x:v>
      </x:c>
      <x:c r="Q21" s="86"/>
      <x:c r="R21" s="86"/>
      <x:c r="S21" s="10" t="str">
        <x:v>测试建议／条件需求</x:v>
      </x:c>
      <x:c r="T21" s="10" t="str">
        <x:v>重复编码作为唯一性风险补充，先确定范围和处理策略；不能把建议反例当成PRD已定义规则。</x:v>
      </x:c>
      <x:c r="U21" s="10" t="str">
        <x:v>按DEC06批准的分类内／跨分类范围构造重复值，其他字段合法。没有唯一性结论时记依据待确认，不自判拒绝或接受。
增加网站证据：记录group/resource、对象名称、主/子列表作用域及字段回显；写入/权限/持久化另取本批执行证据。</x:v>
      </x:c>
      <x:c r="V21" s="10" t="str">
        <x:f>IF(D21="否","不适用",IF(D21&lt;&gt;"是","未纳入本批",IF(OR(LEN(TRIM('本批提测'!$B$10))=0,LEN(TRIM('本批提测'!$B$11))=0,'本批提测'!$B$12&lt;&gt;"已确认",F21&lt;&gt;"已确认",'本批提测'!$H$45&lt;&gt;"已确认",AND('本批提测'!$H$40&lt;&gt;"已确认",'本批提测'!$H$40&lt;&gt;"已记录后置")),"待确认","已确认")))</x:f>
        <x:v>未纳入本批</x:v>
      </x:c>
      <x:c r="W21" s="10" t="str">
        <x:v>网站对照修订</x:v>
      </x:c>
      <x:c r="X21" s="10" t="str">
        <x:v>重复编码使用真实新增路径，区分各对象唯一键。</x:v>
      </x:c>
      <x:c r="Y21" s="187"/>
      <x:c r="Z21" s="187" t="str">
        <x:v>功能专项，无直接Review映射</x:v>
      </x:c>
    </x:row>
    <x:row r="22" ht="120" customHeight="1">
      <x:c r="A22" s="10" t="str">
        <x:v>SM17</x:v>
      </x:c>
      <x:c r="B22" s="10" t="str">
        <x:v>业务字典</x:v>
      </x:c>
      <x:c r="C22" s="10" t="str">
        <x:v>字典分类管理范围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V22&lt;&gt;"已确认","依据待确认",IF('本批提测'!$B$6&lt;&gt;"已就绪","批次未就绪",IF(OR(H22&lt;&gt;'本批提测'!$B$8,G22="",G22="未执行"),"未执行",IF(R22&lt;&gt;'本批提测'!$B$18,"基线已变，需复测",IF(LEN(TRIM(Q22))=0,"交付未映射",IF(AND(OR(G22="通过",G22="失败"),LEN(TRIM(M22))=0),"缺少证据",IF(AND(OR(G22="通过",G22="失败"),LEN(TRIM(O22))=0),"缺少执行人",IF(OR(G22="通过",G22="失败",G22="受阻",G22="依据待确认"),G22,"结果待填写")))))))))))</x:f>
        <x:v>未纳入本批</x:v>
      </x:c>
      <x:c r="J22" s="10" t="str">
        <x:v>当前基础配置显示固定分组和对象目录，本轮未看到分类新增/改名/删除入口。先由DEC07/DEC26明确分类管理是否交付、是否有其他页面，再对交付入口执行原分类操作及引用影响检查。</x:v>
      </x:c>
      <x:c r="K22" s="10" t="str">
        <x:v>已交付分类操作符合批准方案；未交付记录明确理由。固定菜单可切换不等于分类CRUD已通过，本页面未见入口也不能推出全站不支持。</x:v>
      </x:c>
      <x:c r="L22" s="10" t="str">
        <x:v>REQ 评论提出范围缺口；关联 DEC07
网站只读对照 WEB01、WEB03，2026-10-12；具体URL及未验证范围见「网站详情对照」。当前实现不替代批准需求。</x:v>
      </x:c>
      <x:c r="M22" s="86"/>
      <x:c r="N22" s="86"/>
      <x:c r="O22" s="86"/>
      <x:c r="P22" s="10" t="str">
        <x:v>专项回归</x:v>
      </x:c>
      <x:c r="Q22" s="86"/>
      <x:c r="R22" s="86"/>
      <x:c r="S22" s="10" t="str">
        <x:v>测试建议／条件需求</x:v>
      </x:c>
      <x:c r="T22" s="10" t="str">
        <x:v>分类CRUD来自评论中的范围缺口；设计用于本批范围核对和确认后验证，不能按评论直接新增验收义务。</x:v>
      </x:c>
      <x:c r="U22" s="10" t="str">
        <x:v>先以DEC07核对交付清单是否含分类操作；确认后用有／无选项及引用的分类检查影响，未交付则记录原因。
增加网站证据：记录group/resource、对象名称、主/子列表作用域及字段回显；写入/权限/持久化另取本批执行证据。</x:v>
      </x:c>
      <x:c r="V22" s="10" t="str">
        <x:f>IF(D22="否","不适用",IF(D22&lt;&gt;"是","未纳入本批",IF(OR(LEN(TRIM('本批提测'!$B$10))=0,LEN(TRIM('本批提测'!$B$11))=0,'本批提测'!$B$12&lt;&gt;"已确认",F22&lt;&gt;"已确认",'本批提测'!$H$46&lt;&gt;"已确认",AND('本批提测'!$H$40&lt;&gt;"已确认",'本批提测'!$H$40&lt;&gt;"已记录后置"),'本批提测'!$H$156&lt;&gt;"已确认"),"待确认","已确认")))</x:f>
        <x:v>未纳入本批</x:v>
      </x:c>
      <x:c r="W22" s="10" t="str">
        <x:v>网站对照修订</x:v>
      </x:c>
      <x:c r="X22" s="10" t="str">
        <x:v>区分固定目录切换和分类自身CRUD。</x:v>
      </x:c>
      <x:c r="Y22" s="187"/>
      <x:c r="Z22" s="187" t="str">
        <x:v>功能专项，无直接Review映射</x:v>
      </x:c>
    </x:row>
    <x:row r="23" ht="63" customHeight="1">
      <x:c r="A23" s="10" t="str">
        <x:v>SM18</x:v>
      </x:c>
      <x:c r="B23" s="10" t="str">
        <x:v>业务字典</x:v>
      </x:c>
      <x:c r="C23" s="10" t="str">
        <x:v>业务表单选项联动</x:v>
      </x:c>
      <x:c r="D23" s="85" t="str">
        <x:v>待选择</x:v>
      </x:c>
      <x:c r="E23" s="85" t="str">
        <x:v>是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V23&lt;&gt;"已确认","依据待确认",IF('本批提测'!$B$6&lt;&gt;"已就绪","批次未就绪",IF(OR(H23&lt;&gt;'本批提测'!$B$8,G23="",G23="未执行"),"未执行",IF(R23&lt;&gt;'本批提测'!$B$18,"基线已变，需复测",IF(LEN(TRIM(Q23))=0,"交付未映射",IF(AND(OR(G23="通过",G23="失败"),LEN(TRIM(M23))=0),"缺少证据",IF(AND(OR(G23="通过",G23="失败"),LEN(TRIM(O23))=0),"缺少执行人",IF(OR(G23="通过",G23="失败",G23="受阻",G23="依据待确认"),G23,"结果待填写")))))))))))</x:f>
        <x:v>未纳入本批</x:v>
      </x:c>
      <x:c r="J23" s="10" t="str">
        <x:v>前置：确认本批字典被哪些业务表单使用。
操作：维护测试选项后进入引用表单，选择并保存。</x:v>
      </x:c>
      <x:c r="K23" s="10" t="str">
        <x:v>下拉、搜索或勾选展示正确；保存的编码与显示名称对应。</x:v>
      </x:c>
      <x:c r="L23" s="10" t="str">
        <x:v>REQ §6.5；联动范围需本批确认</x:v>
      </x:c>
      <x:c r="M23" s="86"/>
      <x:c r="N23" s="86"/>
      <x:c r="O23" s="86"/>
      <x:c r="P23" s="10" t="str">
        <x:v>冒烟</x:v>
      </x:c>
      <x:c r="Q23" s="86"/>
      <x:c r="R23" s="86"/>
      <x:c r="S23" s="10" t="str">
        <x:v>需求正文</x:v>
      </x:c>
      <x:c r="T23" s="10" t="str">
        <x:v>字典是单选、多选、搜索单选的选项源；用维护→引用表单选择→保存的上下游链路验证落地。</x:v>
      </x:c>
      <x:c r="U23" s="10" t="str">
        <x:v>按本批真实引用表单挑选控件类型；核对显示名与编码、选中值、保存读回。未交付表单不假设联动通过。</x:v>
      </x:c>
      <x:c r="V23" s="10" t="str">
        <x:f>IF(D23="否","不适用",IF(D23&lt;&gt;"是","未纳入本批",IF(OR(LEN(TRIM('本批提测'!$B$10))=0,LEN(TRIM('本批提测'!$B$11))=0,'本批提测'!$B$12&lt;&gt;"已确认",F23&lt;&gt;"已确认"),"待确认","已确认")))</x:f>
        <x:v>未纳入本批</x:v>
      </x:c>
      <x:c r="W23" s="10" t="str">
        <x:v>保留／按批次选取</x:v>
      </x:c>
      <x:c r="X23" s="10" t="str">
        <x:v>设计复核后保留；按交付范围及批准现行基线执行。</x:v>
      </x:c>
      <x:c r="Y23" s="187"/>
      <x:c r="Z23" s="187" t="str">
        <x:v>功能专项，无直接Review映射</x:v>
      </x:c>
    </x:row>
    <x:row r="24" ht="169.5" customHeight="1">
      <x:c r="A24" s="10" t="str">
        <x:v>SM19</x:v>
      </x:c>
      <x:c r="B24" s="10" t="str">
        <x:v>地点与邮编</x:v>
      </x:c>
      <x:c r="C24" s="10" t="str">
        <x:v>地点校验与版本</x:v>
      </x:c>
      <x:c r="D24" s="85" t="str">
        <x:v>待选择</x:v>
      </x:c>
      <x:c r="E24" s="85" t="str">
        <x:v>是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V24&lt;&gt;"已确认","依据待确认",IF('本批提测'!$B$6&lt;&gt;"已就绪","批次未就绪",IF(OR(H24&lt;&gt;'本批提测'!$B$8,G24="",G24="未执行"),"未执行",IF(R24&lt;&gt;'本批提测'!$B$18,"基线已变，需复测",IF(LEN(TRIM(Q24))=0,"交付未映射",IF(AND(OR(G24="通过",G24="失败"),LEN(TRIM(M24))=0),"缺少证据",IF(AND(OR(G24="通过",G24="失败"),LEN(TRIM(O24))=0),"缺少执行人",IF(OR(G24="通过",G24="失败",G24="受阻",G24="依据待确认"),G24,"结果待填写")))))))))))</x:f>
        <x:v>未纳入本批</x:v>
      </x:c>
      <x:c r="J24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前置：专用地点、已有地点ID；其他字段合法。
操作：分别缺ID／类型／名称／国家ISO2；ISO2输入1、2、3位；提交重复ID；新增V1，编辑名称及邮编保存后读回。</x:v>
      </x:c>
      <x:c r="K24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4项必填；国家为两位ISO2；1／3位不合要求，合法两位国家编码可保存。地点ID唯一，重复保存不新增记录；新增V1，编辑保存版本递增，邮编随地点版本更新。大小写转换、无变化保存、邮编非法表达式处理未定义，不擅定规则。</x:v>
      </x:c>
      <x:c r="L24" s="10" t="str">
        <x:v>REQ §6.5 地点与邮编
网站只读对照 WEB02、WEB08、WEB10，2026-10-12；具体URL及未验证范围见「网站详情对照」。当前实现不替代批准需求。</x:v>
      </x:c>
      <x:c r="M24" s="86"/>
      <x:c r="N24" s="86"/>
      <x:c r="O24" s="86"/>
      <x:c r="P24" s="10" t="str">
        <x:v>专项回归</x:v>
      </x:c>
      <x:c r="Q24" s="86"/>
      <x:c r="R24" s="86"/>
      <x:c r="S24" s="10" t="str">
        <x:v>需求正文</x:v>
      </x:c>
      <x:c r="T24" s="10" t="str">
        <x:v>必填、ISO2长度和ID唯一分别用等价类／边界验证；新增与编辑通过版本前后对照验证。 本轮边界复核以J/K列新增分支执行，单一变量逐项对照合法／临界／非法；关联待决事项未确认不计通过。</x:v>
      </x:c>
      <x:c r="U24" s="10" t="str">
        <x:v>其他字段合法，每次仅缺一项；ISO2取1／2／3位结构样本，重复既有ID。读回新建V1与编辑递增版本；合法国家来源按基线。
增加网站证据：记录group/resource、对象名称、主/子列表作用域及字段回显；写入/权限/持久化另取本批执行证据。</x:v>
      </x:c>
      <x:c r="V24" s="10" t="str">
        <x:f>IF(D24="否","不适用",IF(D24&lt;&gt;"是","未纳入本批",IF(OR(LEN(TRIM('本批提测'!$B$10))=0,LEN(TRIM('本批提测'!$B$11))=0,'本批提测'!$B$12&lt;&gt;"已确认",F24&lt;&gt;"已确认",'本批提测'!$H$158&lt;&gt;"已确认"),"待确认","已确认")))</x:f>
        <x:v>未纳入本批</x:v>
      </x:c>
      <x:c r="W24" s="10" t="str">
        <x:v>网站对照修订</x:v>
      </x:c>
      <x:c r="X24" s="10" t="str">
        <x:v>保留原地点与匹配合同，增加独立对象映射及可执行前提。</x:v>
      </x:c>
      <x:c r="Y24" s="187"/>
      <x:c r="Z24" s="187" t="str">
        <x:v>功能专项，无直接Review映射</x:v>
      </x:c>
    </x:row>
    <x:row r="25" ht="142.5" customHeight="1">
      <x:c r="A25" s="10" t="str">
        <x:v>SM20</x:v>
      </x:c>
      <x:c r="B25" s="10" t="str">
        <x:v>地点与邮编</x:v>
      </x:c>
      <x:c r="C25" s="10" t="str">
        <x:v>邮编作为匹配属性</x:v>
      </x:c>
      <x:c r="D25" s="85" t="str">
        <x:v>待选择</x:v>
      </x:c>
      <x:c r="E25" s="85" t="str">
        <x:v>是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V25&lt;&gt;"已确认","依据待确认",IF('本批提测'!$B$6&lt;&gt;"已就绪","批次未就绪",IF(OR(H25&lt;&gt;'本批提测'!$B$8,G25="",G25="未执行"),"未执行",IF(R25&lt;&gt;'本批提测'!$B$18,"基线已变，需复测",IF(LEN(TRIM(Q25))=0,"交付未映射",IF(AND(OR(G25="通过",G25="失败"),LEN(TRIM(M25))=0),"缺少证据",IF(AND(OR(G25="通过",G25="失败"),LEN(TRIM(O25))=0),"缺少执行人",IF(OR(G25="通过",G25="失败",G25="受阻",G25="依据待确认"),G25,"结果待填写")))))))))))</x:f>
        <x:v>未纳入本批</x:v>
      </x:c>
      <x:c r="J25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前置：准备精确邮编、前缀和区间，如文档示例。
操作：新增或编辑地点，逐行填写邮编条件并保存读回。</x:v>
      </x:c>
      <x:c r="K25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支持约定的三类表达；邮编随地点维护和生成版本，不成为独立地点类型。</x:v>
      </x:c>
      <x:c r="L25" s="10" t="str">
        <x:v>REQ §6.5 地点与邮编
网站只读对照 WEB02、WEB08、WEB10，2026-10-12；具体URL及未验证范围见「网站详情对照」。当前实现不替代批准需求。</x:v>
      </x:c>
      <x:c r="M25" s="86"/>
      <x:c r="N25" s="86"/>
      <x:c r="O25" s="86"/>
      <x:c r="P25" s="10" t="str">
        <x:v>专项回归</x:v>
      </x:c>
      <x:c r="Q25" s="86"/>
      <x:c r="R25" s="86"/>
      <x:c r="S25" s="10" t="str">
        <x:v>需求正文</x:v>
      </x:c>
      <x:c r="T25" s="10" t="str">
        <x:v>精确、前缀、区间是三种表达类；先验证保存及读回，再在已交付匹配链路验证命中与不命中。</x:v>
      </x:c>
      <x:c r="U25" s="10" t="str">
        <x:v>用90045、518*、518000-518199；未定邮编匹配端点另按本批批准口径，不套计费区间DEC19。邮编与地点同版本，不作独立类型。
增加网站证据：记录group/resource、对象名称、主/子列表作用域及字段回显；写入/权限/持久化另取本批执行证据。</x:v>
      </x:c>
      <x:c r="V25" s="10" t="str">
        <x:f>IF(D25="否","不适用",IF(D25&lt;&gt;"是","未纳入本批",IF(OR(LEN(TRIM('本批提测'!$B$10))=0,LEN(TRIM('本批提测'!$B$11))=0,'本批提测'!$B$12&lt;&gt;"已确认",F25&lt;&gt;"已确认",'本批提测'!$H$158&lt;&gt;"已确认"),"待确认","已确认")))</x:f>
        <x:v>未纳入本批</x:v>
      </x:c>
      <x:c r="W25" s="10" t="str">
        <x:v>网站对照修订</x:v>
      </x:c>
      <x:c r="X25" s="10" t="str">
        <x:v>保留原地点与匹配合同，增加独立对象映射及可执行前提。</x:v>
      </x:c>
      <x:c r="Y25" s="187"/>
      <x:c r="Z25" s="187" t="str">
        <x:v>功能专项，无直接Review映射</x:v>
      </x:c>
    </x:row>
    <x:row r="26" ht="157.5" customHeight="1">
      <x:c r="A26" s="10" t="str">
        <x:v>SM21</x:v>
      </x:c>
      <x:c r="B26" s="10" t="str">
        <x:v>服务单元</x:v>
      </x:c>
      <x:c r="C26" s="10" t="str">
        <x:v>创建与成本价卡</x:v>
      </x:c>
      <x:c r="D26" s="85" t="str">
        <x:v>待选择</x:v>
      </x:c>
      <x:c r="E26" s="85" t="str">
        <x:v>是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V26&lt;&gt;"已确认","依据待确认",IF('本批提测'!$B$6&lt;&gt;"已就绪","批次未就绪",IF(OR(H26&lt;&gt;'本批提测'!$B$8,G26="",G26="未执行"),"未执行",IF(R26&lt;&gt;'本批提测'!$B$18,"基线已变，需复测",IF(LEN(TRIM(Q26))=0,"交付未映射",IF(AND(OR(G26="通过",G26="失败"),LEN(TRIM(M26))=0),"缺少证据",IF(AND(OR(G26="通过",G26="失败"),LEN(TRIM(O26))=0),"缺少执行人",IF(OR(G26="通过",G26="失败",G26="受阻",G26="依据待确认"),G26,"结果待填写")))))))))))</x:f>
        <x:v>未纳入本批</x:v>
      </x:c>
      <x:c r="J26" s="10" t="str">
        <x:v>前置：本批交付保存入口；使用启用服务商及两组专用合法单元，自动卡初始明细及同步边界DEC13已确认。
操作：两按钮均交付时分别执行保存待生效、保存并启用；重新查询单元、自动成本卡和绑定关系。仅交付单入口时纳入对应分支，其余记录交付缺口。</x:v>
      </x:c>
      <x:c r="K26" s="10" t="str">
        <x:v>保存待生效：单元为待生效，同步生成／更新对应待生效成本卡。
保存并启用：单元为启用，同步生成／更新对应成本卡，卡按批准的启用与生效期规则判断，不一概预设生效中。
单元、卡可读回且关联正确；初始明细及生效版同步仍按DEC13。</x:v>
      </x:c>
      <x:c r="L26" s="10" t="str">
        <x:v>REQ §6.2</x:v>
      </x:c>
      <x:c r="M26" s="86"/>
      <x:c r="N26" s="86"/>
      <x:c r="O26" s="86"/>
      <x:c r="P26" s="10" t="str">
        <x:v>冒烟</x:v>
      </x:c>
      <x:c r="Q26" s="86"/>
      <x:c r="R26" s="86"/>
      <x:c r="S26" s="10" t="str">
        <x:v>需求正文</x:v>
      </x:c>
      <x:c r="T26" s="10" t="str">
        <x:v>创建单元与自动生成成本卡要同时读回；把保存待生效与保存并启用拆成分支，区分明确状态和未定初始明细。</x:v>
      </x:c>
      <x:c r="U26" s="10" t="str">
        <x:v>两按钮均交付时用两组单元：保存待生效明确单元／价卡均待生效；保存并启用明确单元启用，价卡按启用及生效期判断。初始明细／同步细节DEC13。</x:v>
      </x:c>
      <x:c r="V26" s="10" t="str">
        <x:f>IF(D26="否","不适用",IF(D26&lt;&gt;"是","未纳入本批",IF(OR(LEN(TRIM('本批提测'!$B$10))=0,LEN(TRIM('本批提测'!$B$11))=0,'本批提测'!$B$12&lt;&gt;"已确认",F26&lt;&gt;"已确认",'本批提测'!$H$52&lt;&gt;"已确认",AND('本批提测'!$H$40&lt;&gt;"已确认",'本批提测'!$H$40&lt;&gt;"已记录后置")),"待确认","已确认")))</x:f>
        <x:v>未纳入本批</x:v>
      </x:c>
      <x:c r="W26" s="10" t="str">
        <x:v>保留／按批次选取</x:v>
      </x:c>
      <x:c r="X26" s="10" t="str">
        <x:v>设计复核后保留；关联DEC13、DEC01确认后方可执行判定。</x:v>
      </x:c>
      <x:c r="Y26" s="187" t="str">
        <x:v>UI08、UI35、UI36</x:v>
      </x:c>
      <x:c r="Z26" s="187" t="str">
        <x:v>绿色：直接复用；蓝色：组合复用</x:v>
      </x:c>
    </x:row>
    <x:row r="27" ht="63" customHeight="1">
      <x:c r="A27" s="10" t="str">
        <x:v>SM22</x:v>
      </x:c>
      <x:c r="B27" s="10" t="str">
        <x:v>服务单元</x:v>
      </x:c>
      <x:c r="C27" s="10" t="str">
        <x:v>禁用编排与历史链路</x:v>
      </x:c>
      <x:c r="D27" s="85" t="str">
        <x:v>待选择</x:v>
      </x:c>
      <x:c r="E27" s="85" t="str">
        <x:v>是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V27&lt;&gt;"已确认","依据待确认",IF('本批提测'!$B$6&lt;&gt;"已就绪","批次未就绪",IF(OR(H27&lt;&gt;'本批提测'!$B$8,G27="",G27="未执行"),"未执行",IF(R27&lt;&gt;'本批提测'!$B$18,"基线已变，需复测",IF(LEN(TRIM(Q27))=0,"交付未映射",IF(AND(OR(G27="通过",G27="失败"),LEN(TRIM(M27))=0),"缺少证据",IF(AND(OR(G27="通过",G27="失败"),LEN(TRIM(O27))=0),"缺少执行人",IF(OR(G27="通过",G27="失败",G27="受阻",G27="依据待确认"),G27,"结果待填写")))))))))))</x:f>
        <x:v>未纳入本批</x:v>
      </x:c>
      <x:c r="J27" s="10" t="str">
        <x:v>前置：准备测试服务单元及已引用的测试产品。
操作：禁用编排，检查新产品选用列表及已有产品历史链路。</x:v>
      </x:c>
      <x:c r="K27" s="10" t="str">
        <x:v>停用后不可用于新编排；历史链路保留；列表不提供删除操作。</x:v>
      </x:c>
      <x:c r="L27" s="10" t="str">
        <x:v>REQ §6.2</x:v>
      </x:c>
      <x:c r="M27" s="86"/>
      <x:c r="N27" s="86"/>
      <x:c r="O27" s="86"/>
      <x:c r="P27" s="10" t="str">
        <x:v>冒烟</x:v>
      </x:c>
      <x:c r="Q27" s="86"/>
      <x:c r="R27" s="86"/>
      <x:c r="S27" s="10" t="str">
        <x:v>需求正文</x:v>
      </x:c>
      <x:c r="T27" s="10" t="str">
        <x:v>停用影响新编排，但历史关系保留；用新业务候选与已引用链路成对验证状态迁移。</x:v>
      </x:c>
      <x:c r="U27" s="10" t="str">
        <x:v>记录引用关系后停用，核对新选择器排除及历史链路仍在；检查无删除入口。历史保留不代表停用后还能参与新执行。</x:v>
      </x:c>
      <x:c r="V27" s="10" t="str">
        <x:f>IF(D27="否","不适用",IF(D27&lt;&gt;"是","未纳入本批",IF(OR(LEN(TRIM('本批提测'!$B$10))=0,LEN(TRIM('本批提测'!$B$11))=0,'本批提测'!$B$12&lt;&gt;"已确认",F27&lt;&gt;"已确认"),"待确认","已确认")))</x:f>
        <x:v>未纳入本批</x:v>
      </x:c>
      <x:c r="W27" s="10" t="str">
        <x:v>保留／按批次选取</x:v>
      </x:c>
      <x:c r="X27" s="10" t="str">
        <x:v>设计复核后保留；按交付范围及批准现行基线执行。</x:v>
      </x:c>
      <x:c r="Y27" s="187" t="str">
        <x:v>UI04</x:v>
      </x:c>
      <x:c r="Z27" s="190" t="str">
        <x:v>黄色：调整后复用</x:v>
      </x:c>
    </x:row>
    <x:row r="28" ht="75" customHeight="1">
      <x:c r="A28" s="10" t="str">
        <x:v>SM23</x:v>
      </x:c>
      <x:c r="B28" s="10" t="str">
        <x:v>成本价卡</x:v>
      </x:c>
      <x:c r="C28" s="10" t="str">
        <x:v>成本价卡保存、启用与到期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V28&lt;&gt;"已确认","依据待确认",IF('本批提测'!$B$6&lt;&gt;"已就绪","批次未就绪",IF(OR(H28&lt;&gt;'本批提测'!$B$8,G28="",G28="未执行"),"未执行",IF(R28&lt;&gt;'本批提测'!$B$18,"基线已变，需复测",IF(LEN(TRIM(Q28))=0,"交付未映射",IF(AND(OR(G28="通过",G28="失败"),LEN(TRIM(M28))=0),"缺少证据",IF(AND(OR(G28="通过",G28="失败"),LEN(TRIM(O28))=0),"缺少执行人",IF(OR(G28="通过",G28="失败",G28="受阻",G28="依据待确认"),G28,"结果待填写")))))))))))</x:f>
        <x:v>未纳入本批</x:v>
      </x:c>
      <x:c r="J28" s="10" t="str">
        <x:v>前置：绑定启用服务单元；设未来开始时间和晚于开始的结束时间，准备不改系统时钟的可控报价时点。
操作：保存静态价卡，启用；按开始前、有效期内、结束后分别查询或试算。</x:v>
      </x:c>
      <x:c r="K28" s="10" t="str">
        <x:v>创建为待生效；启用且在生效期内为生效中；手动停用或到期为停用。待生效不参与新成本计算，历史快照不变。端点含闭口径按 DEC19。</x:v>
      </x:c>
      <x:c r="L28" s="10" t="str">
        <x:v>REQ §6.3 成本价卡列表／版本规则；本期无审批态</x:v>
      </x:c>
      <x:c r="M28" s="86"/>
      <x:c r="N28" s="86"/>
      <x:c r="O28" s="86"/>
      <x:c r="P28" s="10" t="str">
        <x:v>冒烟</x:v>
      </x:c>
      <x:c r="Q28" s="86"/>
      <x:c r="R28" s="86"/>
      <x:c r="S28" s="10" t="str">
        <x:v>正文＋待决策</x:v>
      </x:c>
      <x:c r="T28" s="10" t="str">
        <x:v>把启用动作与有效时间组合成状态表，覆盖开始前、期内、结束后及手动停用，区别待生效和生效中。</x:v>
      </x:c>
      <x:c r="U28" s="10" t="str">
        <x:v>选可控报价时点且不改系统时钟；记录状态及实际命中卡。开始／结束恰好相等的判定先经DEC19，不自定开闭区间。</x:v>
      </x:c>
      <x:c r="V28" s="10" t="str">
        <x:f>IF(D28="否","不适用",IF(D28&lt;&gt;"是","未纳入本批",IF(OR(LEN(TRIM('本批提测'!$B$10))=0,LEN(TRIM('本批提测'!$B$11))=0,'本批提测'!$B$12&lt;&gt;"已确认",F28&lt;&gt;"已确认",'本批提测'!$H$58&lt;&gt;"已确认",AND('本批提测'!$H$40&lt;&gt;"已确认",'本批提测'!$H$40&lt;&gt;"已记录后置")),"待确认","已确认")))</x:f>
        <x:v>未纳入本批</x:v>
      </x:c>
      <x:c r="W28" s="10" t="str">
        <x:v>保留／按批次选取</x:v>
      </x:c>
      <x:c r="X28" s="10" t="str">
        <x:v>设计复核后保留；关联DEC19、DEC01确认后方可执行判定。</x:v>
      </x:c>
      <x:c r="Y28" s="187"/>
      <x:c r="Z28" s="187" t="str">
        <x:v>功能专项，无直接Review映射</x:v>
      </x:c>
    </x:row>
    <x:row r="29" ht="157.5" customHeight="1">
      <x:c r="A29" s="10" t="str">
        <x:v>SM24</x:v>
      </x:c>
      <x:c r="B29" s="10" t="str">
        <x:v>产品编排</x:v>
      </x:c>
      <x:c r="C29" s="10" t="str">
        <x:v>编排保存与提交发布</x:v>
      </x:c>
      <x:c r="D29" s="85" t="str">
        <x:v>待选择</x:v>
      </x:c>
      <x:c r="E29" s="85" t="str">
        <x:v>是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V29&lt;&gt;"已确认","依据待确认",IF('本批提测'!$B$6&lt;&gt;"已就绪","批次未就绪",IF(OR(H29&lt;&gt;'本批提测'!$B$8,G29="",G29="未执行"),"未执行",IF(R29&lt;&gt;'本批提测'!$B$18,"基线已变，需复测",IF(LEN(TRIM(Q29))=0,"交付未映射",IF(AND(OR(G29="通过",G29="失败"),LEN(TRIM(M29))=0),"缺少证据",IF(AND(OR(G29="通过",G29="失败"),LEN(TRIM(O29))=0),"缺少执行人",IF(OR(G29="通过",G29="失败",G29="受阻",G29="依据待确认"),G29,"结果待填写")))))))))))</x:f>
        <x:v>未纳入本批</x:v>
      </x:c>
      <x:c r="J29" s="10" t="str">
        <x:v>前置：有效服务单元／组合和成本卡、唯一产品编码；DEC11已批准本批保存态名称。
操作：选择本批范围节点并填必填项；缺一项保存后补齐；保存后先继续编排，核对原画布，再前往产品库读回；从编辑页提交并重查列表。</x:v>
      </x:c>
      <x:c r="K29" s="10" t="str">
        <x:v>缺必填不落库并定位；保存态按DEC11批准，不把草稿与待生效当成两个状态。继续编排关闭成功弹窗且保留画布；前往产品库定位当前产品。提交即已发布，不经审批／工单；保存成功本身不等于发布或价卡立即生效。</x:v>
      </x:c>
      <x:c r="L29" s="10" t="str">
        <x:v>REQ §6.4 阶段1—3／底部按钮；列表已将待生效划线改为草稿，按钮说明尚未同步</x:v>
      </x:c>
      <x:c r="M29" s="86"/>
      <x:c r="N29" s="86"/>
      <x:c r="O29" s="86"/>
      <x:c r="P29" s="10" t="str">
        <x:v>冒烟</x:v>
      </x:c>
      <x:c r="Q29" s="86"/>
      <x:c r="R29" s="86"/>
      <x:c r="S29" s="10" t="str">
        <x:v>正文＋待决策</x:v>
      </x:c>
      <x:c r="T29" s="10" t="str">
        <x:v>编排→保存→继续→提交→产品库读回构成最短发布链；保存与提交分别核对状态和持久化。 本轮边界复核以J/K列新增分支执行，单一变量逐项对照合法／临界／非法；关联待决事项未确认不计通过。</x:v>
      </x:c>
      <x:c r="U29" s="10" t="str">
        <x:v>选已交付且依赖可用的范围资源，填写合法唯一编码；核对节点及发布结果。本期无审批；草稿／待生效冲突由DEC11统一。</x:v>
      </x:c>
      <x:c r="V29" s="10" t="str">
        <x:f>IF(D29="否","不适用",IF(D29&lt;&gt;"是","未纳入本批",IF(OR(LEN(TRIM('本批提测'!$B$10))=0,LEN(TRIM('本批提测'!$B$11))=0,'本批提测'!$B$12&lt;&gt;"已确认",F29&lt;&gt;"已确认",'本批提测'!$H$50&lt;&gt;"已确认",AND('本批提测'!$H$40&lt;&gt;"已确认",'本批提测'!$H$40&lt;&gt;"已记录后置")),"待确认","已确认")))</x:f>
        <x:v>未纳入本批</x:v>
      </x:c>
      <x:c r="W29" s="10" t="str">
        <x:v>保留／按批次选取</x:v>
      </x:c>
      <x:c r="X29" s="10" t="str">
        <x:v>设计复核后保留；关联DEC11、DEC01确认后方可执行判定。</x:v>
      </x:c>
      <x:c r="Y29" s="187"/>
      <x:c r="Z29" s="187" t="str">
        <x:v>功能专项，无直接Review映射</x:v>
      </x:c>
    </x:row>
    <x:row r="30" ht="157.5" customHeight="1">
      <x:c r="A30" s="10" t="str">
        <x:v>SM25</x:v>
      </x:c>
      <x:c r="B30" s="10" t="str">
        <x:v>计算模拟</x:v>
      </x:c>
      <x:c r="C30" s="10" t="str">
        <x:v>单票成本试算最短闭环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V30&lt;&gt;"已确认","依据待确认",IF('本批提测'!$B$6&lt;&gt;"已就绪","批次未就绪",IF(OR(H30&lt;&gt;'本批提测'!$B$8,G30="",G30="未执行"),"未执行",IF(R30&lt;&gt;'本批提测'!$B$18,"基线已变，需复测",IF(LEN(TRIM(Q30))=0,"交付未映射",IF(AND(OR(G30="通过",G30="失败"),LEN(TRIM(M30))=0),"缺少证据",IF(AND(OR(G30="通过",G30="失败"),LEN(TRIM(O30))=0),"缺少执行人",IF(OR(G30="通过",G30="失败",G30="受阻",G30="依据待确认"),G30,"结果待填写")))))))))))</x:f>
        <x:v>未纳入本批</x:v>
      </x:c>
      <x:c r="J30" s="10" t="str">
        <x:v>前置：已发布未停用产品；批准的CNY固定费用样例：运费100、另计附加费20，对应燃油比例10%／5%；全部卡和规则在报价时点有效，无其他命中费用，源价与产品业务价一致。产品改价取值仍须DEC19。
操作：填写该产品实际覆盖范围必填及报价日期，执行计算；逐行比对原币／结算金额、两类燃油、总额和实际版本；保存完整核算账本与结果。</x:v>
      </x:c>
      <x:c r="K30" s="10" t="str">
        <x:v>批准样例运费100＋附加费20＋运费燃油10＋附加费燃油1＝公司成本131 CNY；费用明细及总额可独立核算，不只检查成功提示。结果追溯实际单元、价卡和规则版本。仅输出公司成本，不展示销售价、市场价、成交价或毛利；产品业务改价与源价不同的分支经DEC19批准后另验。</x:v>
      </x:c>
      <x:c r="L30" s="10" t="str">
        <x:v>REQ §6.4 计算模拟：页面定位／计算逻辑／结果；金额核算基准由本批确认</x:v>
      </x:c>
      <x:c r="M30" s="86"/>
      <x:c r="N30" s="86"/>
      <x:c r="O30" s="86"/>
      <x:c r="P30" s="10" t="str">
        <x:v>冒烟</x:v>
      </x:c>
      <x:c r="Q30" s="86"/>
      <x:c r="R30" s="86"/>
      <x:c r="S30" s="10" t="str">
        <x:v>正文＋待决策</x:v>
      </x:c>
      <x:c r="T30" s="10" t="str">
        <x:v>以一个已批准完整账本跑最短闭环；100运费、20附加费及两类燃油共同核算，独立验证总额与版本，业务改价口径另作专项。</x:v>
      </x:c>
      <x:c r="U30" s="10" t="str">
        <x:v>纯CNY固定费用100＋20，燃油100×10%＋20×5%=11，总额131；全部数据时点有效且无其他命中费用。保留逐费用、燃油及总额账本，不以提示成功代替对账。</x:v>
      </x:c>
      <x:c r="V30" s="10" t="str">
        <x:f>IF(D30="否","不适用",IF(D30&lt;&gt;"是","未纳入本批",IF(OR(LEN(TRIM('本批提测'!$B$10))=0,LEN(TRIM('本批提测'!$B$11))=0,'本批提测'!$B$12&lt;&gt;"已确认",F30&lt;&gt;"已确认",'本批提测'!$H$58&lt;&gt;"已确认",AND('本批提测'!$H$40&lt;&gt;"已确认",'本批提测'!$H$40&lt;&gt;"已记录后置")),"待确认","已确认")))</x:f>
        <x:v>未纳入本批</x:v>
      </x:c>
      <x:c r="W30" s="10" t="str">
        <x:v>保留／按批次选取</x:v>
      </x:c>
      <x:c r="X30" s="10" t="str">
        <x:v>设计复核后保留；关联DEC19、DEC01确认后方可执行判定。</x:v>
      </x:c>
      <x:c r="Y30" s="187"/>
      <x:c r="Z30" s="187" t="str">
        <x:v>功能专项，无直接Review映射</x:v>
      </x:c>
    </x:row>
    <x:row r="31" ht="157.5" customHeight="1">
      <x:c r="A31" s="10" t="str">
        <x:v>SM26</x:v>
      </x:c>
      <x:c r="B31" s="10" t="str">
        <x:v>计费历史</x:v>
      </x:c>
      <x:c r="C31" s="10" t="str">
        <x:v>重新计费不覆盖历史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V31&lt;&gt;"已确认","依据待确认",IF('本批提测'!$B$6&lt;&gt;"已就绪","批次未就绪",IF(OR(H31&lt;&gt;'本批提测'!$B$8,G31="",G31="未执行"),"未执行",IF(R31&lt;&gt;'本批提测'!$B$18,"基线已变，需复测",IF(LEN(TRIM(Q31))=0,"交付未映射",IF(AND(OR(G31="通过",G31="失败"),LEN(TRIM(M31))=0),"缺少证据",IF(AND(OR(G31="通过",G31="失败"),LEN(TRIM(O31))=0),"缺少执行人",IF(OR(G31="通过",G31="失败",G31="受阻",G31="依据待确认"),G31,"结果待填写")))))))))))</x:f>
        <x:v>未纳入本批</x:v>
      </x:c>
      <x:c r="J31" s="10" t="str">
        <x:v>前置：仅本批明确交付计费历史且OMS接入／测试回传可用时纳入；准备原成本快照及当前有效规则，分期见DEC21。
操作：保持原订单重量、尺寸、件数、目的国家、邮编、货型和货值，重新计费；逐项改价卡／单价／燃油／分区／规则对比；再测试产品停用、卡失效或缺必要规则。
补查：当前产品停用、价卡失效、必要规则缺失分别重新计费；与一次成功重算比较，逐项留证。</x:v>
      </x:c>
      <x:c r="K31" s="10" t="str">
        <x:v>读取当前有效版本，只生成成本差异及原因；原快照、结算状态和OMS历史成本不变。无效产品、价卡或必要规则时停止并说明原因；不得把试算记录当OMS订单历史。
三类不可计算条件停止重算并显示具体原因，不以旧结果冒充本次结果；原参数、原快照、OMS历史成本及结算状态均不变。差异说明可追溯价卡版本／单价／燃油比例／分区／规则变化。</x:v>
      </x:c>
      <x:c r="L31" s="10" t="str">
        <x:v>REQ §6.4 计费历史：重新计费与差异说明；§6.1 P0与§6.4可放P1冲突，见DEC21</x:v>
      </x:c>
      <x:c r="M31" s="86"/>
      <x:c r="N31" s="86"/>
      <x:c r="O31" s="86"/>
      <x:c r="P31" s="10" t="str">
        <x:v>冒烟</x:v>
      </x:c>
      <x:c r="Q31" s="86"/>
      <x:c r="R31" s="86"/>
      <x:c r="S31" s="10" t="str">
        <x:v>正文＋待决策</x:v>
      </x:c>
      <x:c r="T31" s="10" t="str">
        <x:v>原订单参数不变、现行规则可变、原历史不可写回；通过控制变量逐项变规则，验证差异及历史保护。 本轮边界复核以J/K列新增分支执行，单一变量逐项对照合法／临界／非法；关联待决事项未确认不计通过。</x:v>
      </x:c>
      <x:c r="U31" s="10" t="str">
        <x:v>仅本批确认历史且OMS回传可用；固定原请求，一次变卡／单价／燃油／分区／规则，前后核对快照与结算状态。分期DEC21。</x:v>
      </x:c>
      <x:c r="V31" s="10" t="str">
        <x:f>IF(D31="否","不适用",IF(D31&lt;&gt;"是","未纳入本批",IF(OR(LEN(TRIM('本批提测'!$B$10))=0,LEN(TRIM('本批提测'!$B$11))=0,'本批提测'!$B$12&lt;&gt;"已确认",F31&lt;&gt;"已确认",'本批提测'!$H$60&lt;&gt;"已确认",AND('本批提测'!$H$40&lt;&gt;"已确认",'本批提测'!$H$40&lt;&gt;"已记录后置")),"待确认","已确认")))</x:f>
        <x:v>未纳入本批</x:v>
      </x:c>
      <x:c r="W31" s="10" t="str">
        <x:v>保留／按批次选取</x:v>
      </x:c>
      <x:c r="X31" s="10" t="str">
        <x:v>设计复核后保留；关联DEC21、DEC01确认后方可执行判定。</x:v>
      </x:c>
      <x:c r="Y31" s="187"/>
      <x:c r="Z31" s="187" t="str">
        <x:v>功能专项，无直接Review映射</x:v>
      </x:c>
    </x:row>
    <x:row r="32" ht="75" customHeight="1">
      <x:c r="A32" s="10" t="str">
        <x:v>SM27</x:v>
      </x:c>
      <x:c r="B32" s="10" t="str">
        <x:v>AI 建档</x:v>
      </x:c>
      <x:c r="C32" s="10" t="str">
        <x:v>解析、校验与保存</x:v>
      </x:c>
      <x:c r="D32" s="85" t="str">
        <x:v>待选择</x:v>
      </x:c>
      <x:c r="E32" s="85" t="str">
        <x:v>是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V32&lt;&gt;"已确认","依据待确认",IF('本批提测'!$B$6&lt;&gt;"已就绪","批次未就绪",IF(OR(H32&lt;&gt;'本批提测'!$B$8,G32="",G32="未执行"),"未执行",IF(R32&lt;&gt;'本批提测'!$B$18,"基线已变，需复测",IF(LEN(TRIM(Q32))=0,"交付未映射",IF(AND(OR(G32="通过",G32="失败"),LEN(TRIM(M32))=0),"缺少证据",IF(AND(OR(G32="通过",G32="失败"),LEN(TRIM(O32))=0),"缺少执行人",IF(OR(G32="通过",G32="失败",G32="受阻",G32="依据待确认"),G32,"结果待填写")))))))))))</x:f>
        <x:v>未纳入本批</x:v>
      </x:c>
      <x:c r="J32" s="10" t="str">
        <x:v>前置：使用经授权的测试材料，确认本批解析字段和流程。
操作：上传并解析，核对原文与字段，再确认并保存读回。</x:v>
      </x:c>
      <x:c r="K32" s="10" t="str">
        <x:v>用户能核对结果；失败有反馈；保存后数据正确，不能只凭解析成功提示判通过。</x:v>
      </x:c>
      <x:c r="L32" s="10" t="str">
        <x:v>REQ §6.1 仅列 AI 建档需求点；REVIEW 第16项为待确认承载建议；字段、文件限制和失败处理见 DEC17，不能套用规范示例10MB</x:v>
      </x:c>
      <x:c r="M32" s="86"/>
      <x:c r="N32" s="86"/>
      <x:c r="O32" s="86"/>
      <x:c r="P32" s="10" t="str">
        <x:v>冒烟</x:v>
      </x:c>
      <x:c r="Q32" s="86"/>
      <x:c r="R32" s="86"/>
      <x:c r="S32" s="10" t="str">
        <x:v>正文＋待决策</x:v>
      </x:c>
      <x:c r="T32" s="10" t="str">
        <x:v>AI解析正确性和确认后保存分别验证；原文逐字段比对，再读回，避免把模型输出或解析提示当最终成功。</x:v>
      </x:c>
      <x:c r="U32" s="10" t="str">
        <x:v>使用经授权的测试材料，覆盖本批字段及批准的失败路径；记录原文定位、解析值、用户确认值、保存值。格式／限制／策略待DEC17。</x:v>
      </x:c>
      <x:c r="V32" s="10" t="str">
        <x:f>IF(D32="否","不适用",IF(D32&lt;&gt;"是","未纳入本批",IF(OR(LEN(TRIM('本批提测'!$B$10))=0,LEN(TRIM('本批提测'!$B$11))=0,'本批提测'!$B$12&lt;&gt;"已确认",F32&lt;&gt;"已确认",'本批提测'!$H$44&lt;&gt;"已确认",'本批提测'!$H$56&lt;&gt;"已确认",AND('本批提测'!$H$40&lt;&gt;"已确认",'本批提测'!$H$40&lt;&gt;"已记录后置")),"待确认","已确认")))</x:f>
        <x:v>未纳入本批</x:v>
      </x:c>
      <x:c r="W32" s="10" t="str">
        <x:v>保留／按批次选取</x:v>
      </x:c>
      <x:c r="X32" s="10" t="str">
        <x:v>设计复核后保留；关联DEC05、DEC17、DEC01确认后方可执行判定。</x:v>
      </x:c>
      <x:c r="Y32" s="187" t="str">
        <x:v>UI16、UI36</x:v>
      </x:c>
      <x:c r="Z32" s="189" t="str">
        <x:v>绿色：直接复用</x:v>
      </x:c>
    </x:row>
    <x:row r="33" ht="88.5" customHeight="1">
      <x:c r="A33" s="10" t="str">
        <x:v>SM28</x:v>
      </x:c>
      <x:c r="B33" s="10" t="str">
        <x:v>批量操作</x:v>
      </x:c>
      <x:c r="C33" s="10" t="str">
        <x:v>选择范围与执行对象</x:v>
      </x:c>
      <x:c r="D33" s="85" t="str">
        <x:v>待选择</x:v>
      </x:c>
      <x:c r="E33" s="85" t="str">
        <x:v>是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V33&lt;&gt;"已确认","依据待确认",IF('本批提测'!$B$6&lt;&gt;"已就绪","批次未就绪",IF(OR(H33&lt;&gt;'本批提测'!$B$8,G33="",G33="未执行"),"未执行",IF(R33&lt;&gt;'本批提测'!$B$18,"基线已变，需复测",IF(LEN(TRIM(Q33))=0,"交付未映射",IF(AND(OR(G33="通过",G33="失败"),LEN(TRIM(M33))=0),"缺少证据",IF(AND(OR(G33="通过",G33="失败"),LEN(TRIM(O33))=0),"缺少执行人",IF(OR(G33="通过",G33="失败",G33="受阻",G33="依据待确认"),G33,"结果待填写")))))))))))</x:f>
        <x:v>未纳入本批</x:v>
      </x:c>
      <x:c r="J33" s="10" t="str">
        <x:v>前置：按实际模块准备测试记录；服务组合表头全选当前页，翻页／改筛选清空不可见勾选；产品批量须同状态；服务单元下单规则明确支持跨页。
操作：分别在交付模块勾选、翻页、改筛选和执行已交付的批量操作，核对对象与返回结果。</x:v>
      </x:c>
      <x:c r="K33" s="10" t="str">
        <x:v>按模块规则验收，不能统一套成“全站跨页保留”或“全站清空”；未定义模块在 DEC08 确认。</x:v>
      </x:c>
      <x:c r="L33" s="10" t="str">
        <x:v>REQ §6.2 服务单元表单／服务组合批量；§6.4 产品库；REVIEW 第13项只约束批量栏位置</x:v>
      </x:c>
      <x:c r="M33" s="86"/>
      <x:c r="N33" s="86"/>
      <x:c r="O33" s="86"/>
      <x:c r="P33" s="10" t="str">
        <x:v>专项回归</x:v>
      </x:c>
      <x:c r="Q33" s="86"/>
      <x:c r="R33" s="86"/>
      <x:c r="S33" s="10" t="str">
        <x:v>测试建议／条件需求</x:v>
      </x:c>
      <x:c r="T33" s="10" t="str">
        <x:v>批量操作按模块做选择范围决策表，不能用统一跨页逻辑；改变分页／筛选观察实际执行对象。</x:v>
      </x:c>
      <x:c r="U33" s="10" t="str">
        <x:v>组合当前页，翻页／筛选清不可见；产品同状态；单元规则跨页保留。各用可识别ID核对选中、执行及跳过对象；未定义项DEC08。</x:v>
      </x:c>
      <x:c r="V33" s="10" t="str">
        <x:f>IF(D33="否","不适用",IF(D33&lt;&gt;"是","未纳入本批",IF(OR(LEN(TRIM('本批提测'!$B$10))=0,LEN(TRIM('本批提测'!$B$11))=0,'本批提测'!$B$12&lt;&gt;"已确认",F33&lt;&gt;"已确认",'本批提测'!$H$47&lt;&gt;"已确认",AND('本批提测'!$H$40&lt;&gt;"已确认",'本批提测'!$H$40&lt;&gt;"已记录后置")),"待确认","已确认")))</x:f>
        <x:v>未纳入本批</x:v>
      </x:c>
      <x:c r="W33" s="10" t="str">
        <x:v>保留／按批次选取</x:v>
      </x:c>
      <x:c r="X33" s="10" t="str">
        <x:v>设计复核后保留；关联DEC08、DEC01确认后方可执行判定。</x:v>
      </x:c>
      <x:c r="Y33" s="187" t="str">
        <x:v>UI03、UI12、UI13、UI14</x:v>
      </x:c>
      <x:c r="Z33" s="187" t="str">
        <x:v>蓝色：组合复用；绿色：直接复用</x:v>
      </x:c>
    </x:row>
    <x:row r="34" ht="203.25" customHeight="1">
      <x:c r="A34" s="10" t="str">
        <x:v>SM29</x:v>
      </x:c>
      <x:c r="B34" s="10" t="str">
        <x:v>服务单元</x:v>
      </x:c>
      <x:c r="C34" s="10" t="str">
        <x:v>必填、只读编码与抛比换算</x:v>
      </x:c>
      <x:c r="D34" s="85" t="str">
        <x:v>待选择</x:v>
      </x:c>
      <x:c r="E34" s="85" t="str">
        <x:v>是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V34&lt;&gt;"已确认","依据待确认",IF('本批提测'!$B$6&lt;&gt;"已就绪","批次未就绪",IF(OR(H34&lt;&gt;'本批提测'!$B$8,G34="",G34="未执行"),"未执行",IF(R34&lt;&gt;'本批提测'!$B$18,"基线已变，需复测",IF(LEN(TRIM(Q34))=0,"交付未映射",IF(AND(OR(G34="通过",G34="失败"),LEN(TRIM(M34))=0),"缺少证据",IF(AND(OR(G34="通过",G34="失败"),LEN(TRIM(O34))=0),"缺少执行人",IF(OR(G34="通过",G34="失败",G34="受阻",G34="依据待确认"),G34,"结果待填写")))))))))))</x:f>
        <x:v>未纳入本批</x:v>
      </x:c>
      <x:c r="J34" s="10" t="str">
        <x:v>前置：启用服务商、合法三段名称、抛比6000；多范围前缀、零负边界和换算显示精度DEC15已确认。
操作：缺必填保存后完整保存；尝试改编码；抛比输入6000及小数；操作内容分别空、2000、2001字符；编辑未改名历史单元并读回。
名称另测合法三段中英文／数字／两种连接符、仅两段、含不支持符号；抛比另测空、非数、整数、小数。
供应商候选准备启用及停用记录，核对名称／编码搜索；单范围同前缀依次新建两个单元核对编码。</x:v>
      </x:c>
      <x:c r="K34" s="10" t="str">
        <x:v>名称、覆盖范围、服务商、抛比必填；名称符合DEC15批准格式，未改历史名称豁免。
编码系统生成且不可改；抛比为整数，KG/CBM自动按1,000,000÷抛比换算，显示精度按DEC15。
操作内容非必填，空及2000字符可保存，2001字符不能保存为超限内容；其他字段均合法，拦截／截断提示及字符计数方式按本批基线。零负抛比不自行定业务规则。
名称三段格式及允许字符按§6.2正文与§七第13项冲突的批准口径；历史名未改豁免，允许改名后按新规则校验。§七第15项名称可修改范围未决，须DEC15批准后执行改名分支；抛比空／非数／小数不符合必填整数规则。空格归一、连接符连续写法须批准，不能自行推导正则。
新选供应商仅启用；单范围编码为范围字母+8位自然增长数字且稳定唯一，不要求号码无断档；多范围前缀仍按DEC15。</x:v>
      </x:c>
      <x:c r="L34" s="10" t="str">
        <x:v>REQ §6.2 新增服务单元／保存校验；零值、取整和多范围前缀未定义</x:v>
      </x:c>
      <x:c r="M34" s="86"/>
      <x:c r="N34" s="86"/>
      <x:c r="O34" s="86"/>
      <x:c r="P34" s="10" t="str">
        <x:v>专项回归</x:v>
      </x:c>
      <x:c r="Q34" s="86"/>
      <x:c r="R34" s="86"/>
      <x:c r="S34" s="10" t="str">
        <x:v>正文＋待决策</x:v>
      </x:c>
      <x:c r="T34" s="10" t="str">
        <x:v>必填、只读编码、整数抛比、换算和2000字符上限分别作单因素检查；未改历史名称豁免格式校验。 本轮边界复核以J/K列新增分支执行，单一变量逐项对照合法／临界／非法；关联待决事项未确认不计通过。</x:v>
      </x:c>
      <x:c r="U34" s="10" t="str">
        <x:v>6000换算1,000,000÷6000，小数抛比验证整数约束；操作内容空／2000／2001字符。零负抛比、换算显示精度／字符计数口径先确认；不猜长度阈值。</x:v>
      </x:c>
      <x:c r="V34" s="10" t="str">
        <x:f>IF(D34="否","不适用",IF(D34&lt;&gt;"是","未纳入本批",IF(OR(LEN(TRIM('本批提测'!$B$10))=0,LEN(TRIM('本批提测'!$B$11))=0,'本批提测'!$B$12&lt;&gt;"已确认",F34&lt;&gt;"已确认",'本批提测'!$H$54&lt;&gt;"已确认",AND('本批提测'!$H$40&lt;&gt;"已确认",'本批提测'!$H$40&lt;&gt;"已记录后置")),"待确认","已确认")))</x:f>
        <x:v>未纳入本批</x:v>
      </x:c>
      <x:c r="W34" s="10" t="str">
        <x:v>保留／按批次选取</x:v>
      </x:c>
      <x:c r="X34" s="10" t="str">
        <x:v>设计复核后保留；关联DEC15、DEC01确认后方可执行判定。</x:v>
      </x:c>
      <x:c r="Y34" s="187" t="str">
        <x:v>UI35</x:v>
      </x:c>
      <x:c r="Z34" s="191" t="str">
        <x:v>蓝色：组合复用</x:v>
      </x:c>
    </x:row>
    <x:row r="35" ht="63" customHeight="1">
      <x:c r="A35" s="10" t="str">
        <x:v>SM30</x:v>
      </x:c>
      <x:c r="B35" s="10" t="str">
        <x:v>服务单元</x:v>
      </x:c>
      <x:c r="C35" s="10" t="str">
        <x:v>编辑已引用单元的业务影响</x:v>
      </x:c>
      <x:c r="D35" s="85" t="str">
        <x:v>待选择</x:v>
      </x:c>
      <x:c r="E35" s="85" t="str">
        <x:v>是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V35&lt;&gt;"已确认","依据待确认",IF('本批提测'!$B$6&lt;&gt;"已就绪","批次未就绪",IF(OR(H35&lt;&gt;'本批提测'!$B$8,G35="",G35="未执行"),"未执行",IF(R35&lt;&gt;'本批提测'!$B$18,"基线已变，需复测",IF(LEN(TRIM(Q35))=0,"交付未映射",IF(AND(OR(G35="通过",G35="失败"),LEN(TRIM(M35))=0),"缺少证据",IF(AND(OR(G35="通过",G35="失败"),LEN(TRIM(O35))=0),"缺少执行人",IF(OR(G35="通过",G35="失败",G35="受阻",G35="依据待确认"),G35,"结果待填写")))))))))))</x:f>
        <x:v>未纳入本批</x:v>
      </x:c>
      <x:c r="J35" s="10" t="str">
        <x:v>前置：准备已发布产品引用的测试单元和历史订单快照。
操作：修改单元实际配置并保存，查询已绑定产品及历史订单。</x:v>
      </x:c>
      <x:c r="K35" s="10" t="str">
        <x:v>允许保存，无重新审批／发布弹窗；产品仍已发布；真实配置变化生成新单元配置版本并更新当前指针，无变化／仅启停不增配置版本；不连带增加组合版本；历史订单快照不变。价卡同步边界按DEC13。</x:v>
      </x:c>
      <x:c r="L35" s="10" t="str">
        <x:v>REQ §6.2 编辑影响／版本的生成与使用；不是停用后继续可执行</x:v>
      </x:c>
      <x:c r="M35" s="86"/>
      <x:c r="N35" s="86"/>
      <x:c r="O35" s="86"/>
      <x:c r="P35" s="10" t="str">
        <x:v>冒烟</x:v>
      </x:c>
      <x:c r="Q35" s="86"/>
      <x:c r="R35" s="86"/>
      <x:c r="S35" s="10" t="str">
        <x:v>正文＋待决策</x:v>
      </x:c>
      <x:c r="T35" s="10" t="str">
        <x:v>把真实改配置、无变化保存、仅启停区分为三类版本触发；同时对照绑定产品、组合及历史影响。</x:v>
      </x:c>
      <x:c r="U35" s="10" t="str">
        <x:v>记录单元当前版本／指针、组合版本、产品状态、旧订单快照，再逐类操作读回。价卡同步由DEC13确认；不要求产品重新发布。</x:v>
      </x:c>
      <x:c r="V35" s="10" t="str">
        <x:f>IF(D35="否","不适用",IF(D35&lt;&gt;"是","未纳入本批",IF(OR(LEN(TRIM('本批提测'!$B$10))=0,LEN(TRIM('本批提测'!$B$11))=0,'本批提测'!$B$12&lt;&gt;"已确认",F35&lt;&gt;"已确认",'本批提测'!$H$52&lt;&gt;"已确认",AND('本批提测'!$H$40&lt;&gt;"已确认",'本批提测'!$H$40&lt;&gt;"已记录后置")),"待确认","已确认")))</x:f>
        <x:v>未纳入本批</x:v>
      </x:c>
      <x:c r="W35" s="10" t="str">
        <x:v>保留／按批次选取</x:v>
      </x:c>
      <x:c r="X35" s="10" t="str">
        <x:v>设计复核后保留；关联DEC13、DEC01确认后方可执行判定。</x:v>
      </x:c>
      <x:c r="Y35" s="187" t="str">
        <x:v>UI18</x:v>
      </x:c>
      <x:c r="Z35" s="189" t="str">
        <x:v>绿色：直接复用</x:v>
      </x:c>
    </x:row>
    <x:row r="36" ht="157.5" customHeight="1">
      <x:c r="A36" s="10" t="str">
        <x:v>SM31</x:v>
      </x:c>
      <x:c r="B36" s="10" t="str">
        <x:v>服务组合</x:v>
      </x:c>
      <x:c r="C36" s="10" t="str">
        <x:v>创建、编辑与版本闭环</x:v>
      </x:c>
      <x:c r="D36" s="85" t="str">
        <x:v>待选择</x:v>
      </x:c>
      <x:c r="E36" s="85" t="str">
        <x:v>是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V36&lt;&gt;"已确认","依据待确认",IF('本批提测'!$B$6&lt;&gt;"已就绪","批次未就绪",IF(OR(H36&lt;&gt;'本批提测'!$B$8,G36="",G36="未执行"),"未执行",IF(R36&lt;&gt;'本批提测'!$B$18,"基线已变，需复测",IF(LEN(TRIM(Q36))=0,"交付未映射",IF(AND(OR(G36="通过",G36="失败"),LEN(TRIM(M36))=0),"缺少证据",IF(AND(OR(G36="通过",G36="失败"),LEN(TRIM(O36))=0),"缺少执行人",IF(OR(G36="通过",G36="失败",G36="受阻",G36="依据待确认"),G36,"结果待填写")))))))))))</x:f>
        <x:v>未纳入本批</x:v>
      </x:c>
      <x:c r="J36" s="10" t="str">
        <x:v>前置：准备可用服务单元及可执行普通策略。
操作：新建组合，再改优先级保存，查看历史版本；再无修改保存并启停。
新增分别输入纯空白名、首尾空格有效名；策略空；编码空自动分配／手工合法编码；编辑停用组合实际配置。</x:v>
      </x:c>
      <x:c r="K36" s="10" t="str">
        <x:v>至少1成员；新增默认启用、V1；配置改变生成V2并归档；无变化和单纯启停不增配置版本；已绑定产品读取当前配置；历史只读。
名称去首尾空格后不能为空；策略必填默认优先级，仅显示关联可执行普通算法。空编码由系统分配，手工编码按确认格式；配置改变不重新分配稳定编码。编辑停用组合仍停用，不能误恢复启用。</x:v>
      </x:c>
      <x:c r="L36" s="10" t="str">
        <x:v>REQ §6.2 新增服务组合／版本的生成与使用</x:v>
      </x:c>
      <x:c r="M36" s="86"/>
      <x:c r="N36" s="86"/>
      <x:c r="O36" s="86"/>
      <x:c r="P36" s="10" t="str">
        <x:v>冒烟</x:v>
      </x:c>
      <x:c r="Q36" s="86"/>
      <x:c r="R36" s="86"/>
      <x:c r="S36" s="10" t="str">
        <x:v>需求正文</x:v>
      </x:c>
      <x:c r="T36" s="10" t="str">
        <x:v>组合创建与配置编辑形成V1→V2迁移；无变化及启停作为不增配置版本的对照，验证当前与归档关系。 本轮边界复核以J/K列新增分支执行，单一变量逐项对照合法／临界／非法；关联待决事项未确认不计通过。</x:v>
      </x:c>
      <x:c r="U36" s="10" t="str">
        <x:v>改变优先级后读回当前／历史；检查已绑定产品读取当前配置，历史只读。保留版本ID，不能只看更新时间变化。</x:v>
      </x:c>
      <x:c r="V36" s="10" t="str">
        <x:f>IF(D36="否","不适用",IF(D36&lt;&gt;"是","未纳入本批",IF(OR(LEN(TRIM('本批提测'!$B$10))=0,LEN(TRIM('本批提测'!$B$11))=0,'本批提测'!$B$12&lt;&gt;"已确认",F36&lt;&gt;"已确认"),"待确认","已确认")))</x:f>
        <x:v>未纳入本批</x:v>
      </x:c>
      <x:c r="W36" s="10" t="str">
        <x:v>保留／按批次选取</x:v>
      </x:c>
      <x:c r="X36" s="10" t="str">
        <x:v>设计复核后保留；按交付范围及批准现行基线执行。</x:v>
      </x:c>
      <x:c r="Y36" s="187" t="str">
        <x:v>UI15</x:v>
      </x:c>
      <x:c r="Z36" s="189" t="str">
        <x:v>绿色：直接复用</x:v>
      </x:c>
    </x:row>
    <x:row r="37" ht="157.5" customHeight="1">
      <x:c r="A37" s="10" t="str">
        <x:v>SM32</x:v>
      </x:c>
      <x:c r="B37" s="10" t="str">
        <x:v>服务组合</x:v>
      </x:c>
      <x:c r="C37" s="10" t="str">
        <x:v>成员、角色、容量与重复校验</x:v>
      </x:c>
      <x:c r="D37" s="85" t="str">
        <x:v>待选择</x:v>
      </x:c>
      <x:c r="E37" s="85" t="str">
        <x:v>是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V37&lt;&gt;"已确认","依据待确认",IF('本批提测'!$B$6&lt;&gt;"已就绪","批次未就绪",IF(OR(H37&lt;&gt;'本批提测'!$B$8,G37="",G37="未执行"),"未执行",IF(R37&lt;&gt;'本批提测'!$B$18,"基线已变，需复测",IF(LEN(TRIM(Q37))=0,"交付未映射",IF(AND(OR(G37="通过",G37="失败"),LEN(TRIM(M37))=0),"缺少证据",IF(AND(OR(G37="通过",G37="失败"),LEN(TRIM(O37))=0),"缺少执行人",IF(OR(G37="通过",G37="失败",G37="受阻",G37="依据待确认"),G37,"结果待填写")))))))))))</x:f>
        <x:v>未纳入本批</x:v>
      </x:c>
      <x:c r="J37" s="10" t="str">
        <x:v>前置：0／1／2个主用成员，优先级0、-1、1、1.5、重复1；同服务商同范围成员；停用旧成员。
操作：逐组保存；新选停用、重复编码或嵌套组合；搜索／移除／新增成员，再读回角色和容量。</x:v>
      </x:c>
      <x:c r="K37" s="10" t="str">
        <x:v>成员≥1、恰有1个主用；优先级为全局唯一正整数，0／-1／1.5／重复值不通过；首成员默认主用，其余后备。无嵌套／重复编码；新选不含停用，旧停用成员保留标识且选路排除。容量只读，空为—、0为0 KG；搜索不丢已选。相同服务商每服务范围最多1单元；不同服务商跨范围口径DEC14待确认。</x:v>
      </x:c>
      <x:c r="L37" s="10" t="str">
        <x:v>REQ §6.2 新增服务组合／容量与角色</x:v>
      </x:c>
      <x:c r="M37" s="86"/>
      <x:c r="N37" s="86"/>
      <x:c r="O37" s="86"/>
      <x:c r="P37" s="10" t="str">
        <x:v>专项回归</x:v>
      </x:c>
      <x:c r="Q37" s="86"/>
      <x:c r="R37" s="86"/>
      <x:c r="S37" s="10" t="str">
        <x:v>正文＋待决策</x:v>
      </x:c>
      <x:c r="T37" s="10" t="str">
        <x:v>将成员数量、主用数、唯一优先级、重复／嵌套、停用候选拆成约束表；每次只破坏一条。 本轮边界复核以J/K列新增分支执行，单一变量逐项对照合法／临界／非法；关联待决事项未确认不计通过。</x:v>
      </x:c>
      <x:c r="U37" s="10" t="str">
        <x:v>构造0／1成员、0／1／2主用、0／负／重复／正整数优先级及停用旧成员；核对错误定位、搜索选择和编辑保留。跨范围口径DEC14。</x:v>
      </x:c>
      <x:c r="V37" s="10" t="str">
        <x:f>IF(D37="否","不适用",IF(D37&lt;&gt;"是","未纳入本批",IF(OR(LEN(TRIM('本批提测'!$B$10))=0,LEN(TRIM('本批提测'!$B$11))=0,'本批提测'!$B$12&lt;&gt;"已确认",F37&lt;&gt;"已确认",'本批提测'!$H$53&lt;&gt;"已确认",AND('本批提测'!$H$40&lt;&gt;"已确认",'本批提测'!$H$40&lt;&gt;"已记录后置")),"待确认","已确认")))</x:f>
        <x:v>未纳入本批</x:v>
      </x:c>
      <x:c r="W37" s="10" t="str">
        <x:v>保留／按批次选取</x:v>
      </x:c>
      <x:c r="X37" s="10" t="str">
        <x:v>设计复核后保留；关联DEC14、DEC01确认后方可执行判定。</x:v>
      </x:c>
      <x:c r="Y37" s="187"/>
      <x:c r="Z37" s="187" t="str">
        <x:v>功能专项，无直接Review映射</x:v>
      </x:c>
    </x:row>
    <x:row r="38" ht="157.5" customHeight="1">
      <x:c r="A38" s="10" t="str">
        <x:v>SM33</x:v>
      </x:c>
      <x:c r="B38" s="10" t="str">
        <x:v>服务组合</x:v>
      </x:c>
      <x:c r="C38" s="10" t="str">
        <x:v>停用、引用保护及批量结果</x:v>
      </x:c>
      <x:c r="D38" s="85" t="str">
        <x:v>待选择</x:v>
      </x:c>
      <x:c r="E38" s="85" t="str">
        <x:v>是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V38&lt;&gt;"已确认","依据待确认",IF('本批提测'!$B$6&lt;&gt;"已就绪","批次未就绪",IF(OR(H38&lt;&gt;'本批提测'!$B$8,G38="",G38="未执行"),"未执行",IF(R38&lt;&gt;'本批提测'!$B$18,"基线已变，需复测",IF(LEN(TRIM(Q38))=0,"交付未映射",IF(AND(OR(G38="通过",G38="失败"),LEN(TRIM(M38))=0),"缺少证据",IF(AND(OR(G38="通过",G38="失败"),LEN(TRIM(O38))=0),"缺少执行人",IF(OR(G38="通过",G38="失败",G38="受阻",G38="依据待确认"),G38,"结果待填写")))))))))))</x:f>
        <x:v>未纳入本批</x:v>
      </x:c>
      <x:c r="J38" s="10" t="str">
        <x:v>前置：使用有引用及无引用测试组合，混合启停状态。
操作：停用后发起新选路；对有引用组合尝试删除；执行混合状态批量启停／删除。
补查：取消停用／删除；无当前引用组合删除后核对历史及日志；批量0条、全部跳过、部分成功和全部成功。</x:v>
      </x:c>
      <x:c r="K38" s="10" t="str">
        <x:v>停用保留关系但不参加后续选路，不回退旧版；有产品／画布引用阻断删除；批量逐项跳过不符条件项并报成功、跳过数及原因。
取消不变更；无引用删除仅移出当前列表，历史版本、日志不一并物理清除。批量先统一确认，已达目标状态跳过且不增版本；0选中不执行。成功／跳过数及原因对应对象，结束刷新并清选择；失败保留原数据。</x:v>
      </x:c>
      <x:c r="L38" s="10" t="str">
        <x:v>REQ §6.2 服务组合列表／操作及批量；只对专用可清理数据执行删除</x:v>
      </x:c>
      <x:c r="M38" s="86"/>
      <x:c r="N38" s="86"/>
      <x:c r="O38" s="86"/>
      <x:c r="P38" s="10" t="str">
        <x:v>专项回归</x:v>
      </x:c>
      <x:c r="Q38" s="86"/>
      <x:c r="R38" s="86"/>
      <x:c r="S38" s="10" t="str">
        <x:v>需求正文</x:v>
      </x:c>
      <x:c r="T38" s="10" t="str">
        <x:v>状态、引用与批量资格组合决定操作结果；以有／无引用及混合状态检查逐对象跳过，不只看总体提示。 本轮边界复核以J/K列新增分支执行，单一变量逐项对照合法／临界／非法；关联待决事项未确认不计通过。</x:v>
      </x:c>
      <x:c r="U38" s="10" t="str">
        <x:v>使用可清理测试组合，记录引用；核对停用不选路、不回退旧版、有引用不删除；批量成功／跳过数量与原因须对应实际ID。</x:v>
      </x:c>
      <x:c r="V38" s="10" t="str">
        <x:f>IF(D38="否","不适用",IF(D38&lt;&gt;"是","未纳入本批",IF(OR(LEN(TRIM('本批提测'!$B$10))=0,LEN(TRIM('本批提测'!$B$11))=0,'本批提测'!$B$12&lt;&gt;"已确认",F38&lt;&gt;"已确认"),"待确认","已确认")))</x:f>
        <x:v>未纳入本批</x:v>
      </x:c>
      <x:c r="W38" s="10" t="str">
        <x:v>本轮修正</x:v>
      </x:c>
      <x:c r="X38" s="10" t="str">
        <x:v>边界/批量/公式矩阵调整为专项回归；冒烟正向闭环由本模块主链路覆盖。</x:v>
      </x:c>
      <x:c r="Y38" s="187"/>
      <x:c r="Z38" s="187" t="str">
        <x:v>功能专项，无直接Review映射</x:v>
      </x:c>
    </x:row>
    <x:row r="39" ht="63" customHeight="1">
      <x:c r="A39" s="10" t="str">
        <x:v>SM34</x:v>
      </x:c>
      <x:c r="B39" s="10" t="str">
        <x:v>选路策略</x:v>
      </x:c>
      <x:c r="C39" s="10" t="str">
        <x:v>优先级选路与无可用成员</x:v>
      </x:c>
      <x:c r="D39" s="85" t="str">
        <x:v>待选择</x:v>
      </x:c>
      <x:c r="E39" s="85" t="str">
        <x:v>是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V39&lt;&gt;"已确认","依据待确认",IF('本批提测'!$B$6&lt;&gt;"已就绪","批次未就绪",IF(OR(H39&lt;&gt;'本批提测'!$B$8,G39="",G39="未执行"),"未执行",IF(R39&lt;&gt;'本批提测'!$B$18,"基线已变，需复测",IF(LEN(TRIM(Q39))=0,"交付未映射",IF(AND(OR(G39="通过",G39="失败"),LEN(TRIM(M39))=0),"缺少证据",IF(AND(OR(G39="通过",G39="失败"),LEN(TRIM(O39))=0),"缺少执行人",IF(OR(G39="通过",G39="失败",G39="受阻",G39="依据待确认"),G39,"结果待填写")))))))))))</x:f>
        <x:v>未纳入本批</x:v>
      </x:c>
      <x:c r="J39" s="10" t="str">
        <x:v>前置：按 PRD Case P-01：A主用1、B后备2、C后备3；本批确认建议策略口径。
操作：全可用、A不准入、A/B不准入、全不可用分别选路。</x:v>
      </x:c>
      <x:c r="K39" s="10" t="str">
        <x:v>依次选择A、B、C；全部不可用返回各自原因，不伪造成功。该段标为建议规则，需 DEC14 批准。</x:v>
      </x:c>
      <x:c r="L39" s="10" t="str">
        <x:v>REQ §6.2 策略配置／Case P-01；建议规则</x:v>
      </x:c>
      <x:c r="M39" s="86"/>
      <x:c r="N39" s="86"/>
      <x:c r="O39" s="86"/>
      <x:c r="P39" s="10" t="str">
        <x:v>专项回归</x:v>
      </x:c>
      <x:c r="Q39" s="86"/>
      <x:c r="R39" s="86"/>
      <x:c r="S39" s="10" t="str">
        <x:v>正文＋待决策</x:v>
      </x:c>
      <x:c r="T39" s="10" t="str">
        <x:v>用P-01逐层排除主用和后备，形成候选可用性的决策表；全不可用是关键失败路径。</x:v>
      </x:c>
      <x:c r="U39" s="10" t="str">
        <x:v>固定A/B/C优先级1/2/3，一次改变可用性，核对选择A→B→C及全失败原因。建议策略先经DEC14采纳，不当全局既定算法。</x:v>
      </x:c>
      <x:c r="V39" s="10" t="str">
        <x:f>IF(D39="否","不适用",IF(D39&lt;&gt;"是","未纳入本批",IF(OR(LEN(TRIM('本批提测'!$B$10))=0,LEN(TRIM('本批提测'!$B$11))=0,'本批提测'!$B$12&lt;&gt;"已确认",F39&lt;&gt;"已确认",'本批提测'!$H$53&lt;&gt;"已确认",AND('本批提测'!$H$40&lt;&gt;"已确认",'本批提测'!$H$40&lt;&gt;"已记录后置")),"待确认","已确认")))</x:f>
        <x:v>未纳入本批</x:v>
      </x:c>
      <x:c r="W39" s="10" t="str">
        <x:v>保留／按批次选取</x:v>
      </x:c>
      <x:c r="X39" s="10" t="str">
        <x:v>设计复核后保留；关联DEC14、DEC01确认后方可执行判定。</x:v>
      </x:c>
      <x:c r="Y39" s="187"/>
      <x:c r="Z39" s="187" t="str">
        <x:v>功能专项，无直接Review映射</x:v>
      </x:c>
    </x:row>
    <x:row r="40" ht="75" customHeight="1">
      <x:c r="A40" s="10" t="str">
        <x:v>SM35</x:v>
      </x:c>
      <x:c r="B40" s="10" t="str">
        <x:v>选路策略</x:v>
      </x:c>
      <x:c r="C40" s="10" t="str">
        <x:v>容量使用实重和静态阈值</x:v>
      </x:c>
      <x:c r="D40" s="85" t="str">
        <x:v>待选择</x:v>
      </x:c>
      <x:c r="E40" s="85" t="str">
        <x:v>是</x:v>
      </x:c>
      <x:c r="F40" s="85" t="str">
        <x:v>待确认</x:v>
      </x:c>
      <x:c r="G40" s="85" t="str">
        <x:v>未执行</x:v>
      </x:c>
      <x:c r="H40" s="85"/>
      <x:c r="I40" s="13" t="str">
        <x:f>IF(D40="否","不适用",IF(D40&lt;&gt;"是","未纳入本批",IF(AND(E40&lt;&gt;"是",E40&lt;&gt;"否"),"关键项待分类",IF(V40&lt;&gt;"已确认","依据待确认",IF('本批提测'!$B$6&lt;&gt;"已就绪","批次未就绪",IF(OR(H40&lt;&gt;'本批提测'!$B$8,G40="",G40="未执行"),"未执行",IF(R40&lt;&gt;'本批提测'!$B$18,"基线已变，需复测",IF(LEN(TRIM(Q40))=0,"交付未映射",IF(AND(OR(G40="通过",G40="失败"),LEN(TRIM(M40))=0),"缺少证据",IF(AND(OR(G40="通过",G40="失败"),LEN(TRIM(O40))=0),"缺少执行人",IF(OR(G40="通过",G40="失败",G40="受阻",G40="依据待确认"),G40,"结果待填写")))))))))))</x:f>
        <x:v>未纳入本批</x:v>
      </x:c>
      <x:c r="J40" s="10" t="str">
        <x:v>前置：Case P-03：A500KG、B800KG；空容量和0容量成员；确认 DEC14。
操作：实重600、800、801KG分别请求；再重复两笔600KG。</x:v>
      </x:c>
      <x:c r="K40" s="10" t="str">
        <x:v>600／800可选B，801无可用；空容量不视为无限，0不承接正重量；不拆单、不加总容量、不扣累计量。</x:v>
      </x:c>
      <x:c r="L40" s="10" t="str">
        <x:v>REQ §6.2 策略配置／Case P-03；建议规则</x:v>
      </x:c>
      <x:c r="M40" s="86"/>
      <x:c r="N40" s="86"/>
      <x:c r="O40" s="86"/>
      <x:c r="P40" s="10" t="str">
        <x:v>专项回归</x:v>
      </x:c>
      <x:c r="Q40" s="86"/>
      <x:c r="R40" s="86"/>
      <x:c r="S40" s="10" t="str">
        <x:v>正文＋待决策</x:v>
      </x:c>
      <x:c r="T40" s="10" t="str">
        <x:v>容量边界按实重与单笔静态阈值验证；重复请求用于排除误按累计额度和合并容量计算。</x:v>
      </x:c>
      <x:c r="U40" s="10" t="str">
        <x:v>采用P-03的500/800KG，实重600/800/801；补空和0容量。检查不拆单、不加总、不扣累计；空值策略及建议规则经DEC14。</x:v>
      </x:c>
      <x:c r="V40" s="10" t="str">
        <x:f>IF(D40="否","不适用",IF(D40&lt;&gt;"是","未纳入本批",IF(OR(LEN(TRIM('本批提测'!$B$10))=0,LEN(TRIM('本批提测'!$B$11))=0,'本批提测'!$B$12&lt;&gt;"已确认",F40&lt;&gt;"已确认",'本批提测'!$H$53&lt;&gt;"已确认",AND('本批提测'!$H$40&lt;&gt;"已确认",'本批提测'!$H$40&lt;&gt;"已记录后置")),"待确认","已确认")))</x:f>
        <x:v>未纳入本批</x:v>
      </x:c>
      <x:c r="W40" s="10" t="str">
        <x:v>保留／按批次选取</x:v>
      </x:c>
      <x:c r="X40" s="10" t="str">
        <x:v>设计复核后保留；关联DEC14、DEC01确认后方可执行判定。</x:v>
      </x:c>
      <x:c r="Y40" s="187"/>
      <x:c r="Z40" s="187" t="str">
        <x:v>功能专项，无直接Review映射</x:v>
      </x:c>
    </x:row>
    <x:row r="41" ht="63" customHeight="1">
      <x:c r="A41" s="10" t="str">
        <x:v>SM36</x:v>
      </x:c>
      <x:c r="B41" s="10" t="str">
        <x:v>选路策略</x:v>
      </x:c>
      <x:c r="C41" s="10" t="str">
        <x:v>最低完整成本而非最低单价</x:v>
      </x:c>
      <x:c r="D41" s="85" t="str">
        <x:v>待选择</x:v>
      </x:c>
      <x:c r="E41" s="85" t="str">
        <x:v>是</x:v>
      </x:c>
      <x:c r="F41" s="85" t="str">
        <x:v>待确认</x:v>
      </x:c>
      <x:c r="G41" s="85" t="str">
        <x:v>未执行</x:v>
      </x:c>
      <x:c r="H41" s="85"/>
      <x:c r="I41" s="13" t="str">
        <x:f>IF(D41="否","不适用",IF(D41&lt;&gt;"是","未纳入本批",IF(AND(E41&lt;&gt;"是",E41&lt;&gt;"否"),"关键项待分类",IF(V41&lt;&gt;"已确认","依据待确认",IF('本批提测'!$B$6&lt;&gt;"已就绪","批次未就绪",IF(OR(H41&lt;&gt;'本批提测'!$B$8,G41="",G41="未执行"),"未执行",IF(R41&lt;&gt;'本批提测'!$B$18,"基线已变，需复测",IF(LEN(TRIM(Q41))=0,"交付未映射",IF(AND(OR(G41="通过",G41="失败"),LEN(TRIM(M41))=0),"缺少证据",IF(AND(OR(G41="通过",G41="失败"),LEN(TRIM(O41))=0),"缺少执行人",IF(OR(G41="通过",G41="失败",G41="受阻",G41="依据待确认"),G41,"结果待填写")))))))))))</x:f>
        <x:v>未纳入本批</x:v>
      </x:c>
      <x:c r="J41" s="10" t="str">
        <x:v>前置：Case P-04：10KG；A8元/KG+50固定费，B10元/KG无附加费。
操作：比较两者；再让B无有效价卡并重算。</x:v>
      </x:c>
      <x:c r="K41" s="10" t="str">
        <x:v>完整成本A130、B100，选B；B缺卡不能按0元胜出；只剩A可报价时选A，并固定比较使用的价卡／规则版本。</x:v>
      </x:c>
      <x:c r="L41" s="10" t="str">
        <x:v>REQ §6.2 最低成本／Case P-04；同币种同口径</x:v>
      </x:c>
      <x:c r="M41" s="86"/>
      <x:c r="N41" s="86"/>
      <x:c r="O41" s="86"/>
      <x:c r="P41" s="10" t="str">
        <x:v>专项回归</x:v>
      </x:c>
      <x:c r="Q41" s="86"/>
      <x:c r="R41" s="86"/>
      <x:c r="S41" s="10" t="str">
        <x:v>需求正文</x:v>
      </x:c>
      <x:c r="T41" s="10" t="str">
        <x:v>用单价低但总费高的反例揭示比较口径；缺卡候选验证不能用0成本参与排名。</x:v>
      </x:c>
      <x:c r="U41" s="10" t="str">
        <x:v>10KG算例：A 8元/KG+50固定=130，B 10元/KG=100；同币种同口径手算，再令B缺卡。保留候选成本与卡版本。</x:v>
      </x:c>
      <x:c r="V41" s="10" t="str">
        <x:f>IF(D41="否","不适用",IF(D41&lt;&gt;"是","未纳入本批",IF(OR(LEN(TRIM('本批提测'!$B$10))=0,LEN(TRIM('本批提测'!$B$11))=0,'本批提测'!$B$12&lt;&gt;"已确认",F41&lt;&gt;"已确认",'本批提测'!$H$53&lt;&gt;"已确认",AND('本批提测'!$H$40&lt;&gt;"已确认",'本批提测'!$H$40&lt;&gt;"已记录后置")),"待确认","已确认")))</x:f>
        <x:v>未纳入本批</x:v>
      </x:c>
      <x:c r="W41" s="10" t="str">
        <x:v>保留／按批次选取</x:v>
      </x:c>
      <x:c r="X41" s="10" t="str">
        <x:v>设计复核后保留；关联DEC14、DEC01确认后方可执行判定。</x:v>
      </x:c>
      <x:c r="Y41" s="187"/>
      <x:c r="Z41" s="187" t="str">
        <x:v>功能专项，无直接Review映射</x:v>
      </x:c>
    </x:row>
    <x:row r="42" ht="157.5" customHeight="1">
      <x:c r="A42" s="10" t="str">
        <x:v>SM37</x:v>
      </x:c>
      <x:c r="B42" s="10" t="str">
        <x:v>选路策略</x:v>
      </x:c>
      <x:c r="C42" s="10" t="str">
        <x:v>抛比匹配、同分和缺参数</x:v>
      </x:c>
      <x:c r="D42" s="85" t="str">
        <x:v>待选择</x:v>
      </x:c>
      <x:c r="E42" s="85" t="str">
        <x:v>是</x:v>
      </x:c>
      <x:c r="F42" s="85" t="str">
        <x:v>待确认</x:v>
      </x:c>
      <x:c r="G42" s="85" t="str">
        <x:v>未执行</x:v>
      </x:c>
      <x:c r="H42" s="85"/>
      <x:c r="I42" s="13" t="str">
        <x:f>IF(D42="否","不适用",IF(D42&lt;&gt;"是","未纳入本批",IF(AND(E42&lt;&gt;"是",E42&lt;&gt;"否"),"关键项待分类",IF(V42&lt;&gt;"已确认","依据待确认",IF('本批提测'!$B$6&lt;&gt;"已就绪","批次未就绪",IF(OR(H42&lt;&gt;'本批提测'!$B$8,G42="",G42="未执行"),"未执行",IF(R42&lt;&gt;'本批提测'!$B$18,"基线已变，需复测",IF(LEN(TRIM(Q42))=0,"交付未映射",IF(AND(OR(G42="通过",G42="失败"),LEN(TRIM(M42))=0),"缺少证据",IF(AND(OR(G42="通过",G42="失败"),LEN(TRIM(O42))=0),"缺少执行人",IF(OR(G42="通过",G42="失败",G42="受阻",G42="依据待确认"),G42,"结果待填写")))))))))))</x:f>
        <x:v>未纳入本批</x:v>
      </x:c>
      <x:c r="J42" s="10" t="str">
        <x:v>前置：Case P-02A：V110000cm³、W20KG；成员D5000、6000、5500；DR-01口径先确认。
操作：计算R及差值，移除5500成员再检查同分；删除体积数据。
把110000cm³换成0.11CBM重算；分别令实重0／负、成员D缺失，核对异常。</x:v>
      </x:c>
      <x:c r="K42" s="10" t="str">
        <x:v>R5500；差值500／500／0选5500成员；同分按确认角色优先级；缺参数不能代0。该算法不是最低计费重或最低价。
0.11CBM换为110000cm³后选择一致；实重≤0／缺D不能代0形成有效比较，结果说明具体缺失。抛比匹配与模拟无尺寸按实重属于不同场景，不可混用。</x:v>
      </x:c>
      <x:c r="L42" s="10" t="str">
        <x:v>REQ §6.2 抛比匹配／Case P-02A；仍有DR-01待确认标识，见 DEC14</x:v>
      </x:c>
      <x:c r="M42" s="86"/>
      <x:c r="N42" s="86"/>
      <x:c r="O42" s="86"/>
      <x:c r="P42" s="10" t="str">
        <x:v>专项回归</x:v>
      </x:c>
      <x:c r="Q42" s="86"/>
      <x:c r="R42" s="86"/>
      <x:c r="S42" s="10" t="str">
        <x:v>正文＋待决策</x:v>
      </x:c>
      <x:c r="T42" s="10" t="str">
        <x:v>抛比匹配用精确命中、同分、缺参数三类决策；与最低计费重／最低成本分开，防止实现替换算法。 本轮边界复核以J/K列新增分支执行，单一变量逐项对照合法／临界／非法；关联待决事项未确认不计通过。</x:v>
      </x:c>
      <x:c r="U42" s="10" t="str">
        <x:v>P-02A取110000cm³/20KG=5500，候选5000/6000/5500；删除精确候选测同分。DR-01与同分规则先DEC14确认。</x:v>
      </x:c>
      <x:c r="V42" s="10" t="str">
        <x:f>IF(D42="否","不适用",IF(D42&lt;&gt;"是","未纳入本批",IF(OR(LEN(TRIM('本批提测'!$B$10))=0,LEN(TRIM('本批提测'!$B$11))=0,'本批提测'!$B$12&lt;&gt;"已确认",F42&lt;&gt;"已确认",'本批提测'!$H$53&lt;&gt;"已确认",AND('本批提测'!$H$40&lt;&gt;"已确认",'本批提测'!$H$40&lt;&gt;"已记录后置")),"待确认","已确认")))</x:f>
        <x:v>未纳入本批</x:v>
      </x:c>
      <x:c r="W42" s="10" t="str">
        <x:v>保留／按批次选取</x:v>
      </x:c>
      <x:c r="X42" s="10" t="str">
        <x:v>设计复核后保留；关联DEC14、DEC01确认后方可执行判定。</x:v>
      </x:c>
      <x:c r="Y42" s="187"/>
      <x:c r="Z42" s="187" t="str">
        <x:v>功能专项，无直接Review映射</x:v>
      </x:c>
    </x:row>
    <x:row r="43" ht="157.5" customHeight="1">
      <x:c r="A43" s="10" t="str">
        <x:v>SM38</x:v>
      </x:c>
      <x:c r="B43" s="10" t="str">
        <x:v>选路策略</x:v>
      </x:c>
      <x:c r="C43" s="10" t="str">
        <x:v>最快预计完成时间</x:v>
      </x:c>
      <x:c r="D43" s="85" t="str">
        <x:v>待选择</x:v>
      </x:c>
      <x:c r="E43" s="85" t="str">
        <x:v>是</x:v>
      </x:c>
      <x:c r="F43" s="85" t="str">
        <x:v>待确认</x:v>
      </x:c>
      <x:c r="G43" s="85" t="str">
        <x:v>未执行</x:v>
      </x:c>
      <x:c r="H43" s="85"/>
      <x:c r="I43" s="13" t="str">
        <x:f>IF(D43="否","不适用",IF(D43&lt;&gt;"是","未纳入本批",IF(AND(E43&lt;&gt;"是",E43&lt;&gt;"否"),"关键项待分类",IF(V43&lt;&gt;"已确认","依据待确认",IF('本批提测'!$B$6&lt;&gt;"已就绪","批次未就绪",IF(OR(H43&lt;&gt;'本批提测'!$B$8,G43="",G43="未执行"),"未执行",IF(R43&lt;&gt;'本批提测'!$B$18,"基线已变，需复测",IF(LEN(TRIM(Q43))=0,"交付未映射",IF(AND(OR(G43="通过",G43="失败"),LEN(TRIM(M43))=0),"缺少证据",IF(AND(OR(G43="通过",G43="失败"),LEN(TRIM(O43))=0),"缺少执行人",IF(OR(G43="通过",G43="失败",G43="受阻",G43="依据待确认"),G43,"结果待填写")))))))))))</x:f>
        <x:v>未纳入本批</x:v>
      </x:c>
      <x:c r="J43" s="10" t="str">
        <x:v>前置：Case P-05相同时区、连续自然日；A过周一14点截单下次周二9点+1天，B周一15点+1.5天。
操作：选择最快策略，比较完成时间；再移除服务安排或价卡时效。
在组合选择最快策略时先检查缺服务／接单／截单安排及缺价卡时效的成员；补齐后复算。另测截单前／恰好截单／截单后及跨日。</x:v>
      </x:c>
      <x:c r="K43" s="10" t="str">
        <x:v>选周三03点完成的B，非周三09点的A；缺必要时间／时效有原因；工作日、节假日和时区按 DEC14，不将1.5天视为默认值。
缺必要时间／价卡时效在选择最快策略的成员配置时有校验提示，不能只在最终试算报错；恰好截单、区间时效上限、工作日日历和时区须按DEC14批准口径留证，缺口未决不判通过。文档时效缺失提示文字与缺失字段不一致时记录需求问题。</x:v>
      </x:c>
      <x:c r="L43" s="10" t="str">
        <x:v>REQ §6.2 最快时效／Case P-05；取时效上限为建议</x:v>
      </x:c>
      <x:c r="M43" s="86"/>
      <x:c r="N43" s="86"/>
      <x:c r="O43" s="86"/>
      <x:c r="P43" s="10" t="str">
        <x:v>专项回归</x:v>
      </x:c>
      <x:c r="Q43" s="86"/>
      <x:c r="R43" s="86"/>
      <x:c r="S43" s="10" t="str">
        <x:v>正文＋待决策</x:v>
      </x:c>
      <x:c r="T43" s="10" t="str">
        <x:v>以预计完成时间而非单纯时效长短作排序对照；加入截单已过和缺日历参数场景。 本轮边界复核以J/K列新增分支执行，单一变量逐项对照合法／临界／非法；关联待决事项未确认不计通过。</x:v>
      </x:c>
      <x:c r="U43" s="10" t="str">
        <x:v>按P-05相同时区连续自然日核算A周三09点、B周三03点；真实工作日／节假日／时区按DEC14。1.5天是算例，不是默认时效。</x:v>
      </x:c>
      <x:c r="V43" s="10" t="str">
        <x:f>IF(D43="否","不适用",IF(D43&lt;&gt;"是","未纳入本批",IF(OR(LEN(TRIM('本批提测'!$B$10))=0,LEN(TRIM('本批提测'!$B$11))=0,'本批提测'!$B$12&lt;&gt;"已确认",F43&lt;&gt;"已确认",'本批提测'!$H$53&lt;&gt;"已确认",AND('本批提测'!$H$40&lt;&gt;"已确认",'本批提测'!$H$40&lt;&gt;"已记录后置")),"待确认","已确认")))</x:f>
        <x:v>未纳入本批</x:v>
      </x:c>
      <x:c r="W43" s="10" t="str">
        <x:v>保留／按批次选取</x:v>
      </x:c>
      <x:c r="X43" s="10" t="str">
        <x:v>设计复核后保留；关联DEC14、DEC01确认后方可执行判定。</x:v>
      </x:c>
      <x:c r="Y43" s="187"/>
      <x:c r="Z43" s="187" t="str">
        <x:v>功能专项，无直接Review映射</x:v>
      </x:c>
    </x:row>
    <x:row r="44" ht="157.5" customHeight="1">
      <x:c r="A44" s="10" t="str">
        <x:v>SM39</x:v>
      </x:c>
      <x:c r="B44" s="10" t="str">
        <x:v>成本价卡</x:v>
      </x:c>
      <x:c r="C44" s="10" t="str">
        <x:v>唯一标识、绑定与只读字段</x:v>
      </x:c>
      <x:c r="D44" s="85" t="str">
        <x:v>待选择</x:v>
      </x:c>
      <x:c r="E44" s="85" t="str">
        <x:v>是</x:v>
      </x:c>
      <x:c r="F44" s="85" t="str">
        <x:v>待确认</x:v>
      </x:c>
      <x:c r="G44" s="85" t="str">
        <x:v>未执行</x:v>
      </x:c>
      <x:c r="H44" s="85"/>
      <x:c r="I44" s="13" t="str">
        <x:f>IF(D44="否","不适用",IF(D44&lt;&gt;"是","未纳入本批",IF(AND(E44&lt;&gt;"是",E44&lt;&gt;"否"),"关键项待分类",IF(V44&lt;&gt;"已确认","依据待确认",IF('本批提测'!$B$6&lt;&gt;"已就绪","批次未就绪",IF(OR(H44&lt;&gt;'本批提测'!$B$8,G44="",G44="未执行"),"未执行",IF(R44&lt;&gt;'本批提测'!$B$18,"基线已变，需复测",IF(LEN(TRIM(Q44))=0,"交付未映射",IF(AND(OR(G44="通过",G44="失败"),LEN(TRIM(M44))=0),"缺少证据",IF(AND(OR(G44="通过",G44="失败"),LEN(TRIM(O44))=0),"缺少执行人",IF(OR(G44="通过",G44="失败",G44="受阻",G44="依据待确认"),G44,"结果待填写")))))))))))</x:f>
        <x:v>未纳入本批</x:v>
      </x:c>
      <x:c r="J44" s="10" t="str">
        <x:v>前置：准备启用和停用服务单元、重复编码／同单元同名价卡。
操作：创建并读回，尝试重复编码／重复绑定、修改创建后的编码和单元。</x:v>
      </x:c>
      <x:c r="K44" s="10" t="str">
        <x:v>编码及名称、绑定单元必填；只绑定1个启用服务单元，且同一服务单元只能绑定1张成本价卡；重复绑定不落库。编码唯一，同单元价卡名称不重复；创建后编码及绑定单元只读。不同单元同名不自行扩大为全局名称唯一；自动生成价卡后的新增入口按DEC13。</x:v>
      </x:c>
      <x:c r="L44" s="10" t="str">
        <x:v>REQ §6.3 新增／编辑价卡基本信息及保存校验</x:v>
      </x:c>
      <x:c r="M44" s="86"/>
      <x:c r="N44" s="86"/>
      <x:c r="O44" s="86"/>
      <x:c r="P44" s="10" t="str">
        <x:v>专项回归</x:v>
      </x:c>
      <x:c r="Q44" s="86"/>
      <x:c r="R44" s="86"/>
      <x:c r="S44" s="10" t="str">
        <x:v>正文＋待决策</x:v>
      </x:c>
      <x:c r="T44" s="10" t="str">
        <x:v>绑定数量、启用资格、标识唯一及创建后不可改分别拆成独立约束；先确认自动卡与手工新增入口的关系。 本轮边界复核以J/K列新增分支执行，单一变量逐项对照合法／临界／非法；关联待决事项未确认不计通过。</x:v>
      </x:c>
      <x:c r="U44" s="10" t="str">
        <x:v>准备启用／停用单元、重复编码、同单元同名卡；读回绑定及只读字段。自动生成卡后能否新增及初始配置按DEC13。</x:v>
      </x:c>
      <x:c r="V44" s="10" t="str">
        <x:f>IF(D44="否","不适用",IF(D44&lt;&gt;"是","未纳入本批",IF(OR(LEN(TRIM('本批提测'!$B$10))=0,LEN(TRIM('本批提测'!$B$11))=0,'本批提测'!$B$12&lt;&gt;"已确认",F44&lt;&gt;"已确认",'本批提测'!$H$52&lt;&gt;"已确认",AND('本批提测'!$H$40&lt;&gt;"已确认",'本批提测'!$H$40&lt;&gt;"已记录后置")),"待确认","已确认")))</x:f>
        <x:v>未纳入本批</x:v>
      </x:c>
      <x:c r="W44" s="10" t="str">
        <x:v>本轮修正</x:v>
      </x:c>
      <x:c r="X44" s="10" t="str">
        <x:v>边界/批量/公式矩阵调整为专项回归；冒烟正向闭环由本模块主链路覆盖。</x:v>
      </x:c>
      <x:c r="Y44" s="187"/>
      <x:c r="Z44" s="187" t="str">
        <x:v>功能专项，无直接Review映射</x:v>
      </x:c>
    </x:row>
    <x:row r="45" ht="63" customHeight="1">
      <x:c r="A45" s="10" t="str">
        <x:v>SM40</x:v>
      </x:c>
      <x:c r="B45" s="10" t="str">
        <x:v>成本价卡</x:v>
      </x:c>
      <x:c r="C45" s="10" t="str">
        <x:v>生效价卡编辑不覆盖旧快照</x:v>
      </x:c>
      <x:c r="D45" s="85" t="str">
        <x:v>待选择</x:v>
      </x:c>
      <x:c r="E45" s="85" t="str">
        <x:v>是</x:v>
      </x:c>
      <x:c r="F45" s="85" t="str">
        <x:v>待确认</x:v>
      </x:c>
      <x:c r="G45" s="85" t="str">
        <x:v>未执行</x:v>
      </x:c>
      <x:c r="H45" s="85"/>
      <x:c r="I45" s="13" t="str">
        <x:f>IF(D45="否","不适用",IF(D45&lt;&gt;"是","未纳入本批",IF(AND(E45&lt;&gt;"是",E45&lt;&gt;"否"),"关键项待分类",IF(V45&lt;&gt;"已确认","依据待确认",IF('本批提测'!$B$6&lt;&gt;"已就绪","批次未就绪",IF(OR(H45&lt;&gt;'本批提测'!$B$8,G45="",G45="未执行"),"未执行",IF(R45&lt;&gt;'本批提测'!$B$18,"基线已变，需复测",IF(LEN(TRIM(Q45))=0,"交付未映射",IF(AND(OR(G45="通过",G45="失败"),LEN(TRIM(M45))=0),"缺少证据",IF(AND(OR(G45="通过",G45="失败"),LEN(TRIM(O45))=0),"缺少执行人",IF(OR(G45="通过",G45="失败",G45="受阻",G45="依据待确认"),G45,"结果待填写")))))))))))</x:f>
        <x:v>未纳入本批</x:v>
      </x:c>
      <x:c r="J45" s="10" t="str">
        <x:v>前置：准备生效价卡V1及引用V1的历史订单。
操作：编辑生成新版本，启用前后分别试算，再查看历史版本与订单。</x:v>
      </x:c>
      <x:c r="K45" s="10" t="str">
        <x:v>未启用新版本不参与计算；启用后成为当前版、原版归档；历史订单继续用下单时版本和价格快照。</x:v>
      </x:c>
      <x:c r="L45" s="10" t="str">
        <x:v>REQ §6.3 版本规则</x:v>
      </x:c>
      <x:c r="M45" s="86"/>
      <x:c r="N45" s="86"/>
      <x:c r="O45" s="86"/>
      <x:c r="P45" s="10" t="str">
        <x:v>冒烟</x:v>
      </x:c>
      <x:c r="Q45" s="86"/>
      <x:c r="R45" s="86"/>
      <x:c r="S45" s="10" t="str">
        <x:v>需求正文</x:v>
      </x:c>
      <x:c r="T45" s="10" t="str">
        <x:v>同一卡的当前版、新版未启用、归档版及历史订单构成版本选择对照；验证价格变更不覆盖旧快照。</x:v>
      </x:c>
      <x:c r="U45" s="10" t="str">
        <x:v>先记录V1和旧订单，编辑新版，启用前后用可控时点试算；核对命中版本及旧金额。版本显示变更不等于旧数据已保护。</x:v>
      </x:c>
      <x:c r="V45" s="10" t="str">
        <x:f>IF(D45="否","不适用",IF(D45&lt;&gt;"是","未纳入本批",IF(OR(LEN(TRIM('本批提测'!$B$10))=0,LEN(TRIM('本批提测'!$B$11))=0,'本批提测'!$B$12&lt;&gt;"已确认",F45&lt;&gt;"已确认",'本批提测'!$H$52&lt;&gt;"已确认",AND('本批提测'!$H$40&lt;&gt;"已确认",'本批提测'!$H$40&lt;&gt;"已记录后置")),"待确认","已确认")))</x:f>
        <x:v>未纳入本批</x:v>
      </x:c>
      <x:c r="W45" s="10" t="str">
        <x:v>保留／按批次选取</x:v>
      </x:c>
      <x:c r="X45" s="10" t="str">
        <x:v>设计复核后保留；关联DEC13、DEC01确认后方可执行判定。</x:v>
      </x:c>
      <x:c r="Y45" s="187"/>
      <x:c r="Z45" s="187" t="str">
        <x:v>功能专项，无直接Review映射</x:v>
      </x:c>
    </x:row>
    <x:row r="46" ht="157.5" customHeight="1">
      <x:c r="A46" s="10" t="str">
        <x:v>SM41</x:v>
      </x:c>
      <x:c r="B46" s="10" t="str">
        <x:v>成本价卡</x:v>
      </x:c>
      <x:c r="C46" s="10" t="str">
        <x:v>静态明细核心保存校验</x:v>
      </x:c>
      <x:c r="D46" s="85" t="str">
        <x:v>待选择</x:v>
      </x:c>
      <x:c r="E46" s="85" t="str">
        <x:v>是</x:v>
      </x:c>
      <x:c r="F46" s="85" t="str">
        <x:v>待确认</x:v>
      </x:c>
      <x:c r="G46" s="85" t="str">
        <x:v>未执行</x:v>
      </x:c>
      <x:c r="H46" s="85"/>
      <x:c r="I46" s="13" t="str">
        <x:f>IF(D46="否","不适用",IF(D46&lt;&gt;"是","未纳入本批",IF(AND(E46&lt;&gt;"是",E46&lt;&gt;"否"),"关键项待分类",IF(V46&lt;&gt;"已确认","依据待确认",IF('本批提测'!$B$6&lt;&gt;"已就绪","批次未就绪",IF(OR(H46&lt;&gt;'本批提测'!$B$8,G46="",G46="未执行"),"未执行",IF(R46&lt;&gt;'本批提测'!$B$18,"基线已变，需复测",IF(LEN(TRIM(Q46))=0,"交付未映射",IF(AND(OR(G46="通过",G46="失败"),LEN(TRIM(M46))=0),"缺少证据",IF(AND(OR(G46="通过",G46="失败"),LEN(TRIM(O46))=0),"缺少执行人",IF(OR(G46="通过",G46="失败",G46="受阻",G46="依据待确认"),G46,"结果待填写")))))))))))</x:f>
        <x:v>未纳入本批</x:v>
      </x:c>
      <x:c r="J46" s="10" t="str">
        <x:v>前置：完整静态卡；价格／区间边界0、-0.01、非数；起终点相等／逆序；无行／1有效行；首续重成组与缺配；均摊／普通行混合。
操作：每次只改变一个字段提交；复制一行构造同费用、起终点分区、条件下真实重叠；调整为不重叠后保存启用；删最后有效行。</x:v>
      </x:c>
      <x:c r="K46" s="10" t="str">
        <x:v>价格及要素边界≥0，终点严格大于起点；必填／非数拦截并定位。保存／启用需≥1有效明细；同费用、起终点分区及适用条件的区间不重叠，不能仅因数字区间相同就忽略分区／条件分组。首续重成组；均摊要素条件必填，无任何均摊时整列隐藏。相邻端点与静态步长非法值口径DEC19；动态无行例外DEC12。</x:v>
      </x:c>
      <x:c r="L46" s="10" t="str">
        <x:v>REQ §6.3 价卡明细／保存校验；区间开闭端点见 DEC19</x:v>
      </x:c>
      <x:c r="M46" s="86"/>
      <x:c r="N46" s="86"/>
      <x:c r="O46" s="86"/>
      <x:c r="P46" s="10" t="str">
        <x:v>专项回归</x:v>
      </x:c>
      <x:c r="Q46" s="86"/>
      <x:c r="R46" s="86"/>
      <x:c r="S46" s="10" t="str">
        <x:v>正文＋待决策</x:v>
      </x:c>
      <x:c r="T46" s="10" t="str">
        <x:v>静态明细采用单因素非法组与有效组，覆盖价格／区间／首续重／均摊等保存约束；复杂组合放回归。 本轮边界复核以J/K列新增分支执行，单一变量逐项对照合法／临界／非法；关联待决事项未确认不计通过。</x:v>
      </x:c>
      <x:c r="U46" s="10" t="str">
        <x:v>0与负价、起止相等／倒置、重叠／不重叠、缺续重、无明细分别测试；其他字段合法。区间等端点与舍入待DEC19。</x:v>
      </x:c>
      <x:c r="V46" s="10" t="str">
        <x:f>IF(D46="否","不适用",IF(D46&lt;&gt;"是","未纳入本批",IF(OR(LEN(TRIM('本批提测'!$B$10))=0,LEN(TRIM('本批提测'!$B$11))=0,'本批提测'!$B$12&lt;&gt;"已确认",F46&lt;&gt;"已确认",'本批提测'!$H$58&lt;&gt;"已确认",AND('本批提测'!$H$40&lt;&gt;"已确认",'本批提测'!$H$40&lt;&gt;"已记录后置")),"待确认","已确认")))</x:f>
        <x:v>未纳入本批</x:v>
      </x:c>
      <x:c r="W46" s="10" t="str">
        <x:v>保留／按批次选取</x:v>
      </x:c>
      <x:c r="X46" s="10" t="str">
        <x:v>设计复核后保留；关联DEC19、DEC01确认后方可执行判定。</x:v>
      </x:c>
      <x:c r="Y46" s="187"/>
      <x:c r="Z46" s="187" t="str">
        <x:v>功能专项，无直接Review映射</x:v>
      </x:c>
    </x:row>
    <x:row r="47" ht="75" customHeight="1">
      <x:c r="A47" s="10" t="str">
        <x:v>SM42</x:v>
      </x:c>
      <x:c r="B47" s="10" t="str">
        <x:v>成本价卡</x:v>
      </x:c>
      <x:c r="C47" s="10" t="str">
        <x:v>动态调用分支承载与校验</x:v>
      </x:c>
      <x:c r="D47" s="85" t="str">
        <x:v>待选择</x:v>
      </x:c>
      <x:c r="E47" s="85" t="str">
        <x:v>是</x:v>
      </x:c>
      <x:c r="F47" s="85" t="str">
        <x:v>待确认</x:v>
      </x:c>
      <x:c r="G47" s="85" t="str">
        <x:v>未执行</x:v>
      </x:c>
      <x:c r="H47" s="85"/>
      <x:c r="I47" s="13" t="str">
        <x:f>IF(D47="否","不适用",IF(D47&lt;&gt;"是","未纳入本批",IF(AND(E47&lt;&gt;"是",E47&lt;&gt;"否"),"关键项待分类",IF(V47&lt;&gt;"已确认","依据待确认",IF('本批提测'!$B$6&lt;&gt;"已就绪","批次未就绪",IF(OR(H47&lt;&gt;'本批提测'!$B$8,G47="",G47="未执行"),"未执行",IF(R47&lt;&gt;'本批提测'!$B$18,"基线已变，需复测",IF(LEN(TRIM(Q47))=0,"交付未映射",IF(AND(OR(G47="通过",G47="失败"),LEN(TRIM(M47))=0),"缺少证据",IF(AND(OR(G47="通过",G47="失败"),LEN(TRIM(O47))=0),"缺少执行人",IF(OR(G47="通过",G47="失败",G47="受阻",G47="依据待确认"),G47,"结果待填写")))))))))))</x:f>
        <x:v>未纳入本批</x:v>
      </x:c>
      <x:c r="J47" s="10" t="str">
        <x:v>前置：本批交付动态价卡；供应商API配置和运行失败策略须先确认。
操作：切换静态／动态，检查价格行与API区；提交没有价格行的动态卡。</x:v>
      </x:c>
      <x:c r="K47" s="10" t="str">
        <x:v>动态卡隐藏明细、显示API配置与说明；静态“至少1明细”是否对动态例外，须按 DEC12 决策；缺定义时记依据待确认。</x:v>
      </x:c>
      <x:c r="L47" s="10" t="str">
        <x:v>REQ §6.3 动态调用说明与统一保存校验存在分支缺口；不调用未授权供应商API</x:v>
      </x:c>
      <x:c r="M47" s="86"/>
      <x:c r="N47" s="86"/>
      <x:c r="O47" s="86"/>
      <x:c r="P47" s="10" t="str">
        <x:v>专项回归</x:v>
      </x:c>
      <x:c r="Q47" s="86"/>
      <x:c r="R47" s="86"/>
      <x:c r="S47" s="10" t="str">
        <x:v>正文＋待决策</x:v>
      </x:c>
      <x:c r="T47" s="10" t="str">
        <x:v>静态和动态是互斥分支；分别核对承载与保存校验，避免静态至少一明细误用于无预置行的动态卡。</x:v>
      </x:c>
      <x:c r="U47" s="10" t="str">
        <x:v>动态无价格行但有批准API配置，与有效静态卡对照；冲突DEC12未决时不判缺陷。API失败策略和测试调用须本批明确。</x:v>
      </x:c>
      <x:c r="V47" s="10" t="str">
        <x:f>IF(D47="否","不适用",IF(D47&lt;&gt;"是","未纳入本批",IF(OR(LEN(TRIM('本批提测'!$B$10))=0,LEN(TRIM('本批提测'!$B$11))=0,'本批提测'!$B$12&lt;&gt;"已确认",F47&lt;&gt;"已确认",'本批提测'!$H$51&lt;&gt;"已确认",AND('本批提测'!$H$40&lt;&gt;"已确认",'本批提测'!$H$40&lt;&gt;"已记录后置")),"待确认","已确认")))</x:f>
        <x:v>未纳入本批</x:v>
      </x:c>
      <x:c r="W47" s="10" t="str">
        <x:v>保留／按批次选取</x:v>
      </x:c>
      <x:c r="X47" s="10" t="str">
        <x:v>设计复核后保留；关联DEC12、DEC01确认后方可执行判定。</x:v>
      </x:c>
      <x:c r="Y47" s="187"/>
      <x:c r="Z47" s="187" t="str">
        <x:v>功能专项，无直接Review映射</x:v>
      </x:c>
    </x:row>
    <x:row r="48" ht="196.5" customHeight="1">
      <x:c r="A48" s="10" t="str">
        <x:v>SM43</x:v>
      </x:c>
      <x:c r="B48" s="10" t="str">
        <x:v>Zone</x:v>
      </x:c>
      <x:c r="C48" s="10" t="str">
        <x:v>地点引用、版本与启用命中</x:v>
      </x:c>
      <x:c r="D48" s="85" t="str">
        <x:v>待选择</x:v>
      </x:c>
      <x:c r="E48" s="85" t="str">
        <x:v>是</x:v>
      </x:c>
      <x:c r="F48" s="85" t="str">
        <x:v>待确认</x:v>
      </x:c>
      <x:c r="G48" s="85" t="str">
        <x:v>未执行</x:v>
      </x:c>
      <x:c r="H48" s="85"/>
      <x:c r="I48" s="13" t="str">
        <x:f>IF(D48="否","不适用",IF(D48&lt;&gt;"是","未纳入本批",IF(AND(E48&lt;&gt;"是",E48&lt;&gt;"否"),"关键项待分类",IF(V48&lt;&gt;"已确认","依据待确认",IF('本批提测'!$B$6&lt;&gt;"已就绪","批次未就绪",IF(OR(H48&lt;&gt;'本批提测'!$B$8,G48="",G48="未执行"),"未执行",IF(R48&lt;&gt;'本批提测'!$B$18,"基线已变，需复测",IF(LEN(TRIM(Q48))=0,"交付未映射",IF(AND(OR(G48="通过",G48="失败"),LEN(TRIM(M48))=0),"缺少证据",IF(AND(OR(G48="通过",G48="失败"),LEN(TRIM(O48))=0),"缺少执行人",IF(OR(G48="通过",G48="失败",G48="受阻",G48="依据待确认"),G48,"结果待填写")))))))))))</x:f>
        <x:v>未纳入本批</x:v>
      </x:c>
      <x:c r="J48" s="10" t="str">
        <x:v>当前入口：航线区域与Zone→Zone，group=routing&amp;resource=reference_zone。主记录编辑核编码只读、名称/服务商范围/方案编码/状态、备注；查看详情分别核基本信息与成员列表（类型/对象/包含关系/展示名称）。DEC29确认国家范围维护入口、成员新增/编辑字段、默认状态、版本递增与历史，DEC28确认邮编引用映射后，再执行原合同分支；成本价卡返回仅在该来源入口交付时纳入。
原需求验收分支（按映射后入口执行）：
前置：准备地点邮编、包含／排除国家、启用／待生效Zone。
操作：创建、编辑、启停Zone并进入价卡范围选择；更新地点邮编读回。
分别缺编码／名／方案／国家及重复码／名；新建默认待生效；检查详情更新人、时间、备注和返回成本卡。</x:v>
      </x:c>
      <x:c r="K48" s="10" t="str">
        <x:v>当前主记录与成员关系核对分开；成员对象ID、显示名称及关联对象一致。本轮只看到版本列，未证明递增/历史；未核成员编辑表单，不能编造字段。批准模型须保留原国家范围/包含排除/启用命中与历史要求，不能以现有表单自动覆盖需求。
原需求预期（仍须保留）：
编码、名称、方案、国家范围必填且编码／名称不重复；同国家不能同时包含排除；V1后递增；仅启用参与命中；邮编引用地点，不在Zone重复维护。
默认待生效；启停直接切状态；详情字段及更新人／更新时间随编辑正确，详情可进入当前编辑，返回成本价卡正确。Zone范围维护不改费用重量区间或价格；国家ISO2／ISO3搜索、多选和启停逐项留证。</x:v>
      </x:c>
      <x:c r="L48" s="10" t="str">
        <x:v>REQ §6.3 Zone维护
网站只读对照 WEB10，2026-10-12；具体URL及未验证范围见「网站详情对照」。当前实现不替代批准需求。</x:v>
      </x:c>
      <x:c r="M48" s="86"/>
      <x:c r="N48" s="86"/>
      <x:c r="O48" s="86"/>
      <x:c r="P48" s="10" t="str">
        <x:v>专项回归</x:v>
      </x:c>
      <x:c r="Q48" s="86"/>
      <x:c r="R48" s="86"/>
      <x:c r="S48" s="10" t="str">
        <x:v>需求正文</x:v>
      </x:c>
      <x:c r="T48" s="10" t="str">
        <x:v>分区依赖地点和邮编；以维护→当前版本引用→启用匹配链验证，不只检查分区表单成功。 本轮边界复核以J/K列新增分支执行，单一变量逐项对照合法／临界／非法；关联待决事项未确认不计通过。</x:v>
      </x:c>
      <x:c r="U48" s="10" t="str">
        <x:v>准备精确／前缀／区间邮编、地点版本和启停；核对去重、当前版本引用及匹配。未定邮编匹配边界另确认，DEC19仅关联已有计费／时间端点。
增加网站证据：记录group/resource、对象名称、主/子列表作用域及字段回显；写入/权限/持久化另取本批执行证据。</x:v>
      </x:c>
      <x:c r="V48" s="10" t="str">
        <x:f>IF(D48="否","不适用",IF(D48&lt;&gt;"是","未纳入本批",IF(OR(LEN(TRIM('本批提测'!$B$10))=0,LEN(TRIM('本批提测'!$B$11))=0,'本批提测'!$B$12&lt;&gt;"已确认",F48&lt;&gt;"已确认",'本批提测'!$H$48&lt;&gt;"已确认",AND('本批提测'!$H$40&lt;&gt;"已确认",'本批提测'!$H$40&lt;&gt;"已记录后置"),'本批提测'!$H$159&lt;&gt;"已确认"),"待确认","已确认")))</x:f>
        <x:v>未纳入本批</x:v>
      </x:c>
      <x:c r="W48" s="10" t="str">
        <x:v>网站对照修订</x:v>
      </x:c>
      <x:c r="X48" s="10" t="str">
        <x:v>补真实Zone主/成员路径；版本、国家范围和返回成本卡按批准映射。</x:v>
      </x:c>
      <x:c r="Y48" s="187"/>
      <x:c r="Z48" s="187" t="str">
        <x:v>功能专项，无直接Review映射</x:v>
      </x:c>
    </x:row>
    <x:row r="49" ht="157.5" customHeight="1">
      <x:c r="A49" s="10" t="str">
        <x:v>SM44</x:v>
      </x:c>
      <x:c r="B49" s="10" t="str">
        <x:v>燃油规则</x:v>
      </x:c>
      <x:c r="C49" s="10" t="str">
        <x:v>两类基数、优先级与区间</x:v>
      </x:c>
      <x:c r="D49" s="85" t="str">
        <x:v>待选择</x:v>
      </x:c>
      <x:c r="E49" s="85" t="str">
        <x:v>是</x:v>
      </x:c>
      <x:c r="F49" s="85" t="str">
        <x:v>待确认</x:v>
      </x:c>
      <x:c r="G49" s="85" t="str">
        <x:v>未执行</x:v>
      </x:c>
      <x:c r="H49" s="85"/>
      <x:c r="I49" s="13" t="str">
        <x:f>IF(D49="否","不适用",IF(D49&lt;&gt;"是","未纳入本批",IF(AND(E49&lt;&gt;"是",E49&lt;&gt;"否"),"关键项待分类",IF(V49&lt;&gt;"已确认","依据待确认",IF('本批提测'!$B$6&lt;&gt;"已就绪","批次未就绪",IF(OR(H49&lt;&gt;'本批提测'!$B$8,G49="",G49="未执行"),"未执行",IF(R49&lt;&gt;'本批提测'!$B$18,"基线已变，需复测",IF(LEN(TRIM(Q49))=0,"交付未映射",IF(AND(OR(G49="通过",G49="失败"),LEN(TRIM(M49))=0),"缺少证据",IF(AND(OR(G49="通过",G49="失败"),LEN(TRIM(O49))=0),"缺少执行人",IF(OR(G49="通过",G49="失败",G49="受阻",G49="依据待确认"),G49,"结果待填写")))))))))))</x:f>
        <x:v>未纳入本批</x:v>
      </x:c>
      <x:c r="J49" s="10" t="str">
        <x:v>前置：运费100、需要另计燃油的附加费20；两类比例10%／5%；同对象全局、供应商、渠道规则均启用且在报价时点有效，准备已含／不参与燃油行作对照。
操作：核算两类金额；依次停用渠道、供应商规则验证回退；同层准备不重叠版本并切报价时间；同基数、范围、对象提交重叠生效期；按SM53再测完全未命中。</x:v>
      </x:c>
      <x:c r="K49" s="10" t="str">
        <x:v>运费燃油10、附加费燃油1，总燃油11；已含／不参与的行不进入另计基数。渠道＞供应商＞全局；同层可用规则按报价时间内最新开始时间选取。停用或不在生效期内的规则不候选；同基数、范围、对象的有效期重叠拦截。完全未命中燃油按0并提示且不阻断，与缺成本卡中止分开。</x:v>
      </x:c>
      <x:c r="L49" s="10" t="str">
        <x:v>REQ §6.3 燃油计算及命中；100/20为根据文档公式设计的测试数据</x:v>
      </x:c>
      <x:c r="M49" s="86"/>
      <x:c r="N49" s="86"/>
      <x:c r="O49" s="86"/>
      <x:c r="P49" s="10" t="str">
        <x:v>专项回归</x:v>
      </x:c>
      <x:c r="Q49" s="86"/>
      <x:c r="R49" s="86"/>
      <x:c r="S49" s="10" t="str">
        <x:v>需求正文</x:v>
      </x:c>
      <x:c r="T49" s="10" t="str">
        <x:v>燃油按运费／附加费两类基数分开核算，并对渠道＞供应商＞全局和同级最新开始时间作决策表。</x:v>
      </x:c>
      <x:c r="U49" s="10" t="str">
        <x:v>两类已批准基数100/20、比例10%/5%，燃油应10/1合计11；逐次停高层级检查回退，停用／有效期外不候选，完全未命中0并提示继续。保留命中规则ID／版本及报价时点。</x:v>
      </x:c>
      <x:c r="V49" s="10" t="str">
        <x:f>IF(D49="否","不适用",IF(D49&lt;&gt;"是","未纳入本批",IF(OR(LEN(TRIM('本批提测'!$B$10))=0,LEN(TRIM('本批提测'!$B$11))=0,'本批提测'!$B$12&lt;&gt;"已确认",F49&lt;&gt;"已确认"),"待确认","已确认")))</x:f>
        <x:v>未纳入本批</x:v>
      </x:c>
      <x:c r="W49" s="10" t="str">
        <x:v>保留／按批次选取</x:v>
      </x:c>
      <x:c r="X49" s="10" t="str">
        <x:v>设计复核后保留；按交付范围及批准现行基线执行。</x:v>
      </x:c>
      <x:c r="Y49" s="187"/>
      <x:c r="Z49" s="187" t="str">
        <x:v>功能专项，无直接Review映射</x:v>
      </x:c>
    </x:row>
    <x:row r="50" ht="63" customHeight="1">
      <x:c r="A50" s="10" t="str">
        <x:v>SM45</x:v>
      </x:c>
      <x:c r="B50" s="10" t="str">
        <x:v>燃油规则</x:v>
      </x:c>
      <x:c r="C50" s="10" t="str">
        <x:v>动态失败与删除状态保护</x:v>
      </x:c>
      <x:c r="D50" s="85" t="str">
        <x:v>待选择</x:v>
      </x:c>
      <x:c r="E50" s="85" t="str">
        <x:v>是</x:v>
      </x:c>
      <x:c r="F50" s="85" t="str">
        <x:v>待确认</x:v>
      </x:c>
      <x:c r="G50" s="85" t="str">
        <x:v>未执行</x:v>
      </x:c>
      <x:c r="H50" s="85"/>
      <x:c r="I50" s="13" t="str">
        <x:f>IF(D50="否","不适用",IF(D50&lt;&gt;"是","未纳入本批",IF(AND(E50&lt;&gt;"是",E50&lt;&gt;"否"),"关键项待分类",IF(V50&lt;&gt;"已确认","依据待确认",IF('本批提测'!$B$6&lt;&gt;"已就绪","批次未就绪",IF(OR(H50&lt;&gt;'本批提测'!$B$8,G50="",G50="未执行"),"未执行",IF(R50&lt;&gt;'本批提测'!$B$18,"基线已变，需复测",IF(LEN(TRIM(Q50))=0,"交付未映射",IF(AND(OR(G50="通过",G50="失败"),LEN(TRIM(M50))=0),"缺少证据",IF(AND(OR(G50="通过",G50="失败"),LEN(TRIM(O50))=0),"缺少执行人",IF(OR(G50="通过",G50="失败",G50="受阻",G50="依据待确认"),G50,"结果待填写")))))))))))</x:f>
        <x:v>未纳入本批</x:v>
      </x:c>
      <x:c r="J50" s="10" t="str">
        <x:v>前置：准备已有有效比例的动态规则和启用／停用规则。
操作：模拟抓取失败，再尝试删除启用规则、停用并删除规则。</x:v>
      </x:c>
      <x:c r="K50" s="10" t="str">
        <x:v>动态失败保留上一有效比例并提示人工；只有停用规则可删；停用、删除二次确认；历史快照保留；混合批量删除跳过非法项。</x:v>
      </x:c>
      <x:c r="L50" s="10" t="str">
        <x:v>REQ §6.3 燃油状态／操作逻辑；失败可用受控桩，不擅自发外部调用</x:v>
      </x:c>
      <x:c r="M50" s="86"/>
      <x:c r="N50" s="86"/>
      <x:c r="O50" s="86"/>
      <x:c r="P50" s="10" t="str">
        <x:v>专项回归</x:v>
      </x:c>
      <x:c r="Q50" s="86"/>
      <x:c r="R50" s="86"/>
      <x:c r="S50" s="10" t="str">
        <x:v>需求正文</x:v>
      </x:c>
      <x:c r="T50" s="10" t="str">
        <x:v>动态抓取失败、停用、删除是不同迁移；失败保留上一有效规则与历史保留分别验证。</x:v>
      </x:c>
      <x:c r="U50" s="10" t="str">
        <x:v>使用批准的可控失败回传及旧有效比例，核对未自动覆盖；启用／停用规则分别尝试删除。取消确认、删除后旧快照均需对照。</x:v>
      </x:c>
      <x:c r="V50" s="10" t="str">
        <x:f>IF(D50="否","不适用",IF(D50&lt;&gt;"是","未纳入本批",IF(OR(LEN(TRIM('本批提测'!$B$10))=0,LEN(TRIM('本批提测'!$B$11))=0,'本批提测'!$B$12&lt;&gt;"已确认",F50&lt;&gt;"已确认"),"待确认","已确认")))</x:f>
        <x:v>未纳入本批</x:v>
      </x:c>
      <x:c r="W50" s="10" t="str">
        <x:v>保留／按批次选取</x:v>
      </x:c>
      <x:c r="X50" s="10" t="str">
        <x:v>设计复核后保留；按交付范围及批准现行基线执行。</x:v>
      </x:c>
      <x:c r="Y50" s="187"/>
      <x:c r="Z50" s="187" t="str">
        <x:v>功能专项，无直接Review映射</x:v>
      </x:c>
    </x:row>
    <x:row r="51" ht="63" customHeight="1">
      <x:c r="A51" s="10" t="str">
        <x:v>SM46</x:v>
      </x:c>
      <x:c r="B51" s="10" t="str">
        <x:v>产品编排</x:v>
      </x:c>
      <x:c r="C51" s="10" t="str">
        <x:v>范围占位和画布双向同步</x:v>
      </x:c>
      <x:c r="D51" s="85" t="str">
        <x:v>待选择</x:v>
      </x:c>
      <x:c r="E51" s="85" t="str">
        <x:v>是</x:v>
      </x:c>
      <x:c r="F51" s="85" t="str">
        <x:v>待确认</x:v>
      </x:c>
      <x:c r="G51" s="85" t="str">
        <x:v>未执行</x:v>
      </x:c>
      <x:c r="H51" s="85"/>
      <x:c r="I51" s="13" t="str">
        <x:f>IF(D51="否","不适用",IF(D51&lt;&gt;"是","未纳入本批",IF(AND(E51&lt;&gt;"是",E51&lt;&gt;"否"),"关键项待分类",IF(V51&lt;&gt;"已确认","依据待确认",IF('本批提测'!$B$6&lt;&gt;"已就绪","批次未就绪",IF(OR(H51&lt;&gt;'本批提测'!$B$8,G51="",G51="未执行"),"未执行",IF(R51&lt;&gt;'本批提测'!$B$18,"基线已变，需复测",IF(LEN(TRIM(Q51))=0,"交付未映射",IF(AND(OR(G51="通过",G51="失败"),LEN(TRIM(M51))=0),"缺少证据",IF(AND(OR(G51="通过",G51="失败"),LEN(TRIM(O51))=0),"缺少执行人",IF(OR(G51="通过",G51="失败",G51="受阻",G51="依据待确认"),G51,"结果待填写")))))))))))</x:f>
        <x:v>未纳入本批</x:v>
      </x:c>
      <x:c r="J51" s="10" t="str">
        <x:v>前置：准备覆盖A/F的有效单元或组合及停用候选。
操作：各范围选择1对象，移除画布节点，拖动排序；取消和确认清空。</x:v>
      </x:c>
      <x:c r="K51" s="10" t="str">
        <x:v>每范围仅1占位；候选覆盖相应范围且非停用；选择和移除双向同步；顺序／数量正确；清空需确认，取消不清空。</x:v>
      </x:c>
      <x:c r="L51" s="10" t="str">
        <x:v>REQ §6.4 编排阶段1／2；不把待生效候选一概排除</x:v>
      </x:c>
      <x:c r="M51" s="86"/>
      <x:c r="N51" s="86"/>
      <x:c r="O51" s="86"/>
      <x:c r="P51" s="10" t="str">
        <x:v>冒烟</x:v>
      </x:c>
      <x:c r="Q51" s="86"/>
      <x:c r="R51" s="86"/>
      <x:c r="S51" s="10" t="str">
        <x:v>需求正文</x:v>
      </x:c>
      <x:c r="T51" s="10" t="str">
        <x:v>范围选择卡和画布是同一编排的两种表现；双向操作验证同步、唯一占位和清空确认分支。</x:v>
      </x:c>
      <x:c r="U51" s="10" t="str">
        <x:v>在实际A—F范围选择／移除／拖拽，核对范围数量及顺序；清空先取消再确认。候选按状态≠停用，不把待生效全部排除。</x:v>
      </x:c>
      <x:c r="V51" s="10" t="str">
        <x:f>IF(D51="否","不适用",IF(D51&lt;&gt;"是","未纳入本批",IF(OR(LEN(TRIM('本批提测'!$B$10))=0,LEN(TRIM('本批提测'!$B$11))=0,'本批提测'!$B$12&lt;&gt;"已确认",F51&lt;&gt;"已确认"),"待确认","已确认")))</x:f>
        <x:v>未纳入本批</x:v>
      </x:c>
      <x:c r="W51" s="10" t="str">
        <x:v>保留／按批次选取</x:v>
      </x:c>
      <x:c r="X51" s="10" t="str">
        <x:v>设计复核后保留；按交付范围及批准现行基线执行。</x:v>
      </x:c>
      <x:c r="Y51" s="187"/>
      <x:c r="Z51" s="187" t="str">
        <x:v>功能专项，无直接Review映射</x:v>
      </x:c>
    </x:row>
    <x:row r="52" ht="157.5" customHeight="1">
      <x:c r="A52" s="10" t="str">
        <x:v>SM47</x:v>
      </x:c>
      <x:c r="B52" s="10" t="str">
        <x:v>产品编排</x:v>
      </x:c>
      <x:c r="C52" s="10" t="str">
        <x:v>默认与非默认业务价卡</x:v>
      </x:c>
      <x:c r="D52" s="85" t="str">
        <x:v>待选择</x:v>
      </x:c>
      <x:c r="E52" s="85" t="str">
        <x:v>是</x:v>
      </x:c>
      <x:c r="F52" s="85" t="str">
        <x:v>待确认</x:v>
      </x:c>
      <x:c r="G52" s="85" t="str">
        <x:v>未执行</x:v>
      </x:c>
      <x:c r="H52" s="85"/>
      <x:c r="I52" s="13" t="str">
        <x:f>IF(D52="否","不适用",IF(D52&lt;&gt;"是","未纳入本批",IF(AND(E52&lt;&gt;"是",E52&lt;&gt;"否"),"关键项待分类",IF(V52&lt;&gt;"已确认","依据待确认",IF('本批提测'!$B$6&lt;&gt;"已就绪","批次未就绪",IF(OR(H52&lt;&gt;'本批提测'!$B$8,G52="",G52="未执行"),"未执行",IF(R52&lt;&gt;'本批提测'!$B$18,"基线已变，需复测",IF(LEN(TRIM(Q52))=0,"交付未映射",IF(AND(OR(G52="通过",G52="失败"),LEN(TRIM(M52))=0),"缺少证据",IF(AND(OR(G52="通过",G52="失败"),LEN(TRIM(O52))=0),"缺少执行人",IF(OR(G52="通过",G52="失败",G52="受阻",G52="依据待确认"),G52,"结果待填写")))))))))))</x:f>
        <x:v>未纳入本批</x:v>
      </x:c>
      <x:c r="J52" s="10" t="str">
        <x:v>前置：准备默认卡及两个非默认卡、过期与未过期卡。
操作：切换页签编辑；新增、复制、恢复来源；尝试删默认／未过期／过期非默认卡。
可控时间T：对非默认卡结束时间T−ε、T、T+ε分别删；有效时间精度决定ε。删除确认中取消一次。</x:v>
      </x:c>
      <x:c r="K52" s="10" t="str">
        <x:v>默认全时生效不可删；新增带初始明细，复制名称附副本且清时间；非默认起止必填、结束晚于开始、同产品非默认卡不重叠；只删过期非默认且确认，删除回默认；逐卡校验定位失败卡。
删除需当前时间严格晚于结束时间：T−ε可进入确认；等于T及T+ε均不能删；取消不删，确认后回默认卡。未填结束时间不能视作已过期。默认卡始终不可删，不因日期变化开放删除。</x:v>
      </x:c>
      <x:c r="L52" s="10" t="str">
        <x:v>REQ §6.4 产品业务成本价卡；默认卡与非默认覆盖例外须 DEC19 明确</x:v>
      </x:c>
      <x:c r="M52" s="86"/>
      <x:c r="N52" s="86"/>
      <x:c r="O52" s="86"/>
      <x:c r="P52" s="10" t="str">
        <x:v>专项回归</x:v>
      </x:c>
      <x:c r="Q52" s="86"/>
      <x:c r="R52" s="86"/>
      <x:c r="S52" s="10" t="str">
        <x:v>正文＋待决策</x:v>
      </x:c>
      <x:c r="T52" s="10" t="str">
        <x:v>默认卡与非默认卡规则不同；用新增／复制／恢复／删除及日期组合检验例外和逐卡校验。 本轮边界复核以J/K列新增分支执行，单一变量逐项对照合法／临界／非法；关联待决事项未确认不计通过。</x:v>
      </x:c>
      <x:c r="U52" s="10" t="str">
        <x:v>默认全时卡、过期／未过期非默认卡、相等／倒置／重叠时间；核对复制清时间和失败定位。默认覆盖例外及端点按DEC19。</x:v>
      </x:c>
      <x:c r="V52" s="10" t="str">
        <x:f>IF(D52="否","不适用",IF(D52&lt;&gt;"是","未纳入本批",IF(OR(LEN(TRIM('本批提测'!$B$10))=0,LEN(TRIM('本批提测'!$B$11))=0,'本批提测'!$B$12&lt;&gt;"已确认",F52&lt;&gt;"已确认",'本批提测'!$H$58&lt;&gt;"已确认",AND('本批提测'!$H$40&lt;&gt;"已确认",'本批提测'!$H$40&lt;&gt;"已记录后置")),"待确认","已确认")))</x:f>
        <x:v>未纳入本批</x:v>
      </x:c>
      <x:c r="W52" s="10" t="str">
        <x:v>保留／按批次选取</x:v>
      </x:c>
      <x:c r="X52" s="10" t="str">
        <x:v>设计复核后保留；关联DEC19、DEC01确认后方可执行判定。</x:v>
      </x:c>
      <x:c r="Y52" s="187"/>
      <x:c r="Z52" s="187" t="str">
        <x:v>功能专项，无直接Review映射</x:v>
      </x:c>
    </x:row>
    <x:row r="53" ht="157.5" customHeight="1">
      <x:c r="A53" s="10" t="str">
        <x:v>SM48</x:v>
      </x:c>
      <x:c r="B53" s="10" t="str">
        <x:v>产品编排</x:v>
      </x:c>
      <x:c r="C53" s="10" t="str">
        <x:v>产品业务改价与来源隔离</x:v>
      </x:c>
      <x:c r="D53" s="85" t="str">
        <x:v>待选择</x:v>
      </x:c>
      <x:c r="E53" s="85" t="str">
        <x:v>是</x:v>
      </x:c>
      <x:c r="F53" s="85" t="str">
        <x:v>待确认</x:v>
      </x:c>
      <x:c r="G53" s="85" t="str">
        <x:v>未执行</x:v>
      </x:c>
      <x:c r="H53" s="85"/>
      <x:c r="I53" s="13" t="str">
        <x:f>IF(D53="否","不适用",IF(D53&lt;&gt;"是","未纳入本批",IF(AND(E53&lt;&gt;"是",E53&lt;&gt;"否"),"关键项待分类",IF(V53&lt;&gt;"已确认","依据待确认",IF('本批提测'!$B$6&lt;&gt;"已就绪","批次未就绪",IF(OR(H53&lt;&gt;'本批提测'!$B$8,G53="",G53="未执行"),"未执行",IF(R53&lt;&gt;'本批提测'!$B$18,"基线已变，需复测",IF(LEN(TRIM(Q53))=0,"交付未映射",IF(AND(OR(G53="通过",G53="失败"),LEN(TRIM(M53))=0),"缺少证据",IF(AND(OR(G53="通过",G53="失败"),LEN(TRIM(O53))=0),"缺少执行人",IF(OR(G53="通过",G53="失败",G53="受阻",G53="依据待确认"),G53,"结果待填写")))))))))))</x:f>
        <x:v>未纳入本批</x:v>
      </x:c>
      <x:c r="J53" s="10" t="str">
        <x:v>前置：准备源单元价卡和已编排产品，记录来源原价。
操作：编辑产品费用或矩阵价格、保存版本，读回源价卡并恢复来源。
矩阵分别准备主报价标记／未标记、相邻／间隔／重叠区间，比较生成与改单行为；未批准相邻口径的分支记依据待确认。</x:v>
      </x:c>
      <x:c r="K53" s="10" t="str">
        <x:v>矩阵和明细同步；改价仅随产品版本记录，不回写服务单元成本价卡，不生成销售价版本；恢复来源区分新增来源与复制来源。
矩阵限定主报价且符合批准相邻口径的费用行，不把所有明细无条件拼接；矩阵改单回写对应费用行，其他行不变。相邻字段、间隔／重叠处理评论未决，纳入DEC19批准基线后验收，不能直接要求合并或报错。</x:v>
      </x:c>
      <x:c r="L53" s="10" t="str">
        <x:v>REQ §6.4 费用明细／恢复来源；试算是否取产品改价存在表述缺口，见 DEC19</x:v>
      </x:c>
      <x:c r="M53" s="86"/>
      <x:c r="N53" s="86"/>
      <x:c r="O53" s="86"/>
      <x:c r="P53" s="10" t="str">
        <x:v>专项回归</x:v>
      </x:c>
      <x:c r="Q53" s="86"/>
      <x:c r="R53" s="86"/>
      <x:c r="S53" s="10" t="str">
        <x:v>正文＋待决策</x:v>
      </x:c>
      <x:c r="T53" s="10" t="str">
        <x:v>产品改价与单元源卡隔离是跨实体不变式；矩阵和明细双向一致，恢复来源按创建方式区分。 本轮边界复核以J/K列新增分支执行，单一变量逐项对照合法／临界／非法；关联待决事项未确认不计通过。</x:v>
      </x:c>
      <x:c r="U53" s="10" t="str">
        <x:v>记录源价卡及产品V1，改产品费用／矩阵后读回两端；核对仅产品版本变化。试算取源卡还是产品改价先由DEC19确认。</x:v>
      </x:c>
      <x:c r="V53" s="10" t="str">
        <x:f>IF(D53="否","不适用",IF(D53&lt;&gt;"是","未纳入本批",IF(OR(LEN(TRIM('本批提测'!$B$10))=0,LEN(TRIM('本批提测'!$B$11))=0,'本批提测'!$B$12&lt;&gt;"已确认",F53&lt;&gt;"已确认",'本批提测'!$H$58&lt;&gt;"已确认",AND('本批提测'!$H$40&lt;&gt;"已确认",'本批提测'!$H$40&lt;&gt;"已记录后置")),"待确认","已确认")))</x:f>
        <x:v>未纳入本批</x:v>
      </x:c>
      <x:c r="W53" s="10" t="str">
        <x:v>保留／按批次选取</x:v>
      </x:c>
      <x:c r="X53" s="10" t="str">
        <x:v>设计复核后保留；关联DEC19、DEC01确认后方可执行判定。</x:v>
      </x:c>
      <x:c r="Y53" s="187"/>
      <x:c r="Z53" s="187" t="str">
        <x:v>功能专项，无直接Review映射</x:v>
      </x:c>
    </x:row>
    <x:row r="54" ht="63" customHeight="1">
      <x:c r="A54" s="10" t="str">
        <x:v>SM49</x:v>
      </x:c>
      <x:c r="B54" s="10" t="str">
        <x:v>产品库</x:v>
      </x:c>
      <x:c r="C54" s="10" t="str">
        <x:v>编码、业务版本与历史只读</x:v>
      </x:c>
      <x:c r="D54" s="85" t="str">
        <x:v>待选择</x:v>
      </x:c>
      <x:c r="E54" s="85" t="str">
        <x:v>是</x:v>
      </x:c>
      <x:c r="F54" s="85" t="str">
        <x:v>待确认</x:v>
      </x:c>
      <x:c r="G54" s="85" t="str">
        <x:v>未执行</x:v>
      </x:c>
      <x:c r="H54" s="85"/>
      <x:c r="I54" s="13" t="str">
        <x:f>IF(D54="否","不适用",IF(D54&lt;&gt;"是","未纳入本批",IF(AND(E54&lt;&gt;"是",E54&lt;&gt;"否"),"关键项待分类",IF(V54&lt;&gt;"已确认","依据待确认",IF('本批提测'!$B$6&lt;&gt;"已就绪","批次未就绪",IF(OR(H54&lt;&gt;'本批提测'!$B$8,G54="",G54="未执行"),"未执行",IF(R54&lt;&gt;'本批提测'!$B$18,"基线已变，需复测",IF(LEN(TRIM(Q54))=0,"交付未映射",IF(AND(OR(G54="通过",G54="失败"),LEN(TRIM(M54))=0),"缺少证据",IF(AND(OR(G54="通过",G54="失败"),LEN(TRIM(O54))=0),"缺少执行人",IF(OR(G54="通过",G54="失败",G54="受阻",G54="依据待确认"),G54,"结果待填写")))))))))))</x:f>
        <x:v>未纳入本批</x:v>
      </x:c>
      <x:c r="J54" s="10" t="str">
        <x:v>前置：准备已发布产品V1及历史订单。
操作：尝试改编码；实际改配置提交；无变化保存；再启停并查看历史。</x:v>
      </x:c>
      <x:c r="K54" s="10" t="str">
        <x:v>编码创建后不可变；首次保存V1，已发布改配置提交先归档再V2；无变化及单纯状态变化不增业务版本；列表仅当前、历史只读、旧订单快照不变。</x:v>
      </x:c>
      <x:c r="L54" s="10" t="str">
        <x:v>REQ §6.4 产品库／产品版本规则</x:v>
      </x:c>
      <x:c r="M54" s="86"/>
      <x:c r="N54" s="86"/>
      <x:c r="O54" s="86"/>
      <x:c r="P54" s="10" t="str">
        <x:v>专项回归</x:v>
      </x:c>
      <x:c r="Q54" s="86"/>
      <x:c r="R54" s="86"/>
      <x:c r="S54" s="10" t="str">
        <x:v>需求正文</x:v>
      </x:c>
      <x:c r="T54" s="10" t="str">
        <x:v>产品真实配置变化增版本，无变化／状态变化不增版本；旧订单与归档只读是独立保护检查。</x:v>
      </x:c>
      <x:c r="U54" s="10" t="str">
        <x:v>以V1产品及旧订单为基准，改配置提交得V2，再无变化保存／启停；记录当前指针、归档、编码只读及旧订单金额。</x:v>
      </x:c>
      <x:c r="V54" s="10" t="str">
        <x:f>IF(D54="否","不适用",IF(D54&lt;&gt;"是","未纳入本批",IF(OR(LEN(TRIM('本批提测'!$B$10))=0,LEN(TRIM('本批提测'!$B$11))=0,'本批提测'!$B$12&lt;&gt;"已确认",F54&lt;&gt;"已确认"),"待确认","已确认")))</x:f>
        <x:v>未纳入本批</x:v>
      </x:c>
      <x:c r="W54" s="10" t="str">
        <x:v>保留／按批次选取</x:v>
      </x:c>
      <x:c r="X54" s="10" t="str">
        <x:v>设计复核后保留；按交付范围及批准现行基线执行。</x:v>
      </x:c>
      <x:c r="Y54" s="187"/>
      <x:c r="Z54" s="187" t="str">
        <x:v>功能专项，无直接Review映射</x:v>
      </x:c>
    </x:row>
    <x:row r="55" ht="157.5" customHeight="1">
      <x:c r="A55" s="10" t="str">
        <x:v>SM50</x:v>
      </x:c>
      <x:c r="B55" s="10" t="str">
        <x:v>产品库</x:v>
      </x:c>
      <x:c r="C55" s="10" t="str">
        <x:v>停用、同状态批量与删除边界</x:v>
      </x:c>
      <x:c r="D55" s="85" t="str">
        <x:v>待选择</x:v>
      </x:c>
      <x:c r="E55" s="85" t="str">
        <x:v>是</x:v>
      </x:c>
      <x:c r="F55" s="85" t="str">
        <x:v>待确认</x:v>
      </x:c>
      <x:c r="G55" s="85" t="str">
        <x:v>未执行</x:v>
      </x:c>
      <x:c r="H55" s="85"/>
      <x:c r="I55" s="13" t="str">
        <x:f>IF(D55="否","不适用",IF(D55&lt;&gt;"是","未纳入本批",IF(AND(E55&lt;&gt;"是",E55&lt;&gt;"否"),"关键项待分类",IF(V55&lt;&gt;"已确认","依据待确认",IF('本批提测'!$B$6&lt;&gt;"已就绪","批次未就绪",IF(OR(H55&lt;&gt;'本批提测'!$B$8,G55="",G55="未执行"),"未执行",IF(R55&lt;&gt;'本批提测'!$B$18,"基线已变，需复测",IF(LEN(TRIM(Q55))=0,"交付未映射",IF(AND(OR(G55="通过",G55="失败"),LEN(TRIM(M55))=0),"缺少证据",IF(AND(OR(G55="通过",G55="失败"),LEN(TRIM(O55))=0),"缺少执行人",IF(OR(G55="通过",G55="失败",G55="受阻",G55="依据待确认"),G55,"结果待填写")))))))))))</x:f>
        <x:v>未纳入本批</x:v>
      </x:c>
      <x:c r="J55" s="10" t="str">
        <x:v>前置：准备保存态（DEC11批准名称）、已发布及已停用产品；删除口径按DEC16。
操作：逐状态核查编辑、历史版本、模拟入口；发布产品停用再恢复；同状态和混状态各选一次批量；已发布尝试删除。对各状态模拟入口进入后按SM51核查执行资格。</x:v>
      </x:c>
      <x:c r="K55" s="10" t="str">
        <x:v>正文要求所有状态可进入编辑、历史版本及模拟；已发布可停用，停用可恢复发布，已发布不能直接删，同次批量仅同状态。模拟入口存在不代表可执行计算：试算仅已发布且未停用。未发布／停用入口如何自动带入、提示或留空，正文两处组合交互尚需批准，不能以成功出成本验收。保存态按DEC11；草稿及停用删除按DEC16，已划线历史引用条件不作要求。</x:v>
      </x:c>
      <x:c r="L55" s="10" t="str">
        <x:v>REQ §6.4 产品库；“无计费历史引用时可删除”已划线删除</x:v>
      </x:c>
      <x:c r="M55" s="86"/>
      <x:c r="N55" s="86"/>
      <x:c r="O55" s="86"/>
      <x:c r="P55" s="10" t="str">
        <x:v>专项回归</x:v>
      </x:c>
      <x:c r="Q55" s="86"/>
      <x:c r="R55" s="86"/>
      <x:c r="S55" s="10" t="str">
        <x:v>正文＋待决策</x:v>
      </x:c>
      <x:c r="T55" s="10" t="str">
        <x:v>按保存态、发布态、停用态建立操作矩阵，将进入模拟页面与执行成本计算分开；混状态批量及发布态删除作反例，交互冲突单独批准。</x:v>
      </x:c>
      <x:c r="U55" s="10" t="str">
        <x:v>三状态逐查编辑／历史／模拟入口；停用再启用；同状态和混状态批量；只有已发布未停用可执行试算。保存态DEC11、删除DEC16，非可用状态入口自动带入交互先确认。</x:v>
      </x:c>
      <x:c r="V55" s="10" t="str">
        <x:f>IF(D55="否","不适用",IF(D55&lt;&gt;"是","未纳入本批",IF(OR(LEN(TRIM('本批提测'!$B$10))=0,LEN(TRIM('本批提测'!$B$11))=0,'本批提测'!$B$12&lt;&gt;"已确认",F55&lt;&gt;"已确认",'本批提测'!$H$50&lt;&gt;"已确认",'本批提测'!$H$55&lt;&gt;"已确认",AND('本批提测'!$H$40&lt;&gt;"已确认",'本批提测'!$H$40&lt;&gt;"已记录后置")),"待确认","已确认")))</x:f>
        <x:v>未纳入本批</x:v>
      </x:c>
      <x:c r="W55" s="10" t="str">
        <x:v>保留／按批次选取</x:v>
      </x:c>
      <x:c r="X55" s="10" t="str">
        <x:v>设计复核后保留；关联DEC11、DEC16、DEC01确认后方可执行判定。</x:v>
      </x:c>
      <x:c r="Y55" s="187"/>
      <x:c r="Z55" s="187" t="str">
        <x:v>功能专项，无直接Review映射</x:v>
      </x:c>
    </x:row>
    <x:row r="56" ht="157.5" customHeight="1">
      <x:c r="A56" s="10" t="str">
        <x:v>SM51</x:v>
      </x:c>
      <x:c r="B56" s="10" t="str">
        <x:v>计算模拟</x:v>
      </x:c>
      <x:c r="C56" s="10" t="str">
        <x:v>实际覆盖范围生成必填参数</x:v>
      </x:c>
      <x:c r="D56" s="85" t="str">
        <x:v>待选择</x:v>
      </x:c>
      <x:c r="E56" s="85" t="str">
        <x:v>是</x:v>
      </x:c>
      <x:c r="F56" s="85" t="str">
        <x:v>待确认</x:v>
      </x:c>
      <x:c r="G56" s="85" t="str">
        <x:v>未执行</x:v>
      </x:c>
      <x:c r="H56" s="85"/>
      <x:c r="I56" s="13" t="str">
        <x:f>IF(D56="否","不适用",IF(D56&lt;&gt;"是","未纳入本批",IF(AND(E56&lt;&gt;"是",E56&lt;&gt;"否"),"关键项待分类",IF(V56&lt;&gt;"已确认","依据待确认",IF('本批提测'!$B$6&lt;&gt;"已就绪","批次未就绪",IF(OR(H56&lt;&gt;'本批提测'!$B$8,G56="",G56="未执行"),"未执行",IF(R56&lt;&gt;'本批提测'!$B$18,"基线已变，需复测",IF(LEN(TRIM(Q56))=0,"交付未映射",IF(AND(OR(G56="通过",G56="失败"),LEN(TRIM(M56))=0),"缺少证据",IF(AND(OR(G56="通过",G56="失败"),LEN(TRIM(O56))=0),"缺少执行人",IF(OR(G56="通过",G56="失败",G56="受阻",G56="依据待确认"),G56,"结果待填写")))))))))))</x:f>
        <x:v>未纳入本批</x:v>
      </x:c>
      <x:c r="J56" s="10" t="str">
        <x:v>前置：仅D、仅F、A/C三类已发布产品，以及保存态／已停用产品；准备已选发布产品在另一会话被停用的测试条件。
操作：从菜单和产品库模拟入口分别进入；按名称／编码搜索产品；逐个缺C类型或页数、D任一机场、F邮编或货型；切换F→D；在选择后停用产品再点击计算；报价日期留空。</x:v>
      </x:c>
      <x:c r="K56" s="10" t="str">
        <x:v>菜单产品候选仅已发布未停用；执行计算时也必须满足该状态，选择后停用不能继续出正常成本。产品库非可用状态模拟入口与自动带入的交互按SM50批准口径，不擅自取消所有状态的入口。只生成实际覆盖卡：A起点必填；C类型必填、页数&gt;0；D两机场必填；F邮编和DOC/WPX必填。切换后不保留不适用必填错误；无F货型隐藏仍待确认，B/E未写必填不新增约束。无产品、范围不可识别或报价日期为空须中止并说明。</x:v>
      </x:c>
      <x:c r="L56" s="10" t="str">
        <x:v>REQ §6.4 计算模拟／固定、动态字段及校验</x:v>
      </x:c>
      <x:c r="M56" s="86"/>
      <x:c r="N56" s="86"/>
      <x:c r="O56" s="86"/>
      <x:c r="P56" s="10" t="str">
        <x:v>专项回归</x:v>
      </x:c>
      <x:c r="Q56" s="86"/>
      <x:c r="R56" s="86"/>
      <x:c r="S56" s="10" t="str">
        <x:v>需求正文</x:v>
      </x:c>
      <x:c r="T56" s="10" t="str">
        <x:v>按产品覆盖范围建立必填决策表，同时验证菜单候选、产品库入口和执行时状态三个时点；切换产品不继承上一范围校验。</x:v>
      </x:c>
      <x:c r="U56" s="10" t="str">
        <x:v>仅D、仅F、A/C；C类型／页数、D每机场、F邮编／货型逐缺；从F切D；选择后停用再执行；报价时间空。分支留证，未知入口交互与无F货型展示须批准。</x:v>
      </x:c>
      <x:c r="V56" s="10" t="str">
        <x:f>IF(D56="否","不适用",IF(D56&lt;&gt;"是","未纳入本批",IF(OR(LEN(TRIM('本批提测'!$B$10))=0,LEN(TRIM('本批提测'!$B$11))=0,'本批提测'!$B$12&lt;&gt;"已确认",F56&lt;&gt;"已确认"),"待确认","已确认")))</x:f>
        <x:v>未纳入本批</x:v>
      </x:c>
      <x:c r="W56" s="10" t="str">
        <x:v>本轮修正</x:v>
      </x:c>
      <x:c r="X56" s="10" t="str">
        <x:v>边界/批量/公式矩阵调整为专项回归；冒烟正向闭环由本模块主链路覆盖。</x:v>
      </x:c>
      <x:c r="Y56" s="187"/>
      <x:c r="Z56" s="187" t="str">
        <x:v>功能专项，无直接Review映射</x:v>
      </x:c>
    </x:row>
    <x:row r="57" ht="112.5" customHeight="1">
      <x:c r="A57" s="10" t="str">
        <x:v>SM52</x:v>
      </x:c>
      <x:c r="B57" s="10" t="str">
        <x:v>计算模拟</x:v>
      </x:c>
      <x:c r="C57" s="10" t="str">
        <x:v>产品抛比、体积重与计费重正向算例</x:v>
      </x:c>
      <x:c r="D57" s="85" t="str">
        <x:v>待选择</x:v>
      </x:c>
      <x:c r="E57" s="85" t="str">
        <x:v>是</x:v>
      </x:c>
      <x:c r="F57" s="85" t="str">
        <x:v>待确认</x:v>
      </x:c>
      <x:c r="G57" s="85" t="str">
        <x:v>未执行</x:v>
      </x:c>
      <x:c r="H57" s="85"/>
      <x:c r="I57" s="13" t="str">
        <x:f>IF(D57="否","不适用",IF(D57&lt;&gt;"是","未纳入本批",IF(AND(E57&lt;&gt;"是",E57&lt;&gt;"否"),"关键项待分类",IF(V57&lt;&gt;"已确认","依据待确认",IF('本批提测'!$B$6&lt;&gt;"已就绪","批次未就绪",IF(OR(H57&lt;&gt;'本批提测'!$B$8,G57="",G57="未执行"),"未执行",IF(R57&lt;&gt;'本批提测'!$B$18,"基线已变，需复测",IF(LEN(TRIM(Q57))=0,"交付未映射",IF(AND(OR(G57="通过",G57="失败"),LEN(TRIM(M57))=0),"缺少证据",IF(AND(OR(G57="通过",G57="失败"),LEN(TRIM(O57))=0),"缺少执行人",IF(OR(G57="通过",G57="失败",G57="受阻",G57="依据待确认"),G57,"结果待填写")))))))))))</x:f>
        <x:v>未纳入本批</x:v>
      </x:c>
      <x:c r="J57" s="10" t="str">
        <x:v>前置：已发布未停用产品，批准测试配置产品抛比6000、实重8KG、订单计费重步长1KG，价卡及报价时点有效；进位规则经DEC19确认，均为算例配置，不是系统默认。
操作：填写60×50×40cm并执行一次有效试算，独立核对体积重、原始计费重、订单计费重及结果中的产品抛比和版本。小数进位、尺寸缺失及非法输入另按SM79/SM78专项。</x:v>
      </x:c>
      <x:c r="K57" s="10" t="str">
        <x:v>60×50×40÷6000＝20KG；原始计费重max(8,20)＝20KG；在批准1KG进位配置下订单计费重20KG。使用产品最终抛比，不用服务单元履约抛比替代。一次合法试算既核成本也核计费重量，不能仅因固定费用合计131正确便认为重量算法正确；其他批准策略须先更新算例预期。</x:v>
      </x:c>
      <x:c r="L57" s="10" t="str">
        <x:v>REQ §6.4 计算模拟／计算逻辑；6000及进位1为测试配置，不是默认值</x:v>
      </x:c>
      <x:c r="M57" s="86"/>
      <x:c r="N57" s="86"/>
      <x:c r="O57" s="86"/>
      <x:c r="P57" s="10" t="str">
        <x:v>冒烟</x:v>
      </x:c>
      <x:c r="Q57" s="86"/>
      <x:c r="R57" s="86"/>
      <x:c r="S57" s="10" t="str">
        <x:v>需求正文</x:v>
      </x:c>
      <x:c r="T57" s="10" t="str">
        <x:v>以一组合法、整步长数据验证核心重量公式及产品抛比来源，纳入冒烟；非整步长和异常值矩阵归专项，避免移走全部算法正向检查。</x:v>
      </x:c>
      <x:c r="U57" s="10" t="str">
        <x:v>批准产品抛比6000、实重8KG及60×50×40cm；记录公式20KG、原始max和批准订单重量、产品/价卡版本。非整步长20.1→21算例在SM79逐项取证。</x:v>
      </x:c>
      <x:c r="V57" s="10" t="str">
        <x:f>IF(D57="否","不适用",IF(D57&lt;&gt;"是","未纳入本批",IF(OR(LEN(TRIM('本批提测'!$B$10))=0,LEN(TRIM('本批提测'!$B$11))=0,'本批提测'!$B$12&lt;&gt;"已确认",F57&lt;&gt;"已确认",'本批提测'!$H$58&lt;&gt;"已确认",AND('本批提测'!$H$40&lt;&gt;"已确认",'本批提测'!$H$40&lt;&gt;"已记录后置")),"待确认","已确认")))</x:f>
        <x:v>未纳入本批</x:v>
      </x:c>
      <x:c r="W57" s="10" t="str">
        <x:v>二次复核修正</x:v>
      </x:c>
      <x:c r="X57" s="10" t="str">
        <x:v>恢复核心重量正向算例至冒烟；小数进位与非法/缺失输入分别移至SM79、SM78，不丢原分支。</x:v>
      </x:c>
      <x:c r="Y57" s="187"/>
      <x:c r="Z57" s="187" t="str">
        <x:v>功能专项，无直接Review映射</x:v>
      </x:c>
    </x:row>
    <x:row r="58" ht="63" customHeight="1">
      <x:c r="A58" s="10" t="str">
        <x:v>SM53</x:v>
      </x:c>
      <x:c r="B58" s="10" t="str">
        <x:v>计算模拟</x:v>
      </x:c>
      <x:c r="C58" s="10" t="str">
        <x:v>缺卡、拒收、转人工和无燃油</x:v>
      </x:c>
      <x:c r="D58" s="85" t="str">
        <x:v>待选择</x:v>
      </x:c>
      <x:c r="E58" s="85" t="str">
        <x:v>是</x:v>
      </x:c>
      <x:c r="F58" s="85" t="str">
        <x:v>待确认</x:v>
      </x:c>
      <x:c r="G58" s="85" t="str">
        <x:v>未执行</x:v>
      </x:c>
      <x:c r="H58" s="85"/>
      <x:c r="I58" s="13" t="str">
        <x:f>IF(D58="否","不适用",IF(D58&lt;&gt;"是","未纳入本批",IF(AND(E58&lt;&gt;"是",E58&lt;&gt;"否"),"关键项待分类",IF(V58&lt;&gt;"已确认","依据待确认",IF('本批提测'!$B$6&lt;&gt;"已就绪","批次未就绪",IF(OR(H58&lt;&gt;'本批提测'!$B$8,G58="",G58="未执行"),"未执行",IF(R58&lt;&gt;'本批提测'!$B$18,"基线已变，需复测",IF(LEN(TRIM(Q58))=0,"交付未映射",IF(AND(OR(G58="通过",G58="失败"),LEN(TRIM(M58))=0),"缺少证据",IF(AND(OR(G58="通过",G58="失败"),LEN(TRIM(O58))=0),"缺少执行人",IF(OR(G58="通过",G58="失败",G58="受阻",G58="依据待确认"),G58,"结果待填写")))))))))))</x:f>
        <x:v>未纳入本批</x:v>
      </x:c>
      <x:c r="J58" s="10" t="str">
        <x:v>前置：准备缺有效卡、拒收规则、转人工规则、无命中燃油的4组条件。
操作：逐组执行试算，检查原因、警告与结果。</x:v>
      </x:c>
      <x:c r="K58" s="10" t="str">
        <x:v>缺卡中止并指引补齐；拒收中止或明确拒单；转人工可出成本并警告，不创建工单；燃油未命中按0并提示，不阻断。</x:v>
      </x:c>
      <x:c r="L58" s="10" t="str">
        <x:v>REQ §6.4 计算模拟／校验及计算逻辑；不能把全部警告都当失败</x:v>
      </x:c>
      <x:c r="M58" s="86"/>
      <x:c r="N58" s="86"/>
      <x:c r="O58" s="86"/>
      <x:c r="P58" s="10" t="str">
        <x:v>冒烟</x:v>
      </x:c>
      <x:c r="Q58" s="86"/>
      <x:c r="R58" s="86"/>
      <x:c r="S58" s="10" t="str">
        <x:v>需求正文</x:v>
      </x:c>
      <x:c r="T58" s="10" t="str">
        <x:v>把缺卡、拒收、转人工、燃油未命中列成异常决策表，分别对应中止、拒绝、警告继续、0燃油提示。</x:v>
      </x:c>
      <x:c r="U58" s="10" t="str">
        <x:v>每组只改变一个条件，保留其他可计算数据；核对能否计算、提示和结果。转人工不自动产生审批工单，警告不统一判失败。</x:v>
      </x:c>
      <x:c r="V58" s="10" t="str">
        <x:f>IF(D58="否","不适用",IF(D58&lt;&gt;"是","未纳入本批",IF(OR(LEN(TRIM('本批提测'!$B$10))=0,LEN(TRIM('本批提测'!$B$11))=0,'本批提测'!$B$12&lt;&gt;"已确认",F58&lt;&gt;"已确认"),"待确认","已确认")))</x:f>
        <x:v>未纳入本批</x:v>
      </x:c>
      <x:c r="W58" s="10" t="str">
        <x:v>保留／按批次选取</x:v>
      </x:c>
      <x:c r="X58" s="10" t="str">
        <x:v>设计复核后保留；按交付范围及批准现行基线执行。</x:v>
      </x:c>
      <x:c r="Y58" s="187"/>
      <x:c r="Z58" s="187" t="str">
        <x:v>功能专项，无直接Review映射</x:v>
      </x:c>
    </x:row>
    <x:row r="59" ht="63" customHeight="1">
      <x:c r="A59" s="10" t="str">
        <x:v>SM54</x:v>
      </x:c>
      <x:c r="B59" s="10" t="str">
        <x:v>服务组合</x:v>
      </x:c>
      <x:c r="C59" s="10" t="str">
        <x:v>同时编辑的覆盖保护</x:v>
      </x:c>
      <x:c r="D59" s="85" t="str">
        <x:v>待选择</x:v>
      </x:c>
      <x:c r="E59" s="85" t="str">
        <x:v>是</x:v>
      </x:c>
      <x:c r="F59" s="85" t="str">
        <x:v>待确认</x:v>
      </x:c>
      <x:c r="G59" s="85" t="str">
        <x:v>未执行</x:v>
      </x:c>
      <x:c r="H59" s="85"/>
      <x:c r="I59" s="13" t="str">
        <x:f>IF(D59="否","不适用",IF(D59&lt;&gt;"是","未纳入本批",IF(AND(E59&lt;&gt;"是",E59&lt;&gt;"否"),"关键项待分类",IF(V59&lt;&gt;"已确认","依据待确认",IF('本批提测'!$B$6&lt;&gt;"已就绪","批次未就绪",IF(OR(H59&lt;&gt;'本批提测'!$B$8,G59="",G59="未执行"),"未执行",IF(R59&lt;&gt;'本批提测'!$B$18,"基线已变，需复测",IF(LEN(TRIM(Q59))=0,"交付未映射",IF(AND(OR(G59="通过",G59="失败"),LEN(TRIM(M59))=0),"缺少证据",IF(AND(OR(G59="通过",G59="失败"),LEN(TRIM(O59))=0),"缺少执行人",IF(OR(G59="通过",G59="失败",G59="受阻",G59="依据待确认"),G59,"结果待填写")))))))))))</x:f>
        <x:v>未纳入本批</x:v>
      </x:c>
      <x:c r="J59" s="10" t="str">
        <x:v>前置：两会话读取同一组合版本V1。
操作：会话A保存V2后，会话B基于V1保存；重查当前及历史。</x:v>
      </x:c>
      <x:c r="K59" s="10" t="str">
        <x:v>陈旧版本保存被阻断并提示重载；当前V2及输入保留；配置、历史、当前指针完整一致，不出现半保存。</x:v>
      </x:c>
      <x:c r="L59" s="10" t="str">
        <x:v>REQ §6.2 保存逻辑6／补充实现约束；专项并发回归</x:v>
      </x:c>
      <x:c r="M59" s="86"/>
      <x:c r="N59" s="86"/>
      <x:c r="O59" s="86"/>
      <x:c r="P59" s="10" t="str">
        <x:v>专项回归</x:v>
      </x:c>
      <x:c r="Q59" s="86"/>
      <x:c r="R59" s="86"/>
      <x:c r="S59" s="10" t="str">
        <x:v>需求正文</x:v>
      </x:c>
      <x:c r="T59" s="10" t="str">
        <x:v>两个会话读取同版本并先后保存，可复现陈旧写覆盖风险；核对原子保存而非只看冲突提示。</x:v>
      </x:c>
      <x:c r="U59" s="10" t="str">
        <x:v>A保存V2，B携V1保存；重查配置、历史和当前指针，无半保存。记录两会话读写版本及B输入保留，属于专项并发回归。</x:v>
      </x:c>
      <x:c r="V59" s="10" t="str">
        <x:f>IF(D59="否","不适用",IF(D59&lt;&gt;"是","未纳入本批",IF(OR(LEN(TRIM('本批提测'!$B$10))=0,LEN(TRIM('本批提测'!$B$11))=0,'本批提测'!$B$12&lt;&gt;"已确认",F59&lt;&gt;"已确认"),"待确认","已确认")))</x:f>
        <x:v>未纳入本批</x:v>
      </x:c>
      <x:c r="W59" s="10" t="str">
        <x:v>保留／按批次选取</x:v>
      </x:c>
      <x:c r="X59" s="10" t="str">
        <x:v>设计复核后保留；按交付范围及批准现行基线执行。</x:v>
      </x:c>
      <x:c r="Y59" s="187"/>
      <x:c r="Z59" s="187" t="str">
        <x:v>功能专项，无直接Review映射</x:v>
      </x:c>
    </x:row>
    <x:row r="60" ht="63" customHeight="1">
      <x:c r="A60" s="10" t="str">
        <x:v>SM55</x:v>
      </x:c>
      <x:c r="B60" s="10" t="str">
        <x:v>批量操作</x:v>
      </x:c>
      <x:c r="C60" s="10" t="str">
        <x:v>导出真实文件及选中范围</x:v>
      </x:c>
      <x:c r="D60" s="85" t="str">
        <x:v>待选择</x:v>
      </x:c>
      <x:c r="E60" s="85" t="str">
        <x:v>是</x:v>
      </x:c>
      <x:c r="F60" s="85" t="str">
        <x:v>待确认</x:v>
      </x:c>
      <x:c r="G60" s="85" t="str">
        <x:v>未执行</x:v>
      </x:c>
      <x:c r="H60" s="85"/>
      <x:c r="I60" s="13" t="str">
        <x:f>IF(D60="否","不适用",IF(D60&lt;&gt;"是","未纳入本批",IF(AND(E60&lt;&gt;"是",E60&lt;&gt;"否"),"关键项待分类",IF(V60&lt;&gt;"已确认","依据待确认",IF('本批提测'!$B$6&lt;&gt;"已就绪","批次未就绪",IF(OR(H60&lt;&gt;'本批提测'!$B$8,G60="",G60="未执行"),"未执行",IF(R60&lt;&gt;'本批提测'!$B$18,"基线已变，需复测",IF(LEN(TRIM(Q60))=0,"交付未映射",IF(AND(OR(G60="通过",G60="失败"),LEN(TRIM(M60))=0),"缺少证据",IF(AND(OR(G60="通过",G60="失败"),LEN(TRIM(O60))=0),"缺少执行人",IF(OR(G60="通过",G60="失败",G60="受阻",G60="依据待确认"),G60,"结果待填写")))))))))))</x:f>
        <x:v>未纳入本批</x:v>
      </x:c>
      <x:c r="J60" s="10" t="str">
        <x:v>前置：确认交付模块导出字段、格式、权限和范围；用专用记录。
操作：选择记录并导出，打开下载文件，核对行数、编码、中文内容及选择对象。</x:v>
      </x:c>
      <x:c r="K60" s="10" t="str">
        <x:v>实际文件可打开且仅含约定范围；提示成功或原型演示不算通过；具体格式按 DEC08。</x:v>
      </x:c>
      <x:c r="L60" s="10" t="str">
        <x:v>REQ §6.2 服务组合导出正文和评论；文件内容核对为测试建议</x:v>
      </x:c>
      <x:c r="M60" s="86"/>
      <x:c r="N60" s="86"/>
      <x:c r="O60" s="86"/>
      <x:c r="P60" s="10" t="str">
        <x:v>专项回归</x:v>
      </x:c>
      <x:c r="Q60" s="86"/>
      <x:c r="R60" s="86"/>
      <x:c r="S60" s="10" t="str">
        <x:v>测试建议／条件需求</x:v>
      </x:c>
      <x:c r="T60" s="10" t="str">
        <x:v>导出分成文件产生、文件可用和范围正确三层；下载内容检查为测试建议，不由原型提示推定实现。</x:v>
      </x:c>
      <x:c r="U60" s="10" t="str">
        <x:v>按DEC08批准字段／格式选可识别记录，实际打开文件，比对行数、ID、中文和选择范围。未交付导出则说明不适用。</x:v>
      </x:c>
      <x:c r="V60" s="10" t="str">
        <x:f>IF(D60="否","不适用",IF(D60&lt;&gt;"是","未纳入本批",IF(OR(LEN(TRIM('本批提测'!$B$10))=0,LEN(TRIM('本批提测'!$B$11))=0,'本批提测'!$B$12&lt;&gt;"已确认",F60&lt;&gt;"已确认",'本批提测'!$H$47&lt;&gt;"已确认"),"待确认","已确认")))</x:f>
        <x:v>未纳入本批</x:v>
      </x:c>
      <x:c r="W60" s="10" t="str">
        <x:v>二次复核修正</x:v>
      </x:c>
      <x:c r="X60" s="10" t="str">
        <x:v>补关联DEC08有效依据；导出范围/字段/格式未确认时不能仅手填本批依据已确认计通过。</x:v>
      </x:c>
      <x:c r="Y60" s="187"/>
      <x:c r="Z60" s="187" t="str">
        <x:v>功能专项，无直接Review映射</x:v>
      </x:c>
    </x:row>
    <x:row r="61" ht="88.5" customHeight="1">
      <x:c r="A61" s="10" t="str">
        <x:v>SM56</x:v>
      </x:c>
      <x:c r="B61" s="10" t="str">
        <x:v>产品库</x:v>
      </x:c>
      <x:c r="C61" s="10" t="str">
        <x:v>列表最近价卡生效时间</x:v>
      </x:c>
      <x:c r="D61" s="85" t="str">
        <x:v>待选择</x:v>
      </x:c>
      <x:c r="E61" s="85" t="str">
        <x:v>是</x:v>
      </x:c>
      <x:c r="F61" s="85" t="str">
        <x:v>待确认</x:v>
      </x:c>
      <x:c r="G61" s="85" t="str">
        <x:v>未执行</x:v>
      </x:c>
      <x:c r="H61" s="85"/>
      <x:c r="I61" s="13" t="str">
        <x:f>IF(D61="否","不适用",IF(D61&lt;&gt;"是","未纳入本批",IF(AND(E61&lt;&gt;"是",E61&lt;&gt;"否"),"关键项待分类",IF(V61&lt;&gt;"已确认","依据待确认",IF('本批提测'!$B$6&lt;&gt;"已就绪","批次未就绪",IF(OR(H61&lt;&gt;'本批提测'!$B$8,G61="",G61="未执行"),"未执行",IF(R61&lt;&gt;'本批提测'!$B$18,"基线已变，需复测",IF(LEN(TRIM(Q61))=0,"交付未映射",IF(AND(OR(G61="通过",G61="失败"),LEN(TRIM(M61))=0),"缺少证据",IF(AND(OR(G61="通过",G61="失败"),LEN(TRIM(O61))=0),"缺少执行人",IF(OR(G61="通过",G61="失败",G61="受阻",G61="依据待确认"),G61,"结果待填写")))))))))))</x:f>
        <x:v>未纳入本批</x:v>
      </x:c>
      <x:c r="J61" s="10" t="str">
        <x:v>前置：在可控测试“当前日期”2026-10-09，按正文7组：仅默认、单未来、单过去、默认+非默认、过去+未来、两未来、全部过去。
操作：逐组核对产品库列值；通过批准的测试时钟／日期依赖改变当前日期后复查，不修改订单报价时间或系统时钟。</x:v>
      </x:c>
      <x:c r="K61" s="10" t="str">
        <x:v>仅默认显示—；单非默认显示该卡时段；默认+非默认显示非默认；过去+未来取未来；两未来取最近未来；全过去取最近过去。以当前日期判断，不能拿试算报价时间驱动此列表。</x:v>
      </x:c>
      <x:c r="L61" s="10" t="str">
        <x:v>REQ §6.4 产品库生效时间7例；等时端点见DEC19；可控时钟为测试建议</x:v>
      </x:c>
      <x:c r="M61" s="86"/>
      <x:c r="N61" s="86"/>
      <x:c r="O61" s="86"/>
      <x:c r="P61" s="10" t="str">
        <x:v>专项回归</x:v>
      </x:c>
      <x:c r="Q61" s="86"/>
      <x:c r="R61" s="86"/>
      <x:c r="S61" s="10" t="str">
        <x:v>正文＋待决策</x:v>
      </x:c>
      <x:c r="T61" s="10" t="str">
        <x:v>用正文7组日期组合做决策表，核对产品库最近生效时间展示；独立于模拟报价时点。</x:v>
      </x:c>
      <x:c r="U61" s="10" t="str">
        <x:v>仅默认、单未来、单过去、默认+非默认、过去+未来、两未来、全过去；按可控当前日期比对，等时端点DEC19，不改系统时钟。</x:v>
      </x:c>
      <x:c r="V61" s="10" t="str">
        <x:f>IF(D61="否","不适用",IF(D61&lt;&gt;"是","未纳入本批",IF(OR(LEN(TRIM('本批提测'!$B$10))=0,LEN(TRIM('本批提测'!$B$11))=0,'本批提测'!$B$12&lt;&gt;"已确认",F61&lt;&gt;"已确认",'本批提测'!$H$58&lt;&gt;"已确认",AND('本批提测'!$H$40&lt;&gt;"已确认",'本批提测'!$H$40&lt;&gt;"已记录后置")),"待确认","已确认")))</x:f>
        <x:v>未纳入本批</x:v>
      </x:c>
      <x:c r="W61" s="10" t="str">
        <x:v>保留／按批次选取</x:v>
      </x:c>
      <x:c r="X61" s="10" t="str">
        <x:v>设计复核后保留；关联DEC19、DEC01确认后方可执行判定。</x:v>
      </x:c>
      <x:c r="Y61" s="187"/>
      <x:c r="Z61" s="187" t="str">
        <x:v>功能专项，无直接Review映射</x:v>
      </x:c>
    </x:row>
    <x:row r="62" ht="157.5" customHeight="1">
      <x:c r="A62" s="10" t="str">
        <x:v>SM57</x:v>
      </x:c>
      <x:c r="B62" s="10" t="str">
        <x:v>业务字典</x:v>
      </x:c>
      <x:c r="C62" s="10" t="str">
        <x:v>下单限制规则的两类结果</x:v>
      </x:c>
      <x:c r="D62" s="85" t="str">
        <x:v>待选择</x:v>
      </x:c>
      <x:c r="E62" s="85" t="str">
        <x:v>是</x:v>
      </x:c>
      <x:c r="F62" s="85" t="str">
        <x:v>待确认</x:v>
      </x:c>
      <x:c r="G62" s="85" t="str">
        <x:v>未执行</x:v>
      </x:c>
      <x:c r="H62" s="85"/>
      <x:c r="I62" s="13" t="str">
        <x:f>IF(D62="否","不适用",IF(D62&lt;&gt;"是","未纳入本批",IF(AND(E62&lt;&gt;"是",E62&lt;&gt;"否"),"关键项待分类",IF(V62&lt;&gt;"已确认","依据待确认",IF('本批提测'!$B$6&lt;&gt;"已就绪","批次未就绪",IF(OR(H62&lt;&gt;'本批提测'!$B$8,G62="",G62="未执行"),"未执行",IF(R62&lt;&gt;'本批提测'!$B$18,"基线已变，需复测",IF(LEN(TRIM(Q62))=0,"交付未映射",IF(AND(OR(G62="通过",G62="失败"),LEN(TRIM(M62))=0),"缺少证据",IF(AND(OR(G62="通过",G62="失败"),LEN(TRIM(O62))=0),"缺少执行人",IF(OR(G62="通过",G62="失败",G62="受阻",G62="依据待确认"),G62,"结果待填写")))))))))))</x:f>
        <x:v>未纳入本批</x:v>
      </x:c>
      <x:c r="J62" s="10" t="str">
        <x:v>前置：本批交付下单限制；准备拒收与转人工规则，并确认表达式。
操作：新增规则并关联服务单元，进入编排聚合与试算核对。
比较相同名相同式、相同名不同式、不同名相同式；按链路顺序读聚合表。准备具有明确包含关系的重量／尺寸／电池上限，含刚好边界、边界两侧的批准表达式。</x:v>
      </x:c>
      <x:c r="K62" s="10" t="str">
        <x:v>规则可搜索多选；编排聚合只读，同名同表达式去重；拒收与转人工分别按 SM53 返回。表达式判定数据按本批批准。
仅同名且同表达式去重，其他组不得据此删掉；按链路顺序只读显示。包含关系的上限按正文取最大值，不凭经验改成最小值；是否命中仍按批准表达式逐条计算。非包含、矛盾约束和表达式边界未定义须确认，不能自行取最大或放行。</x:v>
      </x:c>
      <x:c r="L62" s="10" t="str">
        <x:v>REQ §6.5 下单限制；§6.2 服务单元；§6.4 编排及模拟</x:v>
      </x:c>
      <x:c r="M62" s="86"/>
      <x:c r="N62" s="86"/>
      <x:c r="O62" s="86"/>
      <x:c r="P62" s="10" t="str">
        <x:v>专项回归</x:v>
      </x:c>
      <x:c r="Q62" s="86"/>
      <x:c r="R62" s="86"/>
      <x:c r="S62" s="10" t="str">
        <x:v>需求正文</x:v>
      </x:c>
      <x:c r="T62" s="10" t="str">
        <x:v>规则字典→单元关联→编排聚合→试算结果是跨模块链；重复同名同表达式及拒收／转人工成对验证。 本轮边界复核以J/K列新增分支执行，单一变量逐项对照合法／临界／非法；关联待决事项未确认不计通过。</x:v>
      </x:c>
      <x:c r="U62" s="10" t="str">
        <x:v>用批准表达式和可核算输入，核对聚合只读／去重及SM53结果；包含型上限按需求逻辑，不机械取全部最小值。</x:v>
      </x:c>
      <x:c r="V62" s="10" t="str">
        <x:f>IF(D62="否","不适用",IF(D62&lt;&gt;"是","未纳入本批",IF(OR(LEN(TRIM('本批提测'!$B$10))=0,LEN(TRIM('本批提测'!$B$11))=0,'本批提测'!$B$12&lt;&gt;"已确认",F62&lt;&gt;"已确认"),"待确认","已确认")))</x:f>
        <x:v>未纳入本批</x:v>
      </x:c>
      <x:c r="W62" s="10" t="str">
        <x:v>保留／按批次选取</x:v>
      </x:c>
      <x:c r="X62" s="10" t="str">
        <x:v>设计复核后保留；按交付范围及批准现行基线执行。</x:v>
      </x:c>
      <x:c r="Y62" s="187"/>
      <x:c r="Z62" s="187" t="str">
        <x:v>功能专项，无直接Review映射</x:v>
      </x:c>
    </x:row>
    <x:row r="63" ht="169.5" customHeight="1">
      <x:c r="A63" s="10" t="str">
        <x:v>SM58</x:v>
      </x:c>
      <x:c r="B63" s="10" t="str">
        <x:v>地点与邮编</x:v>
      </x:c>
      <x:c r="C63" s="10" t="str">
        <x:v>关键词即时查询与版本属性</x:v>
      </x:c>
      <x:c r="D63" s="85" t="str">
        <x:v>待选择</x:v>
      </x:c>
      <x:c r="E63" s="85" t="str">
        <x:v>是</x:v>
      </x:c>
      <x:c r="F63" s="85" t="str">
        <x:v>待确认</x:v>
      </x:c>
      <x:c r="G63" s="85" t="str">
        <x:v>未执行</x:v>
      </x:c>
      <x:c r="H63" s="85"/>
      <x:c r="I63" s="13" t="str">
        <x:f>IF(D63="否","不适用",IF(D63&lt;&gt;"是","未纳入本批",IF(AND(E63&lt;&gt;"是",E63&lt;&gt;"否"),"关键项待分类",IF(V63&lt;&gt;"已确认","依据待确认",IF('本批提测'!$B$6&lt;&gt;"已就绪","批次未就绪",IF(OR(H63&lt;&gt;'本批提测'!$B$8,G63="",G63="未执行"),"未执行",IF(R63&lt;&gt;'本批提测'!$B$18,"基线已变，需复测",IF(LEN(TRIM(Q63))=0,"交付未映射",IF(AND(OR(G63="通过",G63="失败"),LEN(TRIM(M63))=0),"缺少证据",IF(AND(OR(G63="通过",G63="失败"),LEN(TRIM(O63))=0),"缺少执行人",IF(OR(G63="通过",G63="失败",G63="受阻",G63="依据待确认"),G63,"结果待填写")))))))))))</x:f>
        <x:v>未纳入本批</x:v>
      </x:c>
      <x:c r="J63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前置：准备地点中英文名、ID、代码及邮编，类型包含国家／省州／城市／区县／机场／港口／仓库。
操作：输入关键词、不点按钮观察刷新；按国家和类型筛选；编辑邮编再读回版本。</x:v>
      </x:c>
      <x:c r="K63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输入即时刷新；默认全部类型／国家；邮编是地点属性，不新增邮编地点类型；版本与属性对应；按钮存在时语义按 DEC09。</x:v>
      </x:c>
      <x:c r="L63" s="10" t="str">
        <x:v>REQ §6.5 地点与邮编；即时查询是正文要求，不能只按 Review 改成按钮触发
网站只读对照 WEB02、WEB08、WEB10，2026-10-12；具体URL及未验证范围见「网站详情对照」。当前实现不替代批准需求。</x:v>
      </x:c>
      <x:c r="M63" s="86"/>
      <x:c r="N63" s="86"/>
      <x:c r="O63" s="86"/>
      <x:c r="P63" s="10" t="str">
        <x:v>专项回归</x:v>
      </x:c>
      <x:c r="Q63" s="86"/>
      <x:c r="R63" s="86"/>
      <x:c r="S63" s="10" t="str">
        <x:v>正文＋待决策</x:v>
      </x:c>
      <x:c r="T63" s="10" t="str">
        <x:v>地点搜索明确即时刷新；按搜索字段和类型样本验证，不让通用Review查询按钮建议替代业务语义。</x:v>
      </x:c>
      <x:c r="U63" s="10" t="str">
        <x:v>用ID、中英文名、代码、层级及邮编已知值，输入即观察；编辑邮编读回版本。默认全部类型／国家，按钮并存口径DEC09。
增加网站证据：记录group/resource、对象名称、主/子列表作用域及字段回显；写入/权限/持久化另取本批执行证据。</x:v>
      </x:c>
      <x:c r="V63" s="10" t="str">
        <x:f>IF(D63="否","不适用",IF(D63&lt;&gt;"是","未纳入本批",IF(OR(LEN(TRIM('本批提测'!$B$10))=0,LEN(TRIM('本批提测'!$B$11))=0,'本批提测'!$B$12&lt;&gt;"已确认",F63&lt;&gt;"已确认",'本批提测'!$H$48&lt;&gt;"已确认",AND('本批提测'!$H$40&lt;&gt;"已确认",'本批提测'!$H$40&lt;&gt;"已记录后置"),'本批提测'!$H$158&lt;&gt;"已确认"),"待确认","已确认")))</x:f>
        <x:v>未纳入本批</x:v>
      </x:c>
      <x:c r="W63" s="10" t="str">
        <x:v>网站对照修订</x:v>
      </x:c>
      <x:c r="X63" s="10" t="str">
        <x:v>保留原地点与匹配合同，增加独立对象映射及可执行前提。</x:v>
      </x:c>
      <x:c r="Y63" s="187" t="str">
        <x:v>UI09</x:v>
      </x:c>
      <x:c r="Z63" s="189" t="str">
        <x:v>绿色：直接复用</x:v>
      </x:c>
    </x:row>
    <x:row r="64" ht="75" customHeight="1">
      <x:c r="A64" s="10" t="str">
        <x:v>SM59</x:v>
      </x:c>
      <x:c r="B64" s="10" t="str">
        <x:v>计费历史</x:v>
      </x:c>
      <x:c r="C64" s="10" t="str">
        <x:v>OMS历史列表、筛选与合计</x:v>
      </x:c>
      <x:c r="D64" s="85" t="str">
        <x:v>待选择</x:v>
      </x:c>
      <x:c r="E64" s="85" t="str">
        <x:v>是</x:v>
      </x:c>
      <x:c r="F64" s="85" t="str">
        <x:v>待确认</x:v>
      </x:c>
      <x:c r="G64" s="85" t="str">
        <x:v>未执行</x:v>
      </x:c>
      <x:c r="H64" s="85"/>
      <x:c r="I64" s="13" t="str">
        <x:f>IF(D64="否","不适用",IF(D64&lt;&gt;"是","未纳入本批",IF(AND(E64&lt;&gt;"是",E64&lt;&gt;"否"),"关键项待分类",IF(V64&lt;&gt;"已确认","依据待确认",IF('本批提测'!$B$6&lt;&gt;"已就绪","批次未就绪",IF(OR(H64&lt;&gt;'本批提测'!$B$8,G64="",G64="未执行"),"未执行",IF(R64&lt;&gt;'本批提测'!$B$18,"基线已变，需复测",IF(LEN(TRIM(Q64))=0,"交付未映射",IF(AND(OR(G64="通过",G64="失败"),LEN(TRIM(M64))=0),"缺少证据",IF(AND(OR(G64="通过",G64="失败"),LEN(TRIM(O64))=0),"缺少执行人",IF(OR(G64="通过",G64="失败",G64="受阻",G64="依据待确认"),G64,"结果待填写")))))))))))</x:f>
        <x:v>未纳入本批</x:v>
      </x:c>
      <x:c r="J64" s="10" t="str">
        <x:v>前置：本批明确交付历史且OMS测试回传可用，DEC21已决；准备至少2产品、多个订单及新旧价卡版本的已知快照。
操作：查看默认排序、产品名称下拉和关键词；切换产品／订单号查询；核对当前查询结果合计，再修改当前价卡后重新查历史。</x:v>
      </x:c>
      <x:c r="K64" s="10" t="str">
        <x:v>产品选项来自已有历史记录，默认全部；订单号／产品名模糊搜索；下单时间倒序且精确到秒。订单号、产品名、kg计费重、成本价、实际价卡编码·版本和待结算／已结算来自OMS／订单快照，非当前价卡；合计随查询重算。多币种合计见DEC21。</x:v>
      </x:c>
      <x:c r="L64" s="10" t="str">
        <x:v>REQ §6.4 计费历史搜索／字段／展示逻辑；外部接入不自动视为本批范围，见DEC21</x:v>
      </x:c>
      <x:c r="M64" s="86"/>
      <x:c r="N64" s="86"/>
      <x:c r="O64" s="86"/>
      <x:c r="P64" s="10" t="str">
        <x:v>冒烟</x:v>
      </x:c>
      <x:c r="Q64" s="86"/>
      <x:c r="R64" s="86"/>
      <x:c r="S64" s="10" t="str">
        <x:v>正文＋待决策</x:v>
      </x:c>
      <x:c r="T64" s="10" t="str">
        <x:v>历史列表数据应来自OMS订单快照；查询、排序和合计用已知集合验证，再改现行卡排除误读最新价格。</x:v>
      </x:c>
      <x:c r="U64" s="10" t="str">
        <x:v>至少2产品、多订单、新旧卡版本，手算筛选后总额；核对秒级时间和来源版本。OMS回传／分期／多币种合计先DEC21，不混用试算记录。</x:v>
      </x:c>
      <x:c r="V64" s="10" t="str">
        <x:f>IF(D64="否","不适用",IF(D64&lt;&gt;"是","未纳入本批",IF(OR(LEN(TRIM('本批提测'!$B$10))=0,LEN(TRIM('本批提测'!$B$11))=0,'本批提测'!$B$12&lt;&gt;"已确认",F64&lt;&gt;"已确认",'本批提测'!$H$60&lt;&gt;"已确认",AND('本批提测'!$H$40&lt;&gt;"已确认",'本批提测'!$H$40&lt;&gt;"已记录后置")),"待确认","已确认")))</x:f>
        <x:v>未纳入本批</x:v>
      </x:c>
      <x:c r="W64" s="10" t="str">
        <x:v>保留／按批次选取</x:v>
      </x:c>
      <x:c r="X64" s="10" t="str">
        <x:v>设计复核后保留；关联DEC21、DEC01确认后方可执行判定。</x:v>
      </x:c>
      <x:c r="Y64" s="187"/>
      <x:c r="Z64" s="187" t="str">
        <x:v>功能专项，无直接Review映射</x:v>
      </x:c>
    </x:row>
    <x:row r="65" ht="88.5" customHeight="1">
      <x:c r="A65" s="10" t="str">
        <x:v>SM60</x:v>
      </x:c>
      <x:c r="B65" s="10" t="str">
        <x:v>计费历史</x:v>
      </x:c>
      <x:c r="C65" s="10" t="str">
        <x:v>逐费用版本、快照与合计一致</x:v>
      </x:c>
      <x:c r="D65" s="85" t="str">
        <x:v>待选择</x:v>
      </x:c>
      <x:c r="E65" s="85" t="str">
        <x:v>是</x:v>
      </x:c>
      <x:c r="F65" s="85" t="str">
        <x:v>待确认</x:v>
      </x:c>
      <x:c r="G65" s="85" t="str">
        <x:v>未执行</x:v>
      </x:c>
      <x:c r="H65" s="85"/>
      <x:c r="I65" s="13" t="str">
        <x:f>IF(D65="否","不适用",IF(D65&lt;&gt;"是","未纳入本批",IF(AND(E65&lt;&gt;"是",E65&lt;&gt;"否"),"关键项待分类",IF(V65&lt;&gt;"已确认","依据待确认",IF('本批提测'!$B$6&lt;&gt;"已就绪","批次未就绪",IF(OR(H65&lt;&gt;'本批提测'!$B$8,G65="",G65="未执行"),"未执行",IF(R65&lt;&gt;'本批提测'!$B$18,"基线已变，需复测",IF(LEN(TRIM(Q65))=0,"交付未映射",IF(AND(OR(G65="通过",G65="失败"),LEN(TRIM(M65))=0),"缺少证据",IF(AND(OR(G65="通过",G65="失败"),LEN(TRIM(O65))=0),"缺少执行人",IF(OR(G65="通过",G65="失败",G65="受阻",G65="依据待确认"),G65,"结果待填写")))))))))))</x:f>
        <x:v>未纳入本批</x:v>
      </x:c>
      <x:c r="J65" s="10" t="str">
        <x:v>前置：仅本批历史交付；准备同订单不同明细来自不同卡／版本的已知OMS快照，DEC21已决。
操作：打开详情，核对每笔费用来源和版本、明细合计；验证保存的原始请求、产品／单元／价卡版本、计费重规则、分区区间、方式要素和汇率版本；关闭后重新查。</x:v>
      </x:c>
      <x:c r="K65" s="10" t="str">
        <x:v>每条明细独立保留实际价格版本，允许同订单多卡多版本；明细合计等于订单成本。完整历史快照不随现行配置改变；关闭只读弹窗不修改历史。页面未展示的快照通过批准的只读接口／数据证据验证。</x:v>
      </x:c>
      <x:c r="L65" s="10" t="str">
        <x:v>REQ §6.4 计费历史详情／完成计费后快照；只读数据核查为测试方法，分期见DEC21</x:v>
      </x:c>
      <x:c r="M65" s="86"/>
      <x:c r="N65" s="86"/>
      <x:c r="O65" s="86"/>
      <x:c r="P65" s="10" t="str">
        <x:v>专项回归</x:v>
      </x:c>
      <x:c r="Q65" s="86"/>
      <x:c r="R65" s="86"/>
      <x:c r="S65" s="10" t="str">
        <x:v>正文＋待决策</x:v>
      </x:c>
      <x:c r="T65" s="10" t="str">
        <x:v>按逐费用实际版本核对，不假定一单只用一张卡一个版本；明细合计与完整快照保护分别验证。</x:v>
      </x:c>
      <x:c r="U65" s="10" t="str">
        <x:v>准备已知OMS多费多卡／版本，核对逐费金额、总额、原请求及计价要素；页面未展示项用批准只读证据。关闭详情后原记录不变。</x:v>
      </x:c>
      <x:c r="V65" s="10" t="str">
        <x:f>IF(D65="否","不适用",IF(D65&lt;&gt;"是","未纳入本批",IF(OR(LEN(TRIM('本批提测'!$B$10))=0,LEN(TRIM('本批提测'!$B$11))=0,'本批提测'!$B$12&lt;&gt;"已确认",F65&lt;&gt;"已确认",'本批提测'!$H$60&lt;&gt;"已确认",AND('本批提测'!$H$40&lt;&gt;"已确认",'本批提测'!$H$40&lt;&gt;"已记录后置")),"待确认","已确认")))</x:f>
        <x:v>未纳入本批</x:v>
      </x:c>
      <x:c r="W65" s="10" t="str">
        <x:v>保留／按批次选取</x:v>
      </x:c>
      <x:c r="X65" s="10" t="str">
        <x:v>设计复核后保留；关联DEC21、DEC01确认后方可执行判定。</x:v>
      </x:c>
      <x:c r="Y65" s="187"/>
      <x:c r="Z65" s="187" t="str">
        <x:v>功能专项，无直接Review映射</x:v>
      </x:c>
    </x:row>
    <x:row r="66" ht="217.5" customHeight="1">
      <x:c r="A66" s="10" t="str">
        <x:v>SM61</x:v>
      </x:c>
      <x:c r="B66" s="10" t="str">
        <x:v>服务组合</x:v>
      </x:c>
      <x:c r="C66" s="10" t="str">
        <x:v>已绑产品统计与当前引用去重</x:v>
      </x:c>
      <x:c r="D66" s="109" t="str">
        <x:v>待选择</x:v>
      </x:c>
      <x:c r="E66" s="109" t="str">
        <x:v>否</x:v>
      </x:c>
      <x:c r="F66" s="109" t="str">
        <x:v>待确认</x:v>
      </x:c>
      <x:c r="G66" s="109" t="str">
        <x:v>未执行</x:v>
      </x:c>
      <x:c r="H66" s="109"/>
      <x:c r="I66" s="13" t="str">
        <x:f>IF(D66="否","不适用",IF(D66&lt;&gt;"是","未纳入本批",IF(AND(E66&lt;&gt;"是",E66&lt;&gt;"否"),"关键项待分类",IF(V66&lt;&gt;"已确认","依据待确认",IF('本批提测'!$B$6&lt;&gt;"已就绪","批次未就绪",IF(OR(H66&lt;&gt;'本批提测'!$B$8,G66="",G66="未执行"),"未执行",IF(R66&lt;&gt;'本批提测'!$B$18,"基线已变，需复测",IF(LEN(TRIM(Q66))=0,"交付未映射",IF(AND(OR(G66="通过",G66="失败"),LEN(TRIM(M66))=0),"缺少证据",IF(AND(OR(G66="通过",G66="失败"),LEN(TRIM(O66))=0),"缺少执行人",IF(OR(G66="通过",G66="失败",G66="受阻",G66="依据待确认"),G66,"结果待填写")))))))))))</x:f>
        <x:v>未纳入本批</x:v>
      </x:c>
      <x:c r="J66" s="10" t="str">
        <x:v>前置：准备覆盖至少2范围的同一组合，被6个不同产品编码当前直接引用，其中4具有可用线上配置且未停用；另有仅引用成员单元的产品、同产品多节点／历史版本及无引用组合。多节点仅占不同服务范围，不构造非法同范围重复占位；使用专用关系，按实际产品状态判断可用。
操作：核对列表和详情X/Y；同产品增加不同范围节点及历史版本；变更成员／名称／策略；停用后恢复一已可用产品；移除一个未可用产品的全部当前组合引用；核对无引用及历史版本详情。</x:v>
      </x:c>
      <x:c r="K66" s="10" t="str">
        <x:v>初始4/6，无引用0/0；仅引用成员的产品不计入该组合。
同一产品多节点／历史版本只按产品编码计1；仅改成员、名称或策略不增加绑定数。
停用一个可用产品为3/6，恢复为4/6；移除一个未可用产品的全部当前引用后为4/5，不累加已经移除的历史引用。
历史版本配置追溯与当前实时绑定数区分，不将今日X/Y标成历史时点统计。</x:v>
      </x:c>
      <x:c r="L66" s="10" t="str">
        <x:v>REQ §6.2 服务组合列表：已绑产品数量统计规则／详情；2026-10-10逐条复核补漏</x:v>
      </x:c>
      <x:c r="M66" s="108"/>
      <x:c r="N66" s="108"/>
      <x:c r="O66" s="108"/>
      <x:c r="P66" s="10" t="str">
        <x:v>专项回归</x:v>
      </x:c>
      <x:c r="Q66" s="108"/>
      <x:c r="R66" s="108"/>
      <x:c r="S66" s="10" t="str">
        <x:v>需求正文</x:v>
      </x:c>
      <x:c r="T66" s="10" t="str">
        <x:v>绑定统计按当前直接引用的产品编码去重；节点重复、历史版本重复、仅引用成员是三种不同反例。</x:v>
      </x:c>
      <x:c r="U66" s="10" t="str">
        <x:v>无引用0/0；6个当前直接引用产品、4可用显示4/6；同产品多节点／多版本不增加。停用／恢复及移除节点按当前集合重算，不把今日数写成历史统计。</x:v>
      </x:c>
      <x:c r="V66" s="10" t="str">
        <x:f>IF(D66="否","不适用",IF(D66&lt;&gt;"是","未纳入本批",IF(OR(LEN(TRIM('本批提测'!$B$10))=0,LEN(TRIM('本批提测'!$B$11))=0,'本批提测'!$B$12&lt;&gt;"已确认",F66&lt;&gt;"已确认"),"待确认","已确认")))</x:f>
        <x:v>未纳入本批</x:v>
      </x:c>
      <x:c r="W66" s="10" t="str">
        <x:v>保留／按批次选取</x:v>
      </x:c>
      <x:c r="X66" s="10" t="str">
        <x:v>设计复核后保留；按交付范围及批准现行基线执行。</x:v>
      </x:c>
      <x:c r="Y66" s="187"/>
      <x:c r="Z66" s="187" t="str">
        <x:v>功能专项，无直接Review映射</x:v>
      </x:c>
    </x:row>
    <x:row r="67" ht="217.5" customHeight="1">
      <x:c r="A67" s="10" t="str">
        <x:v>SM62</x:v>
      </x:c>
      <x:c r="B67" s="10" t="str">
        <x:v>选路策略</x:v>
      </x:c>
      <x:c r="C67" s="10" t="str">
        <x:v>预置策略详情与引用次数</x:v>
      </x:c>
      <x:c r="D67" s="109" t="str">
        <x:v>待选择</x:v>
      </x:c>
      <x:c r="E67" s="109" t="str">
        <x:v>否</x:v>
      </x:c>
      <x:c r="F67" s="109" t="str">
        <x:v>待确认</x:v>
      </x:c>
      <x:c r="G67" s="109" t="str">
        <x:v>未执行</x:v>
      </x:c>
      <x:c r="H67" s="109"/>
      <x:c r="I67" s="13" t="str">
        <x:f>IF(D67="否","不适用",IF(D67&lt;&gt;"是","未纳入本批",IF(AND(E67&lt;&gt;"是",E67&lt;&gt;"否"),"关键项待分类",IF(V67&lt;&gt;"已确认","依据待确认",IF('本批提测'!$B$6&lt;&gt;"已就绪","批次未就绪",IF(OR(H67&lt;&gt;'本批提测'!$B$8,G67="",G67="未执行"),"未执行",IF(R67&lt;&gt;'本批提测'!$B$18,"基线已变，需复测",IF(LEN(TRIM(Q67))=0,"交付未映射",IF(AND(OR(G67="通过",G67="失败"),LEN(TRIM(M67))=0),"缺少证据",IF(AND(OR(G67="通过",G67="失败"),LEN(TRIM(O67))=0),"缺少执行人",IF(OR(G67="通过",G67="失败",G67="受阻",G67="依据待确认"),G67,"结果待填写")))))))))))</x:f>
        <x:v>未纳入本批</x:v>
      </x:c>
      <x:c r="J67" s="10" t="str">
        <x:v>前置：准备引用同一预置策略的1个启用组合和1个停用组合，带多历史版本；另有未被引用策略。策略算法仍按本批批准口径，不新建算法。
操作：打开预置策略及详情，核对计算规则说明和引用次数；关闭后重查；新增同一组合历史版本，再将一个组合当前配置改用另一策略，重查两策略计数。</x:v>
      </x:c>
      <x:c r="K67" s="10" t="str">
        <x:v>预置普通策略及规则说明正确；不提供已删除的新建策略功能，详情展示不改配置。
引用次数按当前引用策略的服务组合编码去重，启用及停用均计入；初始2，多历史版本不增计数，无当前引用为0。
一个组合当前改用另一策略后，原策略当前引用计数减1、新策略加1；原历史版本不累加为当前引用。
算法正确性另按SM34—38及DEC14验收，不能以引用计数通过替代。</x:v>
      </x:c>
      <x:c r="L67" s="10" t="str">
        <x:v>REQ §6.2 策略列表／详情／引用次数；新建策略划线删除及产品回复；2026-10-10复核补漏</x:v>
      </x:c>
      <x:c r="M67" s="108"/>
      <x:c r="N67" s="108"/>
      <x:c r="O67" s="108"/>
      <x:c r="P67" s="10" t="str">
        <x:v>专项回归</x:v>
      </x:c>
      <x:c r="Q67" s="108"/>
      <x:c r="R67" s="108"/>
      <x:c r="S67" s="10" t="str">
        <x:v>需求正文</x:v>
      </x:c>
      <x:c r="T67" s="10" t="str">
        <x:v>策略详情和当前引用次数独立于选路结果；按组合编码去重并包含启停，避免算法算对但引用统计或入口错误。</x:v>
      </x:c>
      <x:c r="U67" s="10" t="str">
        <x:v>启用／停用组合各一、多历史版本引用同一策略；当前改用另一策略后两端重算。已删除新建策略不纳入；规则说明只读核对，不现场改算法。</x:v>
      </x:c>
      <x:c r="V67" s="10" t="str">
        <x:f>IF(D67="否","不适用",IF(D67&lt;&gt;"是","未纳入本批",IF(OR(LEN(TRIM('本批提测'!$B$10))=0,LEN(TRIM('本批提测'!$B$11))=0,'本批提测'!$B$12&lt;&gt;"已确认",F67&lt;&gt;"已确认"),"待确认","已确认")))</x:f>
        <x:v>未纳入本批</x:v>
      </x:c>
      <x:c r="W67" s="10" t="str">
        <x:v>保留／按批次选取</x:v>
      </x:c>
      <x:c r="X67" s="10" t="str">
        <x:v>设计复核后保留；按交付范围及批准现行基线执行。</x:v>
      </x:c>
      <x:c r="Y67" s="187"/>
      <x:c r="Z67" s="187" t="str">
        <x:v>功能专项，无直接Review映射</x:v>
      </x:c>
    </x:row>
    <x:row r="68" ht="202.5" customHeight="1">
      <x:c r="A68" s="10" t="str">
        <x:v>SM63</x:v>
      </x:c>
      <x:c r="B68" s="10" t="str">
        <x:v>服务单元</x:v>
      </x:c>
      <x:c r="C68" s="10" t="str">
        <x:v>选填整数、默认货型与限制选中</x:v>
      </x:c>
      <x:c r="D68" s="138" t="str">
        <x:v>待选择</x:v>
      </x:c>
      <x:c r="E68" s="138" t="str">
        <x:v>否</x:v>
      </x:c>
      <x:c r="F68" s="138" t="str">
        <x:v>待确认</x:v>
      </x:c>
      <x:c r="G68" s="138" t="str">
        <x:v>未执行</x:v>
      </x:c>
      <x:c r="H68" s="138"/>
      <x:c r="I68" s="13" t="str">
        <x:f>IF(D68="否","不适用",IF(D68&lt;&gt;"是","未纳入本批",IF(AND(E68&lt;&gt;"是",E68&lt;&gt;"否"),"关键项待分类",IF(V68&lt;&gt;"已确认","依据待确认",IF('本批提测'!$B$6&lt;&gt;"已就绪","批次未就绪",IF(OR(H68&lt;&gt;'本批提测'!$B$8,G68="",G68="未执行"),"未执行",IF(R68&lt;&gt;'本批提测'!$B$18,"基线已变，需复测",IF(LEN(TRIM(Q68))=0,"交付未映射",IF(AND(OR(G68="通过",G68="失败"),LEN(TRIM(M68))=0),"缺少证据",IF(AND(OR(G68="通过",G68="失败"),LEN(TRIM(O68))=0),"缺少执行人",IF(OR(G68="通过",G68="失败",G68="受阻",G68="依据待确认"),G68,"结果待填写")))))))))))</x:f>
        <x:v>未纳入本批</x:v>
      </x:c>
      <x:c r="J68" s="10" t="str">
        <x:v>前置：合法单元；容量空／0／1／1.5／非数；货型空／单选／多选；限制规则跨至少2页。
操作：分别保存读回容量与货型；先选第一页规则，再搜索并跨页选／取消规则，保存重开；时间字段留空。</x:v>
      </x:c>
      <x:c r="K68" s="10" t="str">
        <x:v>容量及时间非必填；容量遵守整数类型，1.5／非数不应按合法整数保存；空与0显示区分。未选货型表示全部；选后仅保留对应类型。下单限制为可搜索多选且支持跨页，实际保存对象无丢失／重复；数量提示是否采纳Review删除方案按DEC22。容量零负业务边界及时间控件按DEC15，不擅定上限。</x:v>
      </x:c>
      <x:c r="L68" s="10" t="str">
        <x:v>REQ §6.2 新增服务单元；边界设计，具体待决项见K列；核对2026-10-10</x:v>
      </x:c>
      <x:c r="M68" s="137"/>
      <x:c r="N68" s="137"/>
      <x:c r="O68" s="137"/>
      <x:c r="P68" s="10" t="str">
        <x:v>专项回归</x:v>
      </x:c>
      <x:c r="Q68" s="137"/>
      <x:c r="R68" s="137"/>
      <x:c r="S68" s="10" t="str">
        <x:v>需求正文</x:v>
      </x:c>
      <x:c r="T68" s="10" t="str">
        <x:v>以可选字段等价类和跨页选择状态检查容量、货型、限制规则；容量整数校验与零负业务含义分开，避免空容量自动变成0。</x:v>
      </x:c>
      <x:c r="U68" s="10" t="str">
        <x:v>63-1 空／0／正整数／小数／非数容量；63-2 不勾货型默认全部；63-3 在第1、2页选择后搜索、返回并保存读回相同规则ID。零负与数量提示按DEC15／22批准，逐分支留证。</x:v>
      </x:c>
      <x:c r="V68" s="10" t="str">
        <x:f>IF(D68="否","不适用",IF(D68&lt;&gt;"是","未纳入本批",IF(OR(LEN(TRIM('本批提测'!$B$10))=0,LEN(TRIM('本批提测'!$B$11))=0,'本批提测'!$B$12&lt;&gt;"已确认",F68&lt;&gt;"已确认",'本批提测'!$H$54&lt;&gt;"已确认",'本批提测'!$H$61&lt;&gt;"已确认"),"待确认","已确认")))</x:f>
        <x:v>未纳入本批</x:v>
      </x:c>
      <x:c r="W68" s="10" t="str">
        <x:v>保留／按批次选取</x:v>
      </x:c>
      <x:c r="X68" s="10" t="str">
        <x:v>设计复核后保留；关联DEC15、DEC22确认后方可执行判定。</x:v>
      </x:c>
      <x:c r="Y68" s="187" t="str">
        <x:v>UI03</x:v>
      </x:c>
      <x:c r="Z68" s="191" t="str">
        <x:v>蓝色：组合复用</x:v>
      </x:c>
    </x:row>
    <x:row r="69" ht="202.5" customHeight="1">
      <x:c r="A69" s="10" t="str">
        <x:v>SM64</x:v>
      </x:c>
      <x:c r="B69" s="10" t="str">
        <x:v>服务组合</x:v>
      </x:c>
      <x:c r="C69" s="10" t="str">
        <x:v>查询交集、分页与两类空态</x:v>
      </x:c>
      <x:c r="D69" s="138" t="str">
        <x:v>待选择</x:v>
      </x:c>
      <x:c r="E69" s="138" t="str">
        <x:v>否</x:v>
      </x:c>
      <x:c r="F69" s="138" t="str">
        <x:v>待确认</x:v>
      </x:c>
      <x:c r="G69" s="138" t="str">
        <x:v>未执行</x:v>
      </x:c>
      <x:c r="H69" s="138"/>
      <x:c r="I69" s="13" t="str">
        <x:f>IF(D69="否","不适用",IF(D69&lt;&gt;"是","未纳入本批",IF(AND(E69&lt;&gt;"是",E69&lt;&gt;"否"),"关键项待分类",IF(V69&lt;&gt;"已确认","依据待确认",IF('本批提测'!$B$6&lt;&gt;"已就绪","批次未就绪",IF(OR(H69&lt;&gt;'本批提测'!$B$8,G69="",G69="未执行"),"未执行",IF(R69&lt;&gt;'本批提测'!$B$18,"基线已变，需复测",IF(LEN(TRIM(Q69))=0,"交付未映射",IF(AND(OR(G69="通过",G69="失败"),LEN(TRIM(M69))=0),"缺少证据",IF(AND(OR(G69="通过",G69="失败"),LEN(TRIM(O69))=0),"缺少执行人",IF(OR(G69="通过",G69="失败",G69="受阻",G69="依据待确认"),G69,"结果待填写")))))))))))</x:f>
        <x:v>未纳入本批</x:v>
      </x:c>
      <x:c r="J69" s="10" t="str">
        <x:v>前置：至少101条专用组合，含覆盖A/F、启停、名称／编码命中；无组合与筛选无结果场景。
操作：输入关键词按搜索／Enter；叠加范围和状态；在后页改筛选；复位全部，10／50／100翻到末页；切筛选或分页前后勾选。</x:v>
      </x:c>
      <x:c r="K69" s="10" t="str">
        <x:v>关键词按名称／编码；范围为包含匹配，筛选取交集，改筛选回第1页；默认10，支持10／50／100，101条末页分别1／1／1条且总数一致。无组合和筛选无结果文案区分，保留新建入口；表头仅选当前页，筛选／分页不保留不可见旧选中；空—与数量0区分。</x:v>
      </x:c>
      <x:c r="L69" s="10" t="str">
        <x:v>REQ §6.2 服务组合列表；边界设计，具体待决项见K列；核对2026-10-10</x:v>
      </x:c>
      <x:c r="M69" s="137"/>
      <x:c r="N69" s="137"/>
      <x:c r="O69" s="137"/>
      <x:c r="P69" s="10" t="str">
        <x:v>专项回归</x:v>
      </x:c>
      <x:c r="Q69" s="137"/>
      <x:c r="R69" s="137"/>
      <x:c r="S69" s="10" t="str">
        <x:v>需求正文</x:v>
      </x:c>
      <x:c r="T69" s="10" t="str">
        <x:v>建立已知组合清单作为查询对照，验证筛选交集、回车、重置与翻页。当前页全选与跨页选择分开检查，不凭总数量猜对象。</x:v>
      </x:c>
      <x:c r="U69" s="10" t="str">
        <x:v>64-1 启用／停用与A/F交叉数据；64-2 名称／编码关键字；64-3 101条对应10/50/100每页和最后1条；64-4 全选对象ID及改筛选后清选；64-5 无数据与无匹配提示。</x:v>
      </x:c>
      <x:c r="V69" s="10" t="str">
        <x:f>IF(D69="否","不适用",IF(D69&lt;&gt;"是","未纳入本批",IF(OR(LEN(TRIM('本批提测'!$B$10))=0,LEN(TRIM('本批提测'!$B$11))=0,'本批提测'!$B$12&lt;&gt;"已确认",F69&lt;&gt;"已确认"),"待确认","已确认")))</x:f>
        <x:v>未纳入本批</x:v>
      </x:c>
      <x:c r="W69" s="10" t="str">
        <x:v>保留／按批次选取</x:v>
      </x:c>
      <x:c r="X69" s="10" t="str">
        <x:v>设计复核后保留；按交付范围及批准现行基线执行。</x:v>
      </x:c>
      <x:c r="Y69" s="187"/>
      <x:c r="Z69" s="187" t="str">
        <x:v>功能专项，无直接Review映射</x:v>
      </x:c>
    </x:row>
    <x:row r="70" ht="202.5" customHeight="1">
      <x:c r="A70" s="10" t="str">
        <x:v>SM65</x:v>
      </x:c>
      <x:c r="B70" s="10" t="str">
        <x:v>服务组合</x:v>
      </x:c>
      <x:c r="C70" s="10" t="str">
        <x:v>成员增减、角色及覆盖实时汇总</x:v>
      </x:c>
      <x:c r="D70" s="138" t="str">
        <x:v>待选择</x:v>
      </x:c>
      <x:c r="E70" s="138" t="str">
        <x:v>否</x:v>
      </x:c>
      <x:c r="F70" s="138" t="str">
        <x:v>待确认</x:v>
      </x:c>
      <x:c r="G70" s="138" t="str">
        <x:v>未执行</x:v>
      </x:c>
      <x:c r="H70" s="138"/>
      <x:c r="I70" s="13" t="str">
        <x:f>IF(D70="否","不适用",IF(D70&lt;&gt;"是","未纳入本批",IF(AND(E70&lt;&gt;"是",E70&lt;&gt;"否"),"关键项待分类",IF(V70&lt;&gt;"已确认","依据待确认",IF('本批提测'!$B$6&lt;&gt;"已就绪","批次未就绪",IF(OR(H70&lt;&gt;'本批提测'!$B$8,G70="",G70="未执行"),"未执行",IF(R70&lt;&gt;'本批提测'!$B$18,"基线已变，需复测",IF(LEN(TRIM(Q70))=0,"交付未映射",IF(AND(OR(G70="通过",G70="失败"),LEN(TRIM(M70))=0),"缺少证据",IF(AND(OR(G70="通过",G70="失败"),LEN(TRIM(O70))=0),"缺少执行人",IF(OR(G70="通过",G70="失败",G70="受阻",G70="依据待确认"),G70,"结果待填写")))))))))))</x:f>
        <x:v>未纳入本批</x:v>
      </x:c>
      <x:c r="J70" s="10" t="str">
        <x:v>前置：覆盖A、A/F、B的不同编码成员；保存过自定义角色／优先级；旧成员停用。
操作：0→1→多成员→移除部分；搜索候选、取消及重开；增加同服务商同范围成员；读取空容量及0容量；保存读回。</x:v>
      </x:c>
      <x:c r="K70" s="10" t="str">
        <x:v>无成员展示待自动汇总且不能保存；覆盖按A–F汇总去重，组合类型由单／多范围自动生成且只读。未移除成员角色及优先级不重置，已保存值重开一致；新候选不含停用，旧停用保留标记可移除且排除选路；同服务商每范围最多1单元。不同服务商跨范围约束按DEC14，不自行推导限制。</x:v>
      </x:c>
      <x:c r="L70" s="10" t="str">
        <x:v>REQ §6.2 新增服务组合；边界设计，具体待决项见K列；核对2026-10-10</x:v>
      </x:c>
      <x:c r="M70" s="137"/>
      <x:c r="N70" s="137"/>
      <x:c r="O70" s="137"/>
      <x:c r="P70" s="10" t="str">
        <x:v>专项回归</x:v>
      </x:c>
      <x:c r="Q70" s="137"/>
      <x:c r="R70" s="137"/>
      <x:c r="S70" s="10" t="str">
        <x:v>需求正文</x:v>
      </x:c>
      <x:c r="T70" s="10" t="str">
        <x:v>用增删成员的前后差异检查覆盖并集、组合类型、角色优先级保留；同供应商同范围冲突独立验证，不用多种非法输入同时保存。</x:v>
      </x:c>
      <x:c r="U70" s="10" t="str">
        <x:v>65-1 A、A/F、B覆盖汇总为A/B/F去重有序；65-2 增删后原成员角色／级别不变；65-3 新停用不可选、既有停用保留；65-4 同商同段冲突，跨商跨段按DEC14；65-5 容量空与0显示。</x:v>
      </x:c>
      <x:c r="V70" s="10" t="str">
        <x:f>IF(D70="否","不适用",IF(D70&lt;&gt;"是","未纳入本批",IF(OR(LEN(TRIM('本批提测'!$B$10))=0,LEN(TRIM('本批提测'!$B$11))=0,'本批提测'!$B$12&lt;&gt;"已确认",F70&lt;&gt;"已确认",'本批提测'!$H$53&lt;&gt;"已确认"),"待确认","已确认")))</x:f>
        <x:v>未纳入本批</x:v>
      </x:c>
      <x:c r="W70" s="10" t="str">
        <x:v>保留／按批次选取</x:v>
      </x:c>
      <x:c r="X70" s="10" t="str">
        <x:v>设计复核后保留；关联DEC14确认后方可执行判定。</x:v>
      </x:c>
      <x:c r="Y70" s="187"/>
      <x:c r="Z70" s="187" t="str">
        <x:v>功能专项，无直接Review映射</x:v>
      </x:c>
    </x:row>
    <x:row r="71" ht="202.5" customHeight="1">
      <x:c r="A71" s="10" t="str">
        <x:v>SM66</x:v>
      </x:c>
      <x:c r="B71" s="10" t="str">
        <x:v>服务组合</x:v>
      </x:c>
      <x:c r="C71" s="10" t="str">
        <x:v>保存前引用失效与失败原子性</x:v>
      </x:c>
      <x:c r="D71" s="138" t="str">
        <x:v>待选择</x:v>
      </x:c>
      <x:c r="E71" s="138" t="str">
        <x:v>否</x:v>
      </x:c>
      <x:c r="F71" s="138" t="str">
        <x:v>待确认</x:v>
      </x:c>
      <x:c r="G71" s="138" t="str">
        <x:v>未执行</x:v>
      </x:c>
      <x:c r="H71" s="138"/>
      <x:c r="I71" s="13" t="str">
        <x:f>IF(D71="否","不适用",IF(D71&lt;&gt;"是","未纳入本批",IF(AND(E71&lt;&gt;"是",E71&lt;&gt;"否"),"关键项待分类",IF(V71&lt;&gt;"已确认","依据待确认",IF('本批提测'!$B$6&lt;&gt;"已就绪","批次未就绪",IF(OR(H71&lt;&gt;'本批提测'!$B$8,G71="",G71="未执行"),"未执行",IF(R71&lt;&gt;'本批提测'!$B$18,"基线已变，需复测",IF(LEN(TRIM(Q71))=0,"交付未映射",IF(AND(OR(G71="通过",G71="失败"),LEN(TRIM(M71))=0),"缺少证据",IF(AND(OR(G71="通过",G71="失败"),LEN(TRIM(O71))=0),"缺少执行人",IF(OR(G71="通过",G71="失败",G71="受阻",G71="依据待确认"),G71,"结果待填写")))))))))))</x:f>
        <x:v>未纳入本批</x:v>
      </x:c>
      <x:c r="J71" s="10" t="str">
        <x:v>前置：A会话打开表单并选合法成员／策略；B会话可在专用数据中使候选不可新增引用；原组合V1。
操作：A未保存时，B使新选成员停用／通过批准桩不可读，或策略失去可执行引用资格；A提交，不从单元页面删除单元。另用受控失败在保存配置、历史或当前指针阶段中断，再读回；失败恢复后保存。</x:v>
      </x:c>
      <x:c r="K71" s="10" t="str">
        <x:v>提交重新检查成员／策略存在和允许新增引用，不只依赖旧候选；非法新引用被拒，错误定位且输入保留。历史已停用成员保留规则不能误用于新引用。失败不成功提示、不留半版本，当前仍V1及原配置；恢复成功后完整V2，列表／详情／可选数据读新配置。受控故障只用批准的测试手段。</x:v>
      </x:c>
      <x:c r="L71" s="10" t="str">
        <x:v>REQ §6.2 保存逻辑2／5及版本补充约束；边界设计，具体待决项见K列；核对2026-10-10</x:v>
      </x:c>
      <x:c r="M71" s="137"/>
      <x:c r="N71" s="137"/>
      <x:c r="O71" s="137"/>
      <x:c r="P71" s="10" t="str">
        <x:v>专项回归</x:v>
      </x:c>
      <x:c r="Q71" s="137"/>
      <x:c r="R71" s="137"/>
      <x:c r="S71" s="10" t="str">
        <x:v>需求正文</x:v>
      </x:c>
      <x:c r="T71" s="10" t="str">
        <x:v>先读取候选，再改变依赖状态后保存，验证重新读取而非前端缓存；事务故障仅经批准桩模拟，比较主记录、历史和当前指针是否一致。</x:v>
      </x:c>
      <x:c r="U71" s="10" t="str">
        <x:v>66-1 候选读取后成员停用／不可读或策略不可执行；66-2 当前V1故障保存后仍完整V1；66-3 恢复后成功V2且旧版可读；66-4 保存失败输入保留及后续查询缓存；逐次记录对象与版本，不删单元制造异常。</x:v>
      </x:c>
      <x:c r="V71" s="10" t="str">
        <x:f>IF(D71="否","不适用",IF(D71&lt;&gt;"是","未纳入本批",IF(OR(LEN(TRIM('本批提测'!$B$10))=0,LEN(TRIM('本批提测'!$B$11))=0,'本批提测'!$B$12&lt;&gt;"已确认",F71&lt;&gt;"已确认"),"待确认","已确认")))</x:f>
        <x:v>未纳入本批</x:v>
      </x:c>
      <x:c r="W71" s="10" t="str">
        <x:v>保留／按批次选取</x:v>
      </x:c>
      <x:c r="X71" s="10" t="str">
        <x:v>设计复核后保留；按交付范围及批准现行基线执行。</x:v>
      </x:c>
      <x:c r="Y71" s="187"/>
      <x:c r="Z71" s="187" t="str">
        <x:v>功能专项，无直接Review映射</x:v>
      </x:c>
    </x:row>
    <x:row r="72" ht="202.5" customHeight="1">
      <x:c r="A72" s="10" t="str">
        <x:v>SM67</x:v>
      </x:c>
      <x:c r="B72" s="10" t="str">
        <x:v>选路策略</x:v>
      </x:c>
      <x:c r="C72" s="10" t="str">
        <x:v>容量等值边界与策略隔离</x:v>
      </x:c>
      <x:c r="D72" s="138" t="str">
        <x:v>待选择</x:v>
      </x:c>
      <x:c r="E72" s="138" t="str">
        <x:v>否</x:v>
      </x:c>
      <x:c r="F72" s="138" t="str">
        <x:v>待确认</x:v>
      </x:c>
      <x:c r="G72" s="138" t="str">
        <x:v>未执行</x:v>
      </x:c>
      <x:c r="H72" s="138"/>
      <x:c r="I72" s="13" t="str">
        <x:f>IF(D72="否","不适用",IF(D72&lt;&gt;"是","未纳入本批",IF(AND(E72&lt;&gt;"是",E72&lt;&gt;"否"),"关键项待分类",IF(V72&lt;&gt;"已确认","依据待确认",IF('本批提测'!$B$6&lt;&gt;"已就绪","批次未就绪",IF(OR(H72&lt;&gt;'本批提测'!$B$8,G72="",G72="未执行"),"未执行",IF(R72&lt;&gt;'本批提测'!$B$18,"基线已变，需复测",IF(LEN(TRIM(Q72))=0,"交付未映射",IF(AND(OR(G72="通过",G72="失败"),LEN(TRIM(M72))=0),"缺少证据",IF(AND(OR(G72="通过",G72="失败"),LEN(TRIM(O72))=0),"缺少执行人",IF(OR(G72="通过",G72="失败",G72="受阻",G72="依据待确认"),G72,"结果待填写")))))))))))</x:f>
        <x:v>未纳入本批</x:v>
      </x:c>
      <x:c r="J72" s="10" t="str">
        <x:v>前置：批准DEC14；实重600KG、进位计费重900KG；容量空／0／599／600／601，其他准入相同。
操作：容量策略逐组筛选；两笔独立600KG；再切优先级／最低成本策略，将低容量成员作为合法候选；另配置明确重量限制重测。</x:v>
      </x:c>
      <x:c r="K72" s="10" t="str">
        <x:v>容量策略仅按实重比较，600／601满足，599／0／空不满足，不以900计费重筛掉600；不累加、不拆单、不扣容量。其他策略不自动叠加容量筛选；有明确下单重量限制时仍检查该限制。多个满足和无成员按批准并列／失败口径。</x:v>
      </x:c>
      <x:c r="L72" s="10" t="str">
        <x:v>REQ §6.2 每天货量能力建议规则；边界设计，具体待决项见K列；核对2026-10-10</x:v>
      </x:c>
      <x:c r="M72" s="137"/>
      <x:c r="N72" s="137"/>
      <x:c r="O72" s="137"/>
      <x:c r="P72" s="10" t="str">
        <x:v>专项回归</x:v>
      </x:c>
      <x:c r="Q72" s="137"/>
      <x:c r="R72" s="137"/>
      <x:c r="S72" s="10" t="str">
        <x:v>需求建议待批准</x:v>
      </x:c>
      <x:c r="T72" s="10" t="str">
        <x:v>固定同一候选池只改实际重量或容量，检验C≥W阈值及空／0语义；再换策略作对照，发现把容量策略错误施加给所有算法的情况。</x:v>
      </x:c>
      <x:c r="U72" s="10" t="str">
        <x:v>67-1 实重600与计费重900；C为空、0、599、600、601；67-2 成员按已批准优先级逐个排除；67-3 不拆单、不减容量、不累计当日已用量；67-4 非容量策略只按其明确准入规则，算法需DEC14。</x:v>
      </x:c>
      <x:c r="V72" s="10" t="str">
        <x:f>IF(D72="否","不适用",IF(D72&lt;&gt;"是","未纳入本批",IF(OR(LEN(TRIM('本批提测'!$B$10))=0,LEN(TRIM('本批提测'!$B$11))=0,'本批提测'!$B$12&lt;&gt;"已确认",F72&lt;&gt;"已确认",'本批提测'!$H$53&lt;&gt;"已确认"),"待确认","已确认")))</x:f>
        <x:v>未纳入本批</x:v>
      </x:c>
      <x:c r="W72" s="10" t="str">
        <x:v>保留／按批次选取</x:v>
      </x:c>
      <x:c r="X72" s="10" t="str">
        <x:v>设计复核后保留；关联DEC14确认后方可执行判定。</x:v>
      </x:c>
      <x:c r="Y72" s="187"/>
      <x:c r="Z72" s="187" t="str">
        <x:v>功能专项，无直接Review映射</x:v>
      </x:c>
    </x:row>
    <x:row r="73" ht="202.5" customHeight="1">
      <x:c r="A73" s="10" t="str">
        <x:v>SM68</x:v>
      </x:c>
      <x:c r="B73" s="10" t="str">
        <x:v>选路策略</x:v>
      </x:c>
      <x:c r="C73" s="10" t="str">
        <x:v>最低成本同分、全失败与版本固定</x:v>
      </x:c>
      <x:c r="D73" s="138" t="str">
        <x:v>待选择</x:v>
      </x:c>
      <x:c r="E73" s="138" t="str">
        <x:v>否</x:v>
      </x:c>
      <x:c r="F73" s="138" t="str">
        <x:v>待确认</x:v>
      </x:c>
      <x:c r="G73" s="138" t="str">
        <x:v>未执行</x:v>
      </x:c>
      <x:c r="H73" s="138"/>
      <x:c r="I73" s="13" t="str">
        <x:f>IF(D73="否","不适用",IF(D73&lt;&gt;"是","未纳入本批",IF(AND(E73&lt;&gt;"是",E73&lt;&gt;"否"),"关键项待分类",IF(V73&lt;&gt;"已确认","依据待确认",IF('本批提测'!$B$6&lt;&gt;"已就绪","批次未就绪",IF(OR(H73&lt;&gt;'本批提测'!$B$8,G73="",G73="未执行"),"未执行",IF(R73&lt;&gt;'本批提测'!$B$18,"基线已变，需复测",IF(LEN(TRIM(Q73))=0,"交付未映射",IF(AND(OR(G73="通过",G73="失败"),LEN(TRIM(M73))=0),"缺少证据",IF(AND(OR(G73="通过",G73="失败"),LEN(TRIM(O73))=0),"缺少执行人",IF(OR(G73="通过",G73="失败",G73="受阻",G73="依据待确认"),G73,"结果待填写")))))))))))</x:f>
        <x:v>未纳入本批</x:v>
      </x:c>
      <x:c r="J73" s="10" t="str">
        <x:v>前置：批准DEC14／DEC19；完整成本A130、B100；两成员同结算币种、同职责；同成本组、不同币种按批准FX；所有成员缺有效卡组。
操作：比较正常、同成本及全缺卡；通过批准测试桩在比较完成后、最终取价前改变B价卡／燃油，核对最终执行版本；下一独立请求重算。</x:v>
      </x:c>
      <x:c r="K73" s="10" t="str">
        <x:v>比较完整最终成本而非单价；同成本按批准角色／优先级，外币统一后比较；缺卡不能当0胜出，全不能报价返回具体失败原因。已选成员本次继续使用比较固定的价卡／规则版本，不混入更新价；下一请求读取当前有效版本。精度／FX缺失与金额相同口径DEC19待决。</x:v>
      </x:c>
      <x:c r="L73" s="10" t="str">
        <x:v>REQ §6.2 最低成本步骤2／4／5及Case P-04；边界设计，具体待决项见K列；核对2026-10-10</x:v>
      </x:c>
      <x:c r="M73" s="137"/>
      <x:c r="N73" s="137"/>
      <x:c r="O73" s="137"/>
      <x:c r="P73" s="10" t="str">
        <x:v>专项回归</x:v>
      </x:c>
      <x:c r="Q73" s="137"/>
      <x:c r="R73" s="137"/>
      <x:c r="S73" s="10" t="str">
        <x:v>需求正文</x:v>
      </x:c>
      <x:c r="T73" s="10" t="str">
        <x:v>按完整费用账本比较候选，分开验证单价、总价、同分、外币和无可报价；固定本次比较版本后再变更价格，检验请求内一致性。</x:v>
      </x:c>
      <x:c r="U73" s="10" t="str">
        <x:v>68-1 P-04 A130/B100选B；68-2 B缺卡选A、全缺返回原因；68-3 总价同分及外币按批准规则；68-4 比较期间价卡变更，本次用固定版本、下次用新版本；留每候选明细和排除理由。</x:v>
      </x:c>
      <x:c r="V73" s="10" t="str">
        <x:f>IF(D73="否","不适用",IF(D73&lt;&gt;"是","未纳入本批",IF(OR(LEN(TRIM('本批提测'!$B$10))=0,LEN(TRIM('本批提测'!$B$11))=0,'本批提测'!$B$12&lt;&gt;"已确认",F73&lt;&gt;"已确认",'本批提测'!$H$53&lt;&gt;"已确认",'本批提测'!$H$58&lt;&gt;"已确认"),"待确认","已确认")))</x:f>
        <x:v>未纳入本批</x:v>
      </x:c>
      <x:c r="W73" s="10" t="str">
        <x:v>保留／按批次选取</x:v>
      </x:c>
      <x:c r="X73" s="10" t="str">
        <x:v>设计复核后保留；关联DEC14、DEC19确认后方可执行判定。</x:v>
      </x:c>
      <x:c r="Y73" s="187"/>
      <x:c r="Z73" s="187" t="str">
        <x:v>功能专项，无直接Review映射</x:v>
      </x:c>
    </x:row>
    <x:row r="74" ht="202.5" customHeight="1">
      <x:c r="A74" s="10" t="str">
        <x:v>SM69</x:v>
      </x:c>
      <x:c r="B74" s="10" t="str">
        <x:v>成本价卡</x:v>
      </x:c>
      <x:c r="C74" s="10" t="str">
        <x:v>生效开始严格未来与结束可空</x:v>
      </x:c>
      <x:c r="D74" s="138" t="str">
        <x:v>待选择</x:v>
      </x:c>
      <x:c r="E74" s="138" t="str">
        <x:v>否</x:v>
      </x:c>
      <x:c r="F74" s="138" t="str">
        <x:v>待确认</x:v>
      </x:c>
      <x:c r="G74" s="138" t="str">
        <x:v>未执行</x:v>
      </x:c>
      <x:c r="H74" s="138"/>
      <x:c r="I74" s="13" t="str">
        <x:f>IF(D74="否","不适用",IF(D74&lt;&gt;"是","未纳入本批",IF(AND(E74&lt;&gt;"是",E74&lt;&gt;"否"),"关键项待分类",IF(V74&lt;&gt;"已确认","依据待确认",IF('本批提测'!$B$6&lt;&gt;"已就绪","批次未就绪",IF(OR(H74&lt;&gt;'本批提测'!$B$8,G74="",G74="未执行"),"未执行",IF(R74&lt;&gt;'本批提测'!$B$18,"基线已变，需复测",IF(LEN(TRIM(Q74))=0,"交付未映射",IF(AND(OR(G74="通过",G74="失败"),LEN(TRIM(M74))=0),"缺少证据",IF(AND(OR(G74="通过",G74="失败"),LEN(TRIM(O74))=0),"缺少执行人",IF(OR(G74="通过",G74="失败",G74="受阻",G74="依据待确认"),G74,"结果待填写")))))))))))</x:f>
        <x:v>未纳入本批</x:v>
      </x:c>
      <x:c r="J74" s="10" t="str">
        <x:v>前置：可控当前时间T0；ε为本批时间精度；合法静态卡及启用绑定单元。
操作：新建开始=T0−ε／T0／T0+ε；结束空、等开始、早开始、晚开始；未来卡启用后在开始前／时点／后和结束前／时点／后试算；编辑旧已生效卡回显旧日期。</x:v>
      </x:c>
      <x:c r="K74" s="10" t="str">
        <x:v>新建开始必须严格晚于当前时间，仅T0+ε通过；结束可空即无限，填写则严格晚于开始。保存待生效；仅启用且报价在有效期内参加新计算，到期统一停用。命中时间端点、旧卡编辑是否重校验未来时间按DEC19确认，不能强制旧开始改未来或假定端点闭合。</x:v>
      </x:c>
      <x:c r="L74" s="10" t="str">
        <x:v>REQ §6.3 基本信息／版本规则；边界设计，具体待决项见K列；核对2026-10-10</x:v>
      </x:c>
      <x:c r="M74" s="137"/>
      <x:c r="N74" s="137"/>
      <x:c r="O74" s="137"/>
      <x:c r="P74" s="10" t="str">
        <x:v>专项回归</x:v>
      </x:c>
      <x:c r="Q74" s="137"/>
      <x:c r="R74" s="137"/>
      <x:c r="S74" s="10" t="str">
        <x:v>需求正文</x:v>
      </x:c>
      <x:c r="T74" s="10" t="str">
        <x:v>以同一可控当前时点及系统支持的最小精度ε检查严格大于关系；新建、既有生效卡编辑和报价状态查询分别执行，避免混用校验时点。</x:v>
      </x:c>
      <x:c r="U74" s="10" t="str">
        <x:v>69-1 新开始T−ε/T/T+ε；69-2 结束空／小于／等于／大于开始；69-3 同报价时点开始前／期内／期后；69-4 编辑已生效旧开始按DEC19，不修改系统时钟；截图同时记录服务器或批准控制时点。</x:v>
      </x:c>
      <x:c r="V74" s="10" t="str">
        <x:f>IF(D74="否","不适用",IF(D74&lt;&gt;"是","未纳入本批",IF(OR(LEN(TRIM('本批提测'!$B$10))=0,LEN(TRIM('本批提测'!$B$11))=0,'本批提测'!$B$12&lt;&gt;"已确认",F74&lt;&gt;"已确认",'本批提测'!$H$58&lt;&gt;"已确认"),"待确认","已确认")))</x:f>
        <x:v>未纳入本批</x:v>
      </x:c>
      <x:c r="W74" s="10" t="str">
        <x:v>保留／按批次选取</x:v>
      </x:c>
      <x:c r="X74" s="10" t="str">
        <x:v>设计复核后保留；关联DEC19确认后方可执行判定。</x:v>
      </x:c>
      <x:c r="Y74" s="187"/>
      <x:c r="Z74" s="187" t="str">
        <x:v>功能专项，无直接Review映射</x:v>
      </x:c>
    </x:row>
    <x:row r="75" ht="202.5" customHeight="1">
      <x:c r="A75" s="10" t="str">
        <x:v>SM70</x:v>
      </x:c>
      <x:c r="B75" s="10" t="str">
        <x:v>成本价卡</x:v>
      </x:c>
      <x:c r="C75" s="10" t="str">
        <x:v>九种方式与条件字段及行操作</x:v>
      </x:c>
      <x:c r="D75" s="138" t="str">
        <x:v>待选择</x:v>
      </x:c>
      <x:c r="E75" s="138" t="str">
        <x:v>否</x:v>
      </x:c>
      <x:c r="F75" s="138" t="str">
        <x:v>待确认</x:v>
      </x:c>
      <x:c r="G75" s="138" t="str">
        <x:v>未执行</x:v>
      </x:c>
      <x:c r="H75" s="138"/>
      <x:c r="I75" s="13" t="str">
        <x:f>IF(D75="否","不适用",IF(D75&lt;&gt;"是","未纳入本批",IF(AND(E75&lt;&gt;"是",E75&lt;&gt;"否"),"关键项待分类",IF(V75&lt;&gt;"已确认","依据待确认",IF('本批提测'!$B$6&lt;&gt;"已就绪","批次未就绪",IF(OR(H75&lt;&gt;'本批提测'!$B$8,G75="",G75="未执行"),"未执行",IF(R75&lt;&gt;'本批提测'!$B$18,"基线已变，需复测",IF(LEN(TRIM(Q75))=0,"交付未映射",IF(AND(OR(G75="通过",G75="失败"),LEN(TRIM(M75))=0),"缺少证据",IF(AND(OR(G75="通过",G75="失败"),LEN(TRIM(O75))=0),"缺少执行人",IF(OR(G75="通过",G75="失败",G75="受阻",G75="依据待确认"),G75,"结果待填写")))))))))))</x:f>
        <x:v>未纳入本批</x:v>
      </x:c>
      <x:c r="J75" s="10" t="str">
        <x:v>前置：9种方式各1行；均摊行0／1／多；价格0／负数／非数；完整费用、起终点多选、要素、币种和燃油字段。
操作：逐方式切换，依次缺每个必填字段；混合普通／均摊行；复制后单改副本、删除最后有效行；步长0.1／0.5及固定总价；条件表达式命中／不命中。
均摊专项批准后，用引用报关场景400元／20箱／5单／90KG分别配置三种分摊方式并独立计算，不同时叠加。</x:v>
      </x:c>
      <x:c r="K75" s="10" t="str">
        <x:v>本期9种方式及字典来源正确；均摊要素仅均摊类展示且必填，无均摊时整列隐藏；普通／均摊切换无残留校验。字段校验按SM41。复制后各字段一致且单改副本不改原行；复制形成同分组重叠仍须拦截；静态卡0有效行不能保存／启用。固定计费不因步长改变金额；0.1／0.5按批准方向进位。批准引用报关例：400÷20=20/箱、400÷5=80/单、400÷90=4.444…/KG；不得将显示4.44直接回乘作精确400，分摊尾差须DEC19。正文未完整约定静态非法步长及九种公式，引用场景不能替代完整契约。</x:v>
      </x:c>
      <x:c r="L75" s="10" t="str">
        <x:v>REQ §6.3 价卡明细／保存校验；边界设计，具体待决项见K列；核对2026-10-10</x:v>
      </x:c>
      <x:c r="M75" s="137"/>
      <x:c r="N75" s="137"/>
      <x:c r="O75" s="137"/>
      <x:c r="P75" s="10" t="str">
        <x:v>专项回归</x:v>
      </x:c>
      <x:c r="Q75" s="137"/>
      <x:c r="R75" s="137"/>
      <x:c r="S75" s="10" t="str">
        <x:v>需求正文</x:v>
      </x:c>
      <x:c r="T75" s="10" t="str">
        <x:v>按九种方式逐一验证可选项和条件字段，用普通／均摊转换覆盖展示矩阵；复制值相同与可保存分开。引用分摊样例用不同分母独立核算，显示精度与计算精度分开。</x:v>
      </x:c>
      <x:c r="U75" s="10" t="str">
        <x:v>70-1 九方式和逐字段缺填；70-2 普通／均摊条件字段；70-3 副本隔离与重叠；70-4 0/1有效行；70-5 固定／0.1/0.5进位；70-6 批准引用400元分别÷20箱、÷5单、÷90KG；显示4.44回乘仅399.60，尾差另确认。</x:v>
      </x:c>
      <x:c r="V75" s="10" t="str">
        <x:f>IF(D75="否","不适用",IF(D75&lt;&gt;"是","未纳入本批",IF(OR(LEN(TRIM('本批提测'!$B$10))=0,LEN(TRIM('本批提测'!$B$11))=0,'本批提测'!$B$12&lt;&gt;"已确认",F75&lt;&gt;"已确认",'本批提测'!$H$58&lt;&gt;"已确认"),"待确认","已确认")))</x:f>
        <x:v>未纳入本批</x:v>
      </x:c>
      <x:c r="W75" s="10" t="str">
        <x:v>保留／按批次选取</x:v>
      </x:c>
      <x:c r="X75" s="10" t="str">
        <x:v>设计复核后保留；关联DEC19确认后方可执行判定。</x:v>
      </x:c>
      <x:c r="Y75" s="187"/>
      <x:c r="Z75" s="187" t="str">
        <x:v>功能专项，无直接Review映射</x:v>
      </x:c>
    </x:row>
    <x:row r="76" ht="202.5" customHeight="1">
      <x:c r="A76" s="10" t="str">
        <x:v>SM71</x:v>
      </x:c>
      <x:c r="B76" s="10" t="str">
        <x:v>燃油规则</x:v>
      </x:c>
      <x:c r="C76" s="10" t="str">
        <x:v>静动态字段及适用对象条件校验</x:v>
      </x:c>
      <x:c r="D76" s="138" t="str">
        <x:v>待选择</x:v>
      </x:c>
      <x:c r="E76" s="138" t="str">
        <x:v>否</x:v>
      </x:c>
      <x:c r="F76" s="138" t="str">
        <x:v>待确认</x:v>
      </x:c>
      <x:c r="G76" s="138" t="str">
        <x:v>未执行</x:v>
      </x:c>
      <x:c r="H76" s="138"/>
      <x:c r="I76" s="13" t="str">
        <x:f>IF(D76="否","不适用",IF(D76&lt;&gt;"是","未纳入本批",IF(AND(E76&lt;&gt;"是",E76&lt;&gt;"否"),"关键项待分类",IF(V76&lt;&gt;"已确认","依据待确认",IF('本批提测'!$B$6&lt;&gt;"已就绪","批次未就绪",IF(OR(H76&lt;&gt;'本批提测'!$B$8,G76="",G76="未执行"),"未执行",IF(R76&lt;&gt;'本批提测'!$B$18,"基线已变，需复测",IF(LEN(TRIM(Q76))=0,"交付未映射",IF(AND(OR(G76="通过",G76="失败"),LEN(TRIM(M76))=0),"缺少证据",IF(AND(OR(G76="通过",G76="失败"),LEN(TRIM(O76))=0),"缺少执行人",IF(OR(G76="通过",G76="失败",G76="受阻",G76="依据待确认"),G76,"结果待填写")))))))))))</x:f>
        <x:v>未纳入本批</x:v>
      </x:c>
      <x:c r="J76" s="10" t="str">
        <x:v>前置：静态比例空／0／-0.01／非数；动态仅URL／仅API／两者／都空；全局／供应商／渠道；对象0／1／多。
操作：逐项缺规则名／基数／来源／开始／范围保存；切基数、来源、范围；提交各组并保存重开。</x:v>
      </x:c>
      <x:c r="K76" s="10" t="str">
        <x:v>列出的5项必填；静态加收比例必填且数字≥0，0合法、负／非数不合法。动态隐藏比例并显示URL/API，至少1项；供应商／渠道至少1对象且可多选，全局不要求虚构对象。系统费用项随运费／附加费基数固定且不可编辑；结束空长期；切换后生效数据及回显对应新分支，不以隐藏旧比例／对象冒充新输入。</x:v>
      </x:c>
      <x:c r="L76" s="10" t="str">
        <x:v>REQ §6.3 燃油新增／编辑规则；边界设计，具体待决项见K列；核对2026-10-10</x:v>
      </x:c>
      <x:c r="M76" s="137"/>
      <x:c r="N76" s="137"/>
      <x:c r="O76" s="137"/>
      <x:c r="P76" s="10" t="str">
        <x:v>专项回归</x:v>
      </x:c>
      <x:c r="Q76" s="137"/>
      <x:c r="R76" s="137"/>
      <x:c r="S76" s="10" t="str">
        <x:v>需求正文</x:v>
      </x:c>
      <x:c r="T76" s="10" t="str">
        <x:v>用静态／动态分支决策表核查必填和隐藏字段，再检查适用范围与对象数量；字段格式合法不等于外部抓取成功，结果证据分开。</x:v>
      </x:c>
      <x:c r="U76" s="10" t="str">
        <x:v>71-1 静态比例空／0／负／非数；71-2 动态URL、API仅其一／两者／全空；71-3 全局／供应商／渠道对象0/1/多；71-4 必填项逐缺；71-5 默认运费／附加费名称只读，结束空长期；不调用供应商实接口。</x:v>
      </x:c>
      <x:c r="V76" s="10" t="str">
        <x:f>IF(D76="否","不适用",IF(D76&lt;&gt;"是","未纳入本批",IF(OR(LEN(TRIM('本批提测'!$B$10))=0,LEN(TRIM('本批提测'!$B$11))=0,'本批提测'!$B$12&lt;&gt;"已确认",F76&lt;&gt;"已确认"),"待确认","已确认")))</x:f>
        <x:v>未纳入本批</x:v>
      </x:c>
      <x:c r="W76" s="10" t="str">
        <x:v>保留／按批次选取</x:v>
      </x:c>
      <x:c r="X76" s="10" t="str">
        <x:v>设计复核后保留；按交付范围及批准现行基线执行。</x:v>
      </x:c>
      <x:c r="Y76" s="187"/>
      <x:c r="Z76" s="187" t="str">
        <x:v>功能专项，无直接Review映射</x:v>
      </x:c>
    </x:row>
    <x:row r="77" ht="210" customHeight="1">
      <x:c r="A77" s="10" t="str">
        <x:v>SM72</x:v>
      </x:c>
      <x:c r="B77" s="10" t="str">
        <x:v>地点与Zone</x:v>
      </x:c>
      <x:c r="C77" s="10" t="str">
        <x:v>邮编精确、前缀、区间实际命中</x:v>
      </x:c>
      <x:c r="D77" s="138" t="str">
        <x:v>待选择</x:v>
      </x:c>
      <x:c r="E77" s="138" t="str">
        <x:v>否</x:v>
      </x:c>
      <x:c r="F77" s="138" t="str">
        <x:v>待确认</x:v>
      </x:c>
      <x:c r="G77" s="138" t="str">
        <x:v>未执行</x:v>
      </x:c>
      <x:c r="H77" s="138"/>
      <x:c r="I77" s="13" t="str">
        <x:f>IF(D77="否","不适用",IF(D77&lt;&gt;"是","未纳入本批",IF(AND(E77&lt;&gt;"是",E77&lt;&gt;"否"),"关键项待分类",IF(V77&lt;&gt;"已确认","依据待确认",IF('本批提测'!$B$6&lt;&gt;"已就绪","批次未就绪",IF(OR(H77&lt;&gt;'本批提测'!$B$8,G77="",G77="未执行"),"未执行",IF(R77&lt;&gt;'本批提测'!$B$18,"基线已变，需复测",IF(LEN(TRIM(Q77))=0,"交付未映射",IF(AND(OR(G77="通过",G77="失败"),LEN(TRIM(M77))=0),"缺少证据",IF(AND(OR(G77="通过",G77="失败"),LEN(TRIM(O77))=0),"缺少执行人",IF(OR(G77="通过",G77="失败",G77="受阻",G77="依据待确认"),G77,"结果待填写")))))))))))</x:f>
        <x:v>未纳入本批</x:v>
      </x:c>
      <x:c r="J77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前置：启用地点／Zone和可匹配静态卡；表达式90045、518*、518000-518199按正文可用语法维护；批准匹配口径。
操作：测试90045／90046、518123／519123、517999／518000／518199／518200；包含／排除同国；地点邮编修改后查看Zone和新试算，重查历史快照。</x:v>
      </x:c>
      <x:c r="K77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三类表达支持保存读回及实际匹配，不只检验文本展示；精确和前缀命中对应范围，显然区间内外分别核对，区间端点、前导零、重叠多命中优先级、非法／空行处理须本批批准，未定义不判通过。国家同项不能同时包含／排除；仅启用Zone供选择／匹配，邮编引用更新但不覆盖旧订单快照；不关联计费DEC19为邮编规则。</x:v>
      </x:c>
      <x:c r="L77" s="10" t="str">
        <x:v>REQ §6.5 地点与邮编；§6.3 Zone维护；边界设计，具体待决项见K列；核对2026-10-10
网站只读对照 WEB02、WEB08、WEB10，2026-10-12；具体URL及未验证范围见「网站详情对照」。当前实现不替代批准需求。</x:v>
      </x:c>
      <x:c r="M77" s="137"/>
      <x:c r="N77" s="137"/>
      <x:c r="O77" s="137"/>
      <x:c r="P77" s="10" t="str">
        <x:v>专项回归</x:v>
      </x:c>
      <x:c r="Q77" s="137"/>
      <x:c r="R77" s="137"/>
      <x:c r="S77" s="10" t="str">
        <x:v>需求正文</x:v>
      </x:c>
      <x:c r="T77" s="10" t="str">
        <x:v>把邮编表达式存储检查与实际命中分开，以精确、前缀、连续区间的内外数据建立匹配对照；端点与歧义仅按批准口径断言。</x:v>
      </x:c>
      <x:c r="U77" s="10" t="str">
        <x:v>72-1 精确90045与90046；72-2 前缀518与519；72-3 区间517999/518000/518199/518200；72-4 包含／排除国家、Zone启停；72-5 改地点邮编后新匹配更新、历史保留。端点、前导零、重叠优先级单独待批准。
增加网站证据：记录group/resource、对象名称、主/子列表作用域及字段回显；写入/权限/持久化另取本批执行证据。</x:v>
      </x:c>
      <x:c r="V77" s="10" t="str">
        <x:f>IF(D77="否","不适用",IF(D77&lt;&gt;"是","未纳入本批",IF(OR(LEN(TRIM('本批提测'!$B$10))=0,LEN(TRIM('本批提测'!$B$11))=0,'本批提测'!$B$12&lt;&gt;"已确认",F77&lt;&gt;"已确认",'本批提测'!$H$158&lt;&gt;"已确认"),"待确认","已确认")))</x:f>
        <x:v>未纳入本批</x:v>
      </x:c>
      <x:c r="W77" s="10" t="str">
        <x:v>网站对照修订</x:v>
      </x:c>
      <x:c r="X77" s="10" t="str">
        <x:v>保留原地点与匹配合同，增加独立对象映射及可执行前提。</x:v>
      </x:c>
      <x:c r="Y77" s="187"/>
      <x:c r="Z77" s="187" t="str">
        <x:v>功能专项，无直接Review映射</x:v>
      </x:c>
    </x:row>
    <x:row r="78" ht="202.5" customHeight="1">
      <x:c r="A78" s="10" t="str">
        <x:v>SM73</x:v>
      </x:c>
      <x:c r="B78" s="10" t="str">
        <x:v>产品编排</x:v>
      </x:c>
      <x:c r="C78" s="10" t="str">
        <x:v>基础信息默认与交集、最小抛比</x:v>
      </x:c>
      <x:c r="D78" s="138" t="str">
        <x:v>待选择</x:v>
      </x:c>
      <x:c r="E78" s="138" t="str">
        <x:v>否</x:v>
      </x:c>
      <x:c r="F78" s="138" t="str">
        <x:v>待确认</x:v>
      </x:c>
      <x:c r="G78" s="138" t="str">
        <x:v>未执行</x:v>
      </x:c>
      <x:c r="H78" s="138"/>
      <x:c r="I78" s="13" t="str">
        <x:f>IF(D78="否","不适用",IF(D78&lt;&gt;"是","未纳入本批",IF(AND(E78&lt;&gt;"是",E78&lt;&gt;"否"),"关键项待分类",IF(V78&lt;&gt;"已确认","依据待确认",IF('本批提测'!$B$6&lt;&gt;"已就绪","批次未就绪",IF(OR(H78&lt;&gt;'本批提测'!$B$8,G78="",G78="未执行"),"未执行",IF(R78&lt;&gt;'本批提测'!$B$18,"基线已变，需复测",IF(LEN(TRIM(Q78))=0,"交付未映射",IF(AND(OR(G78="通过",G78="失败"),LEN(TRIM(M78))=0),"缺少证据",IF(AND(OR(G78="通过",G78="失败"),LEN(TRIM(O78))=0),"缺少执行人",IF(OR(G78="通过",G78="失败",G78="受阻",G78="依据待确认"),G78,"结果待填写")))))))))))</x:f>
        <x:v>未纳入本批</x:v>
      </x:c>
      <x:c r="J78" s="10" t="str">
        <x:v>前置：合法链路；成员抛比5000／6000／7000；截单A全周9–18、B周一至五9–16、C周四至日10–18；重复产品编码。
操作：查看空表单默认，缺名称／编码／链路／抛比保存；提交重复编码；选择上述链路读默认，再手工修改允许字段保存读回；另测无交集／组合成员抛比差异。</x:v>
      </x:c>
      <x:c r="K78" s="10" t="str">
        <x:v>名称／编码初始空且必填，编码唯一且保存后不改；仅编码明确唯一，不擅定名称全局唯一。类型默认SN318且可SN487/SN741，时效默认5–6工作日可改，含税／公开默认是。默认抛比5000，默认截单周四至五10–16。已删Sheet／产品生效时间不验收；空交集、组合参与取值及进位配置来源需本批确认，不编造默认可用时间。</x:v>
      </x:c>
      <x:c r="L78" s="10" t="str">
        <x:v>REQ §6.4 产品基础信息／默认截单示例；边界设计，具体待决项见K列；核对2026-10-10</x:v>
      </x:c>
      <x:c r="M78" s="137"/>
      <x:c r="N78" s="137"/>
      <x:c r="O78" s="137"/>
      <x:c r="P78" s="10" t="str">
        <x:v>专项回归</x:v>
      </x:c>
      <x:c r="Q78" s="137"/>
      <x:c r="R78" s="137"/>
      <x:c r="S78" s="10" t="str">
        <x:v>需求正文</x:v>
      </x:c>
      <x:c r="T78" s="10" t="str">
        <x:v>分别检查空表单默认、编码唯一和链路派生默认，不用人工改值掩盖默认计算错误；截单交集按星期与时间两维独立核算。</x:v>
      </x:c>
      <x:c r="U78" s="10" t="str">
        <x:v>73-1 名称／编码／链路／抛比逐缺；73-2 重复码不新增；73-3 D5000/6000/7000取5000；73-4 三组时间交集周四五10–16；73-5 空交集和组合默认待批准；产品类型／税／公开／时效分别保存读回。</x:v>
      </x:c>
      <x:c r="V78" s="10" t="str">
        <x:f>IF(D78="否","不适用",IF(D78&lt;&gt;"是","未纳入本批",IF(OR(LEN(TRIM('本批提测'!$B$10))=0,LEN(TRIM('本批提测'!$B$11))=0,'本批提测'!$B$12&lt;&gt;"已确认",F78&lt;&gt;"已确认"),"待确认","已确认")))</x:f>
        <x:v>未纳入本批</x:v>
      </x:c>
      <x:c r="W78" s="10" t="str">
        <x:v>保留／按批次选取</x:v>
      </x:c>
      <x:c r="X78" s="10" t="str">
        <x:v>设计复核后保留；按交付范围及批准现行基线执行。</x:v>
      </x:c>
      <x:c r="Y78" s="187"/>
      <x:c r="Z78" s="187" t="str">
        <x:v>功能专项，无直接Review映射</x:v>
      </x:c>
    </x:row>
    <x:row r="79" ht="202.5" customHeight="1">
      <x:c r="A79" s="10" t="str">
        <x:v>SM74</x:v>
      </x:c>
      <x:c r="B79" s="10" t="str">
        <x:v>产品编排</x:v>
      </x:c>
      <x:c r="C79" s="10" t="str">
        <x:v>费用行默认、步长及逐卡失败定位</x:v>
      </x:c>
      <x:c r="D79" s="138" t="str">
        <x:v>待选择</x:v>
      </x:c>
      <x:c r="E79" s="138" t="str">
        <x:v>否</x:v>
      </x:c>
      <x:c r="F79" s="138" t="str">
        <x:v>待确认</x:v>
      </x:c>
      <x:c r="G79" s="138" t="str">
        <x:v>未执行</x:v>
      </x:c>
      <x:c r="H79" s="138"/>
      <x:c r="I79" s="13" t="str">
        <x:f>IF(D79="否","不适用",IF(D79&lt;&gt;"是","未纳入本批",IF(AND(E79&lt;&gt;"是",E79&lt;&gt;"否"),"关键项待分类",IF(V79&lt;&gt;"已确认","依据待确认",IF('本批提测'!$B$6&lt;&gt;"已就绪","批次未就绪",IF(OR(H79&lt;&gt;'本批提测'!$B$8,G79="",G79="未执行"),"未执行",IF(R79&lt;&gt;'本批提测'!$B$18,"基线已变，需复测",IF(LEN(TRIM(Q79))=0,"交付未映射",IF(AND(OR(G79="通过",G79="失败"),LEN(TRIM(M79))=0),"缺少证据",IF(AND(OR(G79="通过",G79="失败"),LEN(TRIM(O79))=0),"缺少执行人",IF(OR(G79="通过",G79="失败",G79="受阻",G79="依据待确认"),G79,"结果待填写")))))))))))</x:f>
        <x:v>未纳入本批</x:v>
      </x:c>
      <x:c r="J79" s="10" t="str">
        <x:v>前置：链路至少A/D；默认卡及2张非默认卡；价格／区间0及负数，步长0／负／0.1／1；其中非当前卡缺名／时间。
操作：新增费用行读默认；切A→D检查来源；切均摊方式；删除取消／确认；编辑两卡后切回，提交含非法非当前卡的数据，再修复保存。</x:v>
      </x:c>
      <x:c r="K79" s="10" t="str">
        <x:v>新增行默认A／运费／单价／计费重／0／CNY／不算燃油／0–999999／步长1，X项同步。范围变更刷新当前链路来源；价格及区间非负，步长严格&gt;0，0／负不通过；普通均摊要素—且不可编辑。逐卡校验失败自动切到错误卡并提示；切卡保留编辑，删除行需确认且取消不删。不把产品行步长&gt;0扩展为未定义静态单元卡规则。</x:v>
      </x:c>
      <x:c r="L79" s="10" t="str">
        <x:v>REQ §6.4 业务价卡费用明细／保存校验；边界设计，具体待决项见K列；核对2026-10-10</x:v>
      </x:c>
      <x:c r="M79" s="137"/>
      <x:c r="N79" s="137"/>
      <x:c r="O79" s="137"/>
      <x:c r="P79" s="10" t="str">
        <x:v>专项回归</x:v>
      </x:c>
      <x:c r="Q79" s="137"/>
      <x:c r="R79" s="137"/>
      <x:c r="S79" s="10" t="str">
        <x:v>需求正文</x:v>
      </x:c>
      <x:c r="T79" s="10" t="str">
        <x:v>核对新增行默认及来源范围联动，再以单变量验证产品费用行的非负数和严格正步长；逐卡错误定位、切卡保留与删除取消分开取证。</x:v>
      </x:c>
      <x:c r="U79" s="10" t="str">
        <x:v>74-1 记录A/运费/单价/计费重/0/CNY/不计燃油/0–999999/步长1；74-2 步长0／负／正、价格0／负；74-3 切范围来源刷新；74-4 X计数、删除确认取消；74-5 多卡保存错误定位及切卡保留；不把该步长约束扩到静态单元卡。</x:v>
      </x:c>
      <x:c r="V79" s="10" t="str">
        <x:f>IF(D79="否","不适用",IF(D79&lt;&gt;"是","未纳入本批",IF(OR(LEN(TRIM('本批提测'!$B$10))=0,LEN(TRIM('本批提测'!$B$11))=0,'本批提测'!$B$12&lt;&gt;"已确认",F79&lt;&gt;"已确认"),"待确认","已确认")))</x:f>
        <x:v>未纳入本批</x:v>
      </x:c>
      <x:c r="W79" s="10" t="str">
        <x:v>保留／按批次选取</x:v>
      </x:c>
      <x:c r="X79" s="10" t="str">
        <x:v>设计复核后保留；按交付范围及批准现行基线执行。</x:v>
      </x:c>
      <x:c r="Y79" s="187"/>
      <x:c r="Z79" s="187" t="str">
        <x:v>功能专项，无直接Review映射</x:v>
      </x:c>
    </x:row>
    <x:row r="80" ht="202.5" customHeight="1">
      <x:c r="A80" s="10" t="str">
        <x:v>SM75</x:v>
      </x:c>
      <x:c r="B80" s="10" t="str">
        <x:v>产品编排</x:v>
      </x:c>
      <x:c r="C80" s="10" t="str">
        <x:v>价卡临期30自然日及续期入口</x:v>
      </x:c>
      <x:c r="D80" s="138" t="str">
        <x:v>待选择</x:v>
      </x:c>
      <x:c r="E80" s="138" t="str">
        <x:v>否</x:v>
      </x:c>
      <x:c r="F80" s="138" t="str">
        <x:v>待确认</x:v>
      </x:c>
      <x:c r="G80" s="138" t="str">
        <x:v>未执行</x:v>
      </x:c>
      <x:c r="H80" s="138"/>
      <x:c r="I80" s="13" t="str">
        <x:f>IF(D80="否","不适用",IF(D80&lt;&gt;"是","未纳入本批",IF(AND(E80&lt;&gt;"是",E80&lt;&gt;"否"),"关键项待分类",IF(V80&lt;&gt;"已确认","依据待确认",IF('本批提测'!$B$6&lt;&gt;"已就绪","批次未就绪",IF(OR(H80&lt;&gt;'本批提测'!$B$8,G80="",G80="未执行"),"未执行",IF(R80&lt;&gt;'本批提测'!$B$18,"基线已变，需复测",IF(LEN(TRIM(Q80))=0,"交付未映射",IF(AND(OR(G80="通过",G80="失败"),LEN(TRIM(M80))=0),"缺少证据",IF(AND(OR(G80="通过",G80="失败"),LEN(TRIM(O80))=0),"缺少执行人",IF(OR(G80="通过",G80="失败",G80="受阻",G80="依据待确认"),G80,"结果待填写")))))))))))</x:f>
        <x:v>未纳入本批</x:v>
      </x:c>
      <x:c r="J80" s="10" t="str">
        <x:v>前置：可控当前日期；有效期剩余29、30、31自然日、已到期、长期卡；只读检查节点及成本价卡链接。
操作：各时点观察临期标签及续期入口，点击后核对目标绑定卡；再切当前日期，不改系统时钟；组合多成员另查关联对象。</x:v>
      </x:c>
      <x:c r="K80" s="10" t="str">
        <x:v>临期依据30自然日，29与31分别检验临期／非临期侧，30整点是否含当天、按日期还是时刻差须本批确认；已到期与长期不自动等同临期。只在标临期节点提供续期入口，跳转成本价卡，关联正确；多成员标记和跳转对象未明确须批准后判断，不能自行改为工作日。</x:v>
      </x:c>
      <x:c r="L80" s="10" t="str">
        <x:v>REQ §6.4 画布节点价卡到期提醒；边界设计，具体待决项见K列；核对2026-10-10</x:v>
      </x:c>
      <x:c r="M80" s="137"/>
      <x:c r="N80" s="137"/>
      <x:c r="O80" s="137"/>
      <x:c r="P80" s="10" t="str">
        <x:v>专项回归</x:v>
      </x:c>
      <x:c r="Q80" s="137"/>
      <x:c r="R80" s="137"/>
      <x:c r="S80" s="10" t="str">
        <x:v>需求正文</x:v>
      </x:c>
      <x:c r="T80" s="10" t="str">
        <x:v>按自然日临期值和节点对应价卡分组，不用工作日替换30日；提醒展示与续期跳转目标分别核对，未知组合多成员对象先批准。</x:v>
      </x:c>
      <x:c r="U80" s="10" t="str">
        <x:v>75-1 距结束29/30/31自然日、已过期、无结束；75-2 仅临期节点显示续期入口，跳转成本价卡；75-3 节点对应对象与版本；30日是否含端点、日期算法和组合多成员对象需批准，不自判。</x:v>
      </x:c>
      <x:c r="V80" s="10" t="str">
        <x:f>IF(D80="否","不适用",IF(D80&lt;&gt;"是","未纳入本批",IF(OR(LEN(TRIM('本批提测'!$B$10))=0,LEN(TRIM('本批提测'!$B$11))=0,'本批提测'!$B$12&lt;&gt;"已确认",F80&lt;&gt;"已确认"),"待确认","已确认")))</x:f>
        <x:v>未纳入本批</x:v>
      </x:c>
      <x:c r="W80" s="10" t="str">
        <x:v>保留／按批次选取</x:v>
      </x:c>
      <x:c r="X80" s="10" t="str">
        <x:v>设计复核后保留；按交付范围及批准现行基线执行。</x:v>
      </x:c>
      <x:c r="Y80" s="187"/>
      <x:c r="Z80" s="187" t="str">
        <x:v>功能专项，无直接Review映射</x:v>
      </x:c>
    </x:row>
    <x:row r="81" ht="202.5" customHeight="1">
      <x:c r="A81" s="10" t="str">
        <x:v>SM76</x:v>
      </x:c>
      <x:c r="B81" s="10" t="str">
        <x:v>产品编排</x:v>
      </x:c>
      <x:c r="C81" s="10" t="str">
        <x:v>燃油预览命中时间与影响行</x:v>
      </x:c>
      <x:c r="D81" s="138" t="str">
        <x:v>待选择</x:v>
      </x:c>
      <x:c r="E81" s="138" t="str">
        <x:v>否</x:v>
      </x:c>
      <x:c r="F81" s="138" t="str">
        <x:v>待确认</x:v>
      </x:c>
      <x:c r="G81" s="138" t="str">
        <x:v>未执行</x:v>
      </x:c>
      <x:c r="H81" s="138"/>
      <x:c r="I81" s="13" t="str">
        <x:f>IF(D81="否","不适用",IF(D81&lt;&gt;"是","未纳入本批",IF(AND(E81&lt;&gt;"是",E81&lt;&gt;"否"),"关键项待分类",IF(V81&lt;&gt;"已确认","依据待确认",IF('本批提测'!$B$6&lt;&gt;"已就绪","批次未就绪",IF(OR(H81&lt;&gt;'本批提测'!$B$8,G81="",G81="未执行"),"未执行",IF(R81&lt;&gt;'本批提测'!$B$18,"基线已变，需复测",IF(LEN(TRIM(Q81))=0,"交付未映射",IF(AND(OR(G81="通过",G81="失败"),LEN(TRIM(M81))=0),"缺少证据",IF(AND(OR(G81="通过",G81="失败"),LEN(TRIM(O81))=0),"缺少执行人",IF(OR(G81="通过",G81="失败",G81="受阻",G81="依据待确认"),G81,"结果待填写")))))))))))</x:f>
        <x:v>未纳入本批</x:v>
      </x:c>
      <x:c r="J81" s="10" t="str">
        <x:v>前置：全局／供应商／渠道两种基数；当前时间与非默认卡未来开始时命中不同比例；含／另计／不参与燃油的运费和附加费行。
操作：默认卡、非默认卡逐一看预览，增删燃油行及切卡；比例变化后重查；计算时另以报价日期核对实际命中。</x:v>
      </x:c>
      <x:c r="K81" s="10" t="str">
        <x:v>编辑预览默认卡取当前时间，其他卡取生效开始时间；实际试算取报价时间，三者不混用。仅是否燃油=是的对应运费／附加费行纳入各基数，不对已含／不参与行重复加燃油。展示规则名称、比例或动态来源、生效期、范围及影响行数；0燃油行提示无此类明细，未命中提示检查对象／有效期。</x:v>
      </x:c>
      <x:c r="L81" s="10" t="str">
        <x:v>REQ §6.4 燃油费命中；§6.3 两类基数；§6.4 模拟；边界设计，具体待决项见K列；核对2026-10-10</x:v>
      </x:c>
      <x:c r="M81" s="137"/>
      <x:c r="N81" s="137"/>
      <x:c r="O81" s="137"/>
      <x:c r="P81" s="10" t="str">
        <x:v>专项回归</x:v>
      </x:c>
      <x:c r="Q81" s="137"/>
      <x:c r="R81" s="137"/>
      <x:c r="S81" s="10" t="str">
        <x:v>需求正文</x:v>
      </x:c>
      <x:c r="T81" s="10" t="str">
        <x:v>把编辑预览的当前时间／价卡开始时间与实际计算报价时间三种时点分开，对同一费用列表验证两类基数与影响行数，防止双计燃油。</x:v>
      </x:c>
      <x:c r="U81" s="10" t="str">
        <x:v>76-1 默认卡当前时点与非默认未来开始命中不同比例；76-2 运费／附加费含、另计、不参与三类；76-3 增删行计数；76-4 无燃油行／无规则提示；76-5 实际试算用独立报价日期，并核SM44的10＋1。</x:v>
      </x:c>
      <x:c r="V81" s="10" t="str">
        <x:f>IF(D81="否","不适用",IF(D81&lt;&gt;"是","未纳入本批",IF(OR(LEN(TRIM('本批提测'!$B$10))=0,LEN(TRIM('本批提测'!$B$11))=0,'本批提测'!$B$12&lt;&gt;"已确认",F81&lt;&gt;"已确认"),"待确认","已确认")))</x:f>
        <x:v>未纳入本批</x:v>
      </x:c>
      <x:c r="W81" s="10" t="str">
        <x:v>保留／按批次选取</x:v>
      </x:c>
      <x:c r="X81" s="10" t="str">
        <x:v>设计复核后保留；按交付范围及批准现行基线执行。</x:v>
      </x:c>
      <x:c r="Y81" s="187"/>
      <x:c r="Z81" s="187" t="str">
        <x:v>功能专项，无直接Review映射</x:v>
      </x:c>
    </x:row>
    <x:row r="82" ht="202.5" customHeight="1">
      <x:c r="A82" s="10" t="str">
        <x:v>SM77</x:v>
      </x:c>
      <x:c r="B82" s="10" t="str">
        <x:v>产品编排</x:v>
      </x:c>
      <x:c r="C82" s="10" t="str">
        <x:v>恢复来源与组合初始来源区分</x:v>
      </x:c>
      <x:c r="D82" s="138" t="str">
        <x:v>待选择</x:v>
      </x:c>
      <x:c r="E82" s="138" t="str">
        <x:v>否</x:v>
      </x:c>
      <x:c r="F82" s="138" t="str">
        <x:v>待确认</x:v>
      </x:c>
      <x:c r="G82" s="138" t="str">
        <x:v>未执行</x:v>
      </x:c>
      <x:c r="H82" s="138"/>
      <x:c r="I82" s="13" t="str">
        <x:f>IF(D82="否","不适用",IF(D82&lt;&gt;"是","未纳入本批",IF(AND(E82&lt;&gt;"是",E82&lt;&gt;"否"),"关键项待分类",IF(V82&lt;&gt;"已确认","依据待确认",IF('本批提测'!$B$6&lt;&gt;"已就绪","批次未就绪",IF(OR(H82&lt;&gt;'本批提测'!$B$8,G82="",G82="未执行"),"未执行",IF(R82&lt;&gt;'本批提测'!$B$18,"基线已变，需复测",IF(LEN(TRIM(Q82))=0,"交付未映射",IF(AND(OR(G82="通过",G82="失败"),LEN(TRIM(M82))=0),"缺少证据",IF(AND(OR(G82="通过",G82="失败"),LEN(TRIM(O82))=0),"缺少执行人",IF(OR(G82="通过",G82="失败",G82="受阻",G82="依据待确认"),G82,"结果待填写")))))))))))</x:f>
        <x:v>未纳入本批</x:v>
      </x:c>
      <x:c r="J82" s="10" t="str">
        <x:v>前置：源单元价卡各不相同；组合优先级1/2有不同费用；默认卡、新增卡、复制卡及原被复制卡快照。
操作：组合编排查看初始明细；各卡分别改价／矩阵后恢复；再修改被复制卡和单元原卡重试；取消允许的操作分支读回。</x:v>
      </x:c>
      <x:c r="K82" s="10" t="str">
        <x:v>组合初始费用取第一优先级单元费用及要素；明细标服务范围。默认／新增恢复编排时单元成本组合来源，复制恢复原被复制明细来源，不能互换；未编辑源单元、未生成销售版本。后续来源变化是否刷新原始来源快照以及矩阵相邻规则仍需DEC19批准，不能从“重新载入”擅定历史复制跟随最新。</x:v>
      </x:c>
      <x:c r="L82" s="10" t="str">
        <x:v>REQ §6.4 来源费用／恢复来源／主报价矩阵；边界设计，具体待决项见K列；核对2026-10-10</x:v>
      </x:c>
      <x:c r="M82" s="137"/>
      <x:c r="N82" s="137"/>
      <x:c r="O82" s="137"/>
      <x:c r="P82" s="10" t="str">
        <x:v>专项回归</x:v>
      </x:c>
      <x:c r="Q82" s="137"/>
      <x:c r="R82" s="137"/>
      <x:c r="S82" s="10" t="str">
        <x:v>需求正文</x:v>
      </x:c>
      <x:c r="T82" s="10" t="str">
        <x:v>分别以默认、新增和复制卡构造来源差异，编辑后恢复验证对应来源；组合以最高优先级成员为默认费用来源，不代替实际选路结果。</x:v>
      </x:c>
      <x:c r="U82" s="10" t="str">
        <x:v>77-1 默认／新增来源100，改为120再恢复；77-2 复制另一卡来源80，改单后恢复该复制来源；77-3 组合优先级1/2费用不同；77-4 服务单元价格和销售版本不改；来源后来变化取快照或当前须DEC19。</x:v>
      </x:c>
      <x:c r="V82" s="10" t="str">
        <x:f>IF(D82="否","不适用",IF(D82&lt;&gt;"是","未纳入本批",IF(OR(LEN(TRIM('本批提测'!$B$10))=0,LEN(TRIM('本批提测'!$B$11))=0,'本批提测'!$B$12&lt;&gt;"已确认",F82&lt;&gt;"已确认",'本批提测'!$H$58&lt;&gt;"已确认"),"待确认","已确认")))</x:f>
        <x:v>未纳入本批</x:v>
      </x:c>
      <x:c r="W82" s="10" t="str">
        <x:v>保留／按批次选取</x:v>
      </x:c>
      <x:c r="X82" s="10" t="str">
        <x:v>设计复核后保留；关联DEC19确认后方可执行判定。</x:v>
      </x:c>
      <x:c r="Y82" s="187"/>
      <x:c r="Z82" s="187" t="str">
        <x:v>功能专项，无直接Review映射</x:v>
      </x:c>
    </x:row>
    <x:row r="83" ht="202.5" customHeight="1">
      <x:c r="A83" s="10" t="str">
        <x:v>SM78</x:v>
      </x:c>
      <x:c r="B83" s="10" t="str">
        <x:v>计算模拟</x:v>
      </x:c>
      <x:c r="C83" s="10" t="str">
        <x:v>共享参数零值与范围切换不残留</x:v>
      </x:c>
      <x:c r="D83" s="138" t="str">
        <x:v>待选择</x:v>
      </x:c>
      <x:c r="E83" s="138" t="str">
        <x:v>否</x:v>
      </x:c>
      <x:c r="F83" s="138" t="str">
        <x:v>待确认</x:v>
      </x:c>
      <x:c r="G83" s="138" t="str">
        <x:v>未执行</x:v>
      </x:c>
      <x:c r="H83" s="138"/>
      <x:c r="I83" s="13" t="str">
        <x:f>IF(D83="否","不适用",IF(D83&lt;&gt;"是","未纳入本批",IF(AND(E83&lt;&gt;"是",E83&lt;&gt;"否"),"关键项待分类",IF(V83&lt;&gt;"已确认","依据待确认",IF('本批提测'!$B$6&lt;&gt;"已就绪","批次未就绪",IF(OR(H83&lt;&gt;'本批提测'!$B$8,G83="",G83="未执行"),"未执行",IF(R83&lt;&gt;'本批提测'!$B$18,"基线已变，需复测",IF(LEN(TRIM(Q83))=0,"交付未映射",IF(AND(OR(G83="通过",G83="失败"),LEN(TRIM(M83))=0),"缺少证据",IF(AND(OR(G83="通过",G83="失败"),LEN(TRIM(O83))=0),"缺少执行人",IF(OR(G83="通过",G83="失败",G83="受阻",G83="依据待确认"),G83,"结果待填写")))))))))))</x:f>
        <x:v>未纳入本批</x:v>
      </x:c>
      <x:c r="J83" s="10" t="str">
        <x:v>前置：仅A、仅B、仅C、仅D、仅E、仅F及混合产品；实重0／负／正小数；件数空；尺寸空／0／负／非数；货值0／负／非数。
操作：逐产品核对字段及字典来源；切F→D，C→A；分别缺报价日期及单个必填项；先空尺寸再全部0，再部分尺寸空；箱件数空／0／负并观察。</x:v>
      </x:c>
      <x:c r="K83" s="10" t="str">
        <x:v>只生成实际覆盖字段，共享货物区覆盖任一范围就展示。重量&gt;0；完整合法0尺寸与货值0不因“非负”被当负数；负尺寸／货值／非数拦截；尺寸全空体积重0按实重，件数空按1。无F不强制终点／货型必填；部分尺寸缺填、件数0负的计算口径未定义，须确认后判断，不自定按1或0。默认CNY，地址／贸易／属性取字典；不提供手工条件附加费／销售价／关税承担方。</x:v>
      </x:c>
      <x:c r="L83" s="10" t="str">
        <x:v>REQ §6.4 固定／动态／共享字段及执行校验；边界设计，具体待决项见K列；核对2026-10-10</x:v>
      </x:c>
      <x:c r="M83" s="137"/>
      <x:c r="N83" s="137"/>
      <x:c r="O83" s="137"/>
      <x:c r="P83" s="10" t="str">
        <x:v>专项回归</x:v>
      </x:c>
      <x:c r="Q83" s="137"/>
      <x:c r="R83" s="137"/>
      <x:c r="S83" s="10" t="str">
        <x:v>需求正文</x:v>
      </x:c>
      <x:c r="T83" s="10" t="str">
        <x:v>依据实际A–F覆盖建立动态字段决策表；重量、尺寸、货值和件数分别选有效／非法／缺失，不把数字0与空值混为一类。</x:v>
      </x:c>
      <x:c r="U83" s="10" t="str">
        <x:v>78-1 六个单范围和混合产品逐切；78-2 重量0/负/正小数/非数；78-3 尺寸全空／完整0／部分空／负／非数；78-4 货值0／负；78-5 件数空默认1；78-6 字典选项与CNY默认。部分尺寸及件数0负先批准。</x:v>
      </x:c>
      <x:c r="V83" s="10" t="str">
        <x:f>IF(D83="否","不适用",IF(D83&lt;&gt;"是","未纳入本批",IF(OR(LEN(TRIM('本批提测'!$B$10))=0,LEN(TRIM('本批提测'!$B$11))=0,'本批提测'!$B$12&lt;&gt;"已确认",F83&lt;&gt;"已确认"),"待确认","已确认")))</x:f>
        <x:v>未纳入本批</x:v>
      </x:c>
      <x:c r="W83" s="10" t="str">
        <x:v>保留／按批次选取</x:v>
      </x:c>
      <x:c r="X83" s="10" t="str">
        <x:v>设计复核后保留；按交付范围及批准现行基线执行。</x:v>
      </x:c>
      <x:c r="Y83" s="187"/>
      <x:c r="Z83" s="187" t="str">
        <x:v>功能专项，无直接Review映射</x:v>
      </x:c>
    </x:row>
    <x:row r="84" ht="156" customHeight="1">
      <x:c r="A84" s="10" t="str">
        <x:v>SM79</x:v>
      </x:c>
      <x:c r="B84" s="10" t="str">
        <x:v>计算模拟</x:v>
      </x:c>
      <x:c r="C84" s="10" t="str">
        <x:v>逐行进位、外币版本和费用裁决</x:v>
      </x:c>
      <x:c r="D84" s="138" t="str">
        <x:v>待选择</x:v>
      </x:c>
      <x:c r="E84" s="138" t="str">
        <x:v>否</x:v>
      </x:c>
      <x:c r="F84" s="138" t="str">
        <x:v>待确认</x:v>
      </x:c>
      <x:c r="G84" s="138" t="str">
        <x:v>未执行</x:v>
      </x:c>
      <x:c r="H84" s="138"/>
      <x:c r="I84" s="13" t="str">
        <x:f>IF(D84="否","不适用",IF(D84&lt;&gt;"是","未纳入本批",IF(AND(E84&lt;&gt;"是",E84&lt;&gt;"否"),"关键项待分类",IF(V84&lt;&gt;"已确认","依据待确认",IF('本批提测'!$B$6&lt;&gt;"已就绪","批次未就绪",IF(OR(H84&lt;&gt;'本批提测'!$B$8,G84="",G84="未执行"),"未执行",IF(R84&lt;&gt;'本批提测'!$B$18,"基线已变，需复测",IF(LEN(TRIM(Q84))=0,"交付未映射",IF(AND(OR(G84="通过",G84="失败"),LEN(TRIM(M84))=0),"缺少证据",IF(AND(OR(G84="通过",G84="失败"),LEN(TRIM(O84))=0),"缺少执行人",IF(OR(G84="通过",G84="失败",G84="受阻",G84="依据待确认"),G84,"结果待填写")))))))))))</x:f>
        <x:v>未纳入本批</x:v>
      </x:c>
      <x:c r="J84" s="10" t="str">
        <x:v>前置：批准逐行账本：订单重量进位与费用步长不同，CNY／USD行，报价日期前后FX版本，已含／另计燃油，条件真／假及旺季／裁决。另备无有效FX、无燃油规则、缺有效成本卡三组独立数据，不删除业务配置制造故障。
操作：先核原始及订单计费重，再核每行数量、条件、区间、步长、原币、FX、结算金额及总额；只切报价日期比较版本；分别执行三组缺配置，不相互混用预期。
订单重量独立分支：批准产品抛比6000、实重8KG、67×30×60cm及按1KG向上进位策略，核20.1KG原始值与21KG订单值；费用行各自进位另核，不把1KG当系统默认。</x:v>
      </x:c>
      <x:c r="K84" s="10" t="str">
        <x:v>产品订单计费重与各行进位分开，不统一套1KG；外币取报价时间命中汇率版本；已含燃油不重复，另计和命中追加费与明细加总等于公司成本。燃油未命中明确按0并提示、继续计算；缺有效成本卡明确中止，不能以0胜出。无有效FX、费用未命中或裁决冲突的处理按DEC19批准，不用燃油例外类推。九种公式、舍入顺序、裁决优先级须批准账本；引用示例尚不能完整定义这些规则。展示本次实际命中版本、选中单元及未选原因。
批准示例67×30×60÷6000＝20.1KG，原始max(8,20.1)＝20.1KG，按批准1KG向上进位后订单重量21KG。批准策略改变则更新预期；不取费用行步长替代订单重量进位。</x:v>
      </x:c>
      <x:c r="L84" s="10" t="str">
        <x:v>REQ §6.4 计算逻辑／结果；§6.2 完整最低成本；边界设计，具体待决项见K列；核对2026-10-10</x:v>
      </x:c>
      <x:c r="M84" s="137"/>
      <x:c r="N84" s="137"/>
      <x:c r="O84" s="137"/>
      <x:c r="P84" s="10" t="str">
        <x:v>专项回归</x:v>
      </x:c>
      <x:c r="Q84" s="137"/>
      <x:c r="R84" s="137"/>
      <x:c r="S84" s="10" t="str">
        <x:v>需求正文</x:v>
      </x:c>
      <x:c r="T84" s="10" t="str">
        <x:v>用独立账本核对订单重量→逐费用→汇率→燃油及追加→总额，按费用类型区分缺配置结果；燃油未命中0是明确例外，不能泛化为全失败或全成功。</x:v>
      </x:c>
      <x:c r="U84" s="10" t="str">
        <x:v>79-1 产品与费用不同步长；79-2 报价日期跨FX版本，逐行原币／结算对账；79-3 含燃油不双计、未命中燃油0＋提示继续；79-4 缺成本卡中止；79-5 无有效FX及裁决待批准；与SM25的131 CNY基准账本相对照。
增加从SM52分出的20.1→21KG订单重量分支，独立保留原始与进位值以及批准配置证据。</x:v>
      </x:c>
      <x:c r="V84" s="10" t="str">
        <x:f>IF(D84="否","不适用",IF(D84&lt;&gt;"是","未纳入本批",IF(OR(LEN(TRIM('本批提测'!$B$10))=0,LEN(TRIM('本批提测'!$B$11))=0,'本批提测'!$B$12&lt;&gt;"已确认",F84&lt;&gt;"已确认",'本批提测'!$H$58&lt;&gt;"已确认"),"待确认","已确认")))</x:f>
        <x:v>未纳入本批</x:v>
      </x:c>
      <x:c r="W84" s="10" t="str">
        <x:v>二次复核修正</x:v>
      </x:c>
      <x:c r="X84" s="10" t="str">
        <x:v>接收SM52非整步长专项分支；成本/FX/逐费用进位与订单重量进位分别核算。</x:v>
      </x:c>
      <x:c r="Y84" s="187"/>
      <x:c r="Z84" s="187" t="str">
        <x:v>功能专项，无直接Review映射</x:v>
      </x:c>
    </x:row>
    <x:row r="85" ht="202.5" customHeight="1">
      <x:c r="A85" s="10" t="str">
        <x:v>SM80</x:v>
      </x:c>
      <x:c r="B85" s="10" t="str">
        <x:v>计算模拟</x:v>
      </x:c>
      <x:c r="C85" s="10" t="str">
        <x:v>失败结果不冒充成功及响应乱序</x:v>
      </x:c>
      <x:c r="D85" s="138" t="str">
        <x:v>待选择</x:v>
      </x:c>
      <x:c r="E85" s="138" t="str">
        <x:v>否</x:v>
      </x:c>
      <x:c r="F85" s="138" t="str">
        <x:v>待确认</x:v>
      </x:c>
      <x:c r="G85" s="138" t="str">
        <x:v>未执行</x:v>
      </x:c>
      <x:c r="H85" s="138"/>
      <x:c r="I85" s="13" t="str">
        <x:f>IF(D85="否","不适用",IF(D85&lt;&gt;"是","未纳入本批",IF(AND(E85&lt;&gt;"是",E85&lt;&gt;"否"),"关键项待分类",IF(V85&lt;&gt;"已确认","依据待确认",IF('本批提测'!$B$6&lt;&gt;"已就绪","批次未就绪",IF(OR(H85&lt;&gt;'本批提测'!$B$8,G85="",G85="未执行"),"未执行",IF(R85&lt;&gt;'本批提测'!$B$18,"基线已变，需复测",IF(LEN(TRIM(Q85))=0,"交付未映射",IF(AND(OR(G85="通过",G85="失败"),LEN(TRIM(M85))=0),"缺少证据",IF(AND(OR(G85="通过",G85="失败"),LEN(TRIM(O85))=0),"缺少执行人",IF(OR(G85="通过",G85="失败",G85="受阻",G85="依据待确认"),G85,"结果待填写")))))))))))</x:f>
        <x:v>未纳入本批</x:v>
      </x:c>
      <x:c r="J85" s="10" t="str">
        <x:v>前置：成功试算A；准备输入校验失败B和可控失败／乱序请求桩，经本批批准；不调用未授权供应商API。
操作：A成功后将输入改为缺必填／缺卡并算B；另测加载中重复点击、超时或失败返回；以请求桩让先发A后返回、后发B先返回，记录输入与对应结果。</x:v>
      </x:c>
      <x:c r="K85" s="10" t="str">
        <x:v>PRD明确：校验失败中止，并在结果区展示当前失败原因；不能把A结果作为B的有效结果。加载中防重复、失败保留输入、过期响应不覆盖最新请求等属于建议异常检查，行为口径须本批批准，不写成已明确需求。未定义固定超时、自动重试次数或全局固定禁用时长。保留请求关联及界面证据，未批准分支不能判通过。</x:v>
      </x:c>
      <x:c r="L85" s="10" t="str">
        <x:v>REQ §6.4 校验／结果；异常与乱序为测试建议；边界设计，具体待决项见K列；核对2026-10-10</x:v>
      </x:c>
      <x:c r="M85" s="137"/>
      <x:c r="N85" s="137"/>
      <x:c r="O85" s="137"/>
      <x:c r="P85" s="10" t="str">
        <x:v>专项回归</x:v>
      </x:c>
      <x:c r="Q85" s="137"/>
      <x:c r="R85" s="137"/>
      <x:c r="S85" s="10" t="str">
        <x:v>需求正文＋测试建议</x:v>
      </x:c>
      <x:c r="T85" s="10" t="str">
        <x:v>先证明校验失败对应当前输入的原因，再以批准桩验证请求关联、重复点击和乱序；明确哪些是PRD要求、哪些是建议韧性检查。</x:v>
      </x:c>
      <x:c r="U85" s="10" t="str">
        <x:v>80-1 A成功后B缺必填或缺卡，不能把A当B；80-2 加载时重复点击；80-3 超时／失败保留批准状态；80-4 A后返回、B先返回；逐次保留请求ID、参数、时间及结果。超时／重试和交互方案由本批确认。</x:v>
      </x:c>
      <x:c r="V85" s="10" t="str">
        <x:f>IF(D85="否","不适用",IF(D85&lt;&gt;"是","未纳入本批",IF(OR(LEN(TRIM('本批提测'!$B$10))=0,LEN(TRIM('本批提测'!$B$11))=0,'本批提测'!$B$12&lt;&gt;"已确认",F85&lt;&gt;"已确认"),"待确认","已确认")))</x:f>
        <x:v>未纳入本批</x:v>
      </x:c>
      <x:c r="W85" s="10" t="str">
        <x:v>保留／按批次选取</x:v>
      </x:c>
      <x:c r="X85" s="10" t="str">
        <x:v>设计复核后保留；按交付范围及批准现行基线执行。</x:v>
      </x:c>
      <x:c r="Y85" s="187"/>
      <x:c r="Z85" s="187" t="str">
        <x:v>功能专项，无直接Review映射</x:v>
      </x:c>
    </x:row>
    <x:row r="86" ht="202.5" customHeight="1">
      <x:c r="A86" s="10" t="str">
        <x:v>SM81</x:v>
      </x:c>
      <x:c r="B86" s="10" t="str">
        <x:v>计费历史</x:v>
      </x:c>
      <x:c r="C86" s="10" t="str">
        <x:v>重新计费三类失败及差异回读</x:v>
      </x:c>
      <x:c r="D86" s="138" t="str">
        <x:v>待选择</x:v>
      </x:c>
      <x:c r="E86" s="138" t="str">
        <x:v>否</x:v>
      </x:c>
      <x:c r="F86" s="138" t="str">
        <x:v>待确认</x:v>
      </x:c>
      <x:c r="G86" s="138" t="str">
        <x:v>未执行</x:v>
      </x:c>
      <x:c r="H86" s="138"/>
      <x:c r="I86" s="13" t="str">
        <x:f>IF(D86="否","不适用",IF(D86&lt;&gt;"是","未纳入本批",IF(AND(E86&lt;&gt;"是",E86&lt;&gt;"否"),"关键项待分类",IF(V86&lt;&gt;"已确认","依据待确认",IF('本批提测'!$B$6&lt;&gt;"已就绪","批次未就绪",IF(OR(H86&lt;&gt;'本批提测'!$B$8,G86="",G86="未执行"),"未执行",IF(R86&lt;&gt;'本批提测'!$B$18,"基线已变，需复测",IF(LEN(TRIM(Q86))=0,"交付未映射",IF(AND(OR(G86="通过",G86="失败"),LEN(TRIM(M86))=0),"缺少证据",IF(AND(OR(G86="通过",G86="失败"),LEN(TRIM(O86))=0),"缺少执行人",IF(OR(G86="通过",G86="失败",G86="受阻",G86="依据待确认"),G86,"结果待填写")))))))))))</x:f>
        <x:v>未纳入本批</x:v>
      </x:c>
      <x:c r="J86" s="10" t="str">
        <x:v>前置：本批交付历史且DEC21已确认；原订单及完整快照；当前产品停用、卡失效、必要规则缺失各1组；可成功重算组。
操作：分别重算并查看原因；成功组只改变当前单价／燃油／分区／规则版本，核对差异；失败或关闭后读回原参数、快照、OMS成本及结算状态。</x:v>
      </x:c>
      <x:c r="K86" s="10" t="str">
        <x:v>三类不可计算停止并说明原因，不复用上次成功结果；成功使用原订单参数和当前有效配置，差异指出实际变动版本及金额来源。成功／失败／关闭均不自动覆盖原历史或OMS成本，不改结算；分期、OMS证据及多币种合计按DEC21，未接入不以本地数据代替完成。</x:v>
      </x:c>
      <x:c r="L86" s="10" t="str">
        <x:v>REQ §6.4 计费历史／重新计费；边界设计，具体待决项见K列；核对2026-10-10</x:v>
      </x:c>
      <x:c r="M86" s="137"/>
      <x:c r="N86" s="137"/>
      <x:c r="O86" s="137"/>
      <x:c r="P86" s="10" t="str">
        <x:v>专项回归</x:v>
      </x:c>
      <x:c r="Q86" s="137"/>
      <x:c r="R86" s="137"/>
      <x:c r="S86" s="10" t="str">
        <x:v>需求正文</x:v>
      </x:c>
      <x:c r="T86" s="10" t="str">
        <x:v>固定同一历史记录，独立改变当前产品、价卡或规则使重算成功／失败；逐项比对重算前后，验证对比结果不覆盖原OMS快照。</x:v>
      </x:c>
      <x:c r="U86" s="10" t="str">
        <x:v>81-1 当前产品停用；81-2 当前成本卡无效；81-3 当前必要规则缺失；81-4 可重算后展示新旧差异；81-5 再查原成交及结算快照、原参数与版本不变。OMS测试回传／批准桩及分期按DEC21。</x:v>
      </x:c>
      <x:c r="V86" s="10" t="str">
        <x:f>IF(D86="否","不适用",IF(D86&lt;&gt;"是","未纳入本批",IF(OR(LEN(TRIM('本批提测'!$B$10))=0,LEN(TRIM('本批提测'!$B$11))=0,'本批提测'!$B$12&lt;&gt;"已确认",F86&lt;&gt;"已确认",'本批提测'!$H$60&lt;&gt;"已确认"),"待确认","已确认")))</x:f>
        <x:v>未纳入本批</x:v>
      </x:c>
      <x:c r="W86" s="10" t="str">
        <x:v>保留／按批次选取</x:v>
      </x:c>
      <x:c r="X86" s="10" t="str">
        <x:v>设计复核后保留；关联DEC21确认后方可执行判定。</x:v>
      </x:c>
      <x:c r="Y86" s="187"/>
      <x:c r="Z86" s="187" t="str">
        <x:v>功能专项，无直接Review映射</x:v>
      </x:c>
    </x:row>
    <x:row r="87" ht="202.5" customHeight="1">
      <x:c r="A87" s="10" t="str">
        <x:v>SM82</x:v>
      </x:c>
      <x:c r="B87" s="10" t="str">
        <x:v>列表与详情</x:v>
      </x:c>
      <x:c r="C87" s="10" t="str">
        <x:v>各模块查询字段、来源及只读边界</x:v>
      </x:c>
      <x:c r="D87" s="138" t="str">
        <x:v>待选择</x:v>
      </x:c>
      <x:c r="E87" s="138" t="str">
        <x:v>否</x:v>
      </x:c>
      <x:c r="F87" s="138" t="str">
        <x:v>待确认</x:v>
      </x:c>
      <x:c r="G87" s="138" t="str">
        <x:v>未执行</x:v>
      </x:c>
      <x:c r="H87" s="138"/>
      <x:c r="I87" s="13" t="str">
        <x:f>IF(D87="否","不适用",IF(D87&lt;&gt;"是","未纳入本批",IF(AND(E87&lt;&gt;"是",E87&lt;&gt;"否"),"关键项待分类",IF(V87&lt;&gt;"已确认","依据待确认",IF('本批提测'!$B$6&lt;&gt;"已就绪","批次未就绪",IF(OR(H87&lt;&gt;'本批提测'!$B$8,G87="",G87="未执行"),"未执行",IF(R87&lt;&gt;'本批提测'!$B$18,"基线已变，需复测",IF(LEN(TRIM(Q87))=0,"交付未映射",IF(AND(OR(G87="通过",G87="失败"),LEN(TRIM(M87))=0),"缺少证据",IF(AND(OR(G87="通过",G87="失败"),LEN(TRIM(O87))=0),"缺少执行人",IF(OR(G87="通过",G87="失败",G87="受阻",G87="依据待确认"),G87,"结果待填写")))))))))))</x:f>
        <x:v>未纳入本批</x:v>
      </x:c>
      <x:c r="J87" s="10" t="str">
        <x:v>前置：本批交付单元／成本卡／Zone／产品／策略模块，各准备已知命中和无结果；产品有D渠道UPS/FedEx/DHL且名称含易混淆词。
操作：单元按名称／编码及范围状态；成本卡按编码／名称／绑定单元；Zone关键词即时；产品按D段托管渠道、名称／编码；策略10／50／100；打开当前及历史详情后关闭。</x:v>
      </x:c>
      <x:c r="K87" s="10" t="str">
        <x:v>各模块字段、默认全部及状态枚举符合各自正文，筛选数据对应真实来源；产品渠道取D段单元，不能凭产品名称匹配。单元实体启用／待生效／停用与成本卡生效中／待生效／停用分开。当前／历史不串对象；历史只读，不提供编辑、删除、启停或回滚（明确适用组合历史）；其他模块未定义历史操作按本批基线，不擅统一。</x:v>
      </x:c>
      <x:c r="L87" s="10" t="str">
        <x:v>REQ §6.2／6.3／6.4 搜索、列表和详情；边界设计，具体待决项见K列；核对2026-10-10</x:v>
      </x:c>
      <x:c r="M87" s="137"/>
      <x:c r="N87" s="137"/>
      <x:c r="O87" s="137"/>
      <x:c r="P87" s="10" t="str">
        <x:v>专项回归</x:v>
      </x:c>
      <x:c r="Q87" s="137"/>
      <x:c r="R87" s="137"/>
      <x:c r="S87" s="10" t="str">
        <x:v>需求正文</x:v>
      </x:c>
      <x:c r="T87" s="10" t="str">
        <x:v>按模块建立字段与查询来源对照，不用一个通用列表规则覆盖所有模块；同编码的当前与历史版本分别打开，核对对象和可用操作。</x:v>
      </x:c>
      <x:c r="U87" s="10" t="str">
        <x:v>82-1 产品D段托管渠道真实来源；82-2 组合回车查询和10/50/100分页；82-3 Zone即时查询；82-4 单元实体状态与价卡状态区分；82-5 当前详情／组合历史只读；其他历史操作按对应正文或批准基线。</x:v>
      </x:c>
      <x:c r="V87" s="10" t="str">
        <x:f>IF(D87="否","不适用",IF(D87&lt;&gt;"是","未纳入本批",IF(OR(LEN(TRIM('本批提测'!$B$10))=0,LEN(TRIM('本批提测'!$B$11))=0,'本批提测'!$B$12&lt;&gt;"已确认",F87&lt;&gt;"已确认"),"待确认","已确认")))</x:f>
        <x:v>未纳入本批</x:v>
      </x:c>
      <x:c r="W87" s="10" t="str">
        <x:v>保留／按批次选取</x:v>
      </x:c>
      <x:c r="X87" s="10" t="str">
        <x:v>设计复核后保留；按交付范围及批准现行基线执行。</x:v>
      </x:c>
      <x:c r="Y87" s="187"/>
      <x:c r="Z87" s="187" t="str">
        <x:v>功能专项，无直接Review映射</x:v>
      </x:c>
    </x:row>
    <x:row r="88" ht="210" customHeight="1">
      <x:c r="A88" s="10" t="str">
        <x:v>SM83</x:v>
      </x:c>
      <x:c r="B88" s="10" t="str">
        <x:v>服务段／计费要素</x:v>
      </x:c>
      <x:c r="C88" s="10" t="str">
        <x:v>编码、64字符及引用删除保护</x:v>
      </x:c>
      <x:c r="D88" s="162" t="str">
        <x:v>待选择</x:v>
      </x:c>
      <x:c r="E88" s="162" t="str">
        <x:v>是</x:v>
      </x:c>
      <x:c r="F88" s="162" t="str">
        <x:v>待确认</x:v>
      </x:c>
      <x:c r="G88" s="162" t="str">
        <x:v>未执行</x:v>
      </x:c>
      <x:c r="H88" s="162"/>
      <x:c r="I88" s="10" t="str">
        <x:f>IF(D88="否","不适用",IF(D88&lt;&gt;"是","未纳入本批",IF(AND(E88&lt;&gt;"是",E88&lt;&gt;"否"),"关键项待分类",IF(V88&lt;&gt;"已确认","依据待确认",IF('本批提测'!$B$6&lt;&gt;"已就绪","批次未就绪",IF(OR(H88&lt;&gt;'本批提测'!$B$8,G88="",G88="未执行"),"未执行",IF(R88&lt;&gt;'本批提测'!$B$18,"基线已变，需复测",IF(LEN(TRIM(Q88))=0,"交付未映射",IF(AND(OR(G88="通过",G88="失败"),LEN(TRIM(M88))=0),"缺少证据",IF(AND(OR(G88="通过",G88="失败"),LEN(TRIM(O88))=0),"缺少执行人",IF(OR(G88="通过",G88="失败",G88="受阻",G88="依据待确认"),G88,"结果待填写")))))))))))</x:f>
        <x:v>未纳入本批</x:v>
      </x:c>
      <x:c r="J88" s="10" t="str">
        <x:v>本轮页面对象目录未见服务段、计费要素或价卡计费方式入口；只限本页面观察，不能称全站不存在。DEC26及交付清单先给出实际入口/对象映射；确认交付后保留下列原验收分支。不得把货物类型、费用项或Zone替代这些对象。
原需求验收分支（按映射后入口执行）：
前置：专用未引用及有引用的服务段／计费要素，批准字符计数方式；其余字段合法。
1.分别缺编码、缺名称、重复编码；名称填63／64／65字符。
2.合法新增后尝试修改编码；修改名称／说明，计费要素另改单位并读回。
3.删除确认取消；对未引用和已被产品／成本卡／计费方式引用的对象分别删除。
4.对照原历史产品版本及价卡／计费快照。</x:v>
      </x:c>
      <x:c r="K88" s="10" t="str">
        <x:v>仅对本批已确认入口的原对象验收；未交付可按交付理由排除，未明确范围应依据待确认。原字符边界、类型/单位和引用历史规则仍保留。
原需求预期（仍须保留）：
编码与名称必填、编码唯一且创建后不可改；服务段和计费要素名称最多64字符，63／64可保存，65不得保存为超限内容，计数及截断提示依批准方案。说明非必填；计费要素单位非必填。服务段被产品编排引用、计费要素被成本卡或计费方式引用时禁止删除；取消不删除；未引用项确认后移除。编辑不覆盖历史产品版本／价卡／计费快照。</x:v>
      </x:c>
      <x:c r="L88" s="10" t="str">
        <x:v>REQ §6.5 服务段／计费要素；2026-10-12读取revision 8340；字符边界与回读为测试设计。
网站只读对照 WEB01—10，2026-10-12；具体URL及未验证范围见「网站详情对照」。当前实现不替代批准需求。</x:v>
      </x:c>
      <x:c r="M88" s="162"/>
      <x:c r="N88" s="162"/>
      <x:c r="O88" s="162"/>
      <x:c r="P88" s="10" t="str">
        <x:v>专项回归</x:v>
      </x:c>
      <x:c r="Q88" s="162"/>
      <x:c r="R88" s="162"/>
      <x:c r="S88" s="10" t="str">
        <x:v>需求正文＋测试方法</x:v>
      </x:c>
      <x:c r="T88" s="10" t="str">
        <x:v>用必填等价类、63/64/65边界、不可变编码和有/无引用决策表，补足普通字典CRUD无法代表的主数据契约。</x:v>
      </x:c>
      <x:c r="U88" s="10" t="str">
        <x:v>每个模块分别记录提交响应、保存读回、只读编码、引用阻断及历史前后快照；未定义字符计数先确认。
增加网站证据：记录group/resource、对象名称、主/子列表作用域及字段回显；写入/权限/持久化另取本批执行证据。</x:v>
      </x:c>
      <x:c r="V88" s="10" t="str">
        <x:f>IF(D88="否","不适用",IF(D88&lt;&gt;"是","未纳入本批",IF(OR(LEN(TRIM('本批提测'!$B$10))=0,LEN(TRIM('本批提测'!$B$11))=0,'本批提测'!$B$12&lt;&gt;"已确认",F88&lt;&gt;"已确认",'本批提测'!$H$156&lt;&gt;"已确认"),"待确认","已确认")))</x:f>
        <x:v>未纳入本批</x:v>
      </x:c>
      <x:c r="W88" s="10" t="str">
        <x:v>网站对照修订</x:v>
      </x:c>
      <x:c r="X88" s="10" t="str">
        <x:v>补本页面未见对象的范围条件，避免指定错误入口。</x:v>
      </x:c>
      <x:c r="Y88" s="187"/>
      <x:c r="Z88" s="187" t="str">
        <x:v>功能专项，无直接Review映射</x:v>
      </x:c>
    </x:row>
    <x:row r="89" ht="142.5" customHeight="1">
      <x:c r="A89" s="10" t="str">
        <x:v>SM84</x:v>
      </x:c>
      <x:c r="B89" s="10" t="str">
        <x:v>费用项</x:v>
      </x:c>
      <x:c r="C89" s="10" t="str">
        <x:v>费用项真实字段、字典映射与财务生效</x:v>
      </x:c>
      <x:c r="D89" s="162" t="str">
        <x:v>待选择</x:v>
      </x:c>
      <x:c r="E89" s="162" t="str">
        <x:v>是</x:v>
      </x:c>
      <x:c r="F89" s="162" t="str">
        <x:v>待确认</x:v>
      </x:c>
      <x:c r="G89" s="162" t="str">
        <x:v>未执行</x:v>
      </x:c>
      <x:c r="H89" s="162"/>
      <x:c r="I89" s="10" t="str">
        <x:f>IF(D89="否","不适用",IF(D89&lt;&gt;"是","未纳入本批",IF(AND(E89&lt;&gt;"是",E89&lt;&gt;"否"),"关键项待分类",IF(V89&lt;&gt;"已确认","依据待确认",IF('本批提测'!$B$6&lt;&gt;"已就绪","批次未就绪",IF(OR(H89&lt;&gt;'本批提测'!$B$8,G89="",G89="未执行"),"未执行",IF(R89&lt;&gt;'本批提测'!$B$18,"基线已变，需复测",IF(LEN(TRIM(Q89))=0,"交付未映射",IF(AND(OR(G89="通过",G89="失败"),LEN(TRIM(M89))=0),"缺少证据",IF(AND(OR(G89="通过",G89="失败"),LEN(TRIM(O89))=0),"缺少执行人",IF(OR(G89="通过",G89="失败",G89="受阻",G89="依据待确认"),G89,"结果待填写")))))))))))</x:f>
        <x:v>未纳入本批</x:v>
      </x:c>
      <x:c r="J89" s="10" t="str">
        <x:v>入口：费用项分组→页头新增费用项/行编辑。字段为费用项编码、名称、英文名称、分组编码、默认币种、状态，编码编辑只读；分组编码和默认币种本次为文本框。DEC27先确认分组编码是否对应PRD费用项类型、币种来源与合法值/空旧值，DEC25确认财务生效入口。
在专用数据上按批准映射执行编码/名称/类型或分组/默认币种/状态必填、重复编码、名称63/64/65；测试非法分组/币种与合法值读回。再核修改类型/默认币种审批前后新价卡默认带出，引用删除保护、取消与未引用删除及历史快照。</x:v>
      </x:c>
      <x:c r="K89" s="10" t="str">
        <x:v>PRD编码/名称/类型/默认币种必填、编码唯一且创建后不可改、名称最多64字符仍是验收依据。类型字典与结算币种来源不能因当前文本框而取消；文本输入须映射批准合法值。当前旧样本分组空不证明可合法保存。类型/默认币种变更须按批准财务流程生效；引用删除拦截及引用数量提示、新明细默认币种和旧快照分别留证，未批准差异不得判通过。</x:v>
      </x:c>
      <x:c r="L89" s="10" t="str">
        <x:v>REQ §6.5 费用项；§6.1无工单／审批的对象范围为服务单元、成本价卡、产品；审批落地细则待DEC25。
网站只读对照 WEB05，2026-10-12；具体URL及未验证范围见「网站详情对照」。当前实现不替代批准需求。</x:v>
      </x:c>
      <x:c r="M89" s="162"/>
      <x:c r="N89" s="162"/>
      <x:c r="O89" s="162"/>
      <x:c r="P89" s="10" t="str">
        <x:v>专项回归</x:v>
      </x:c>
      <x:c r="Q89" s="162"/>
      <x:c r="R89" s="162"/>
      <x:c r="S89" s="10" t="str">
        <x:v>正文＋待决策</x:v>
      </x:c>
      <x:c r="T89" s="10" t="str">
        <x:v>字段独立反例、字典源联动及生效前后对照；对费用配置与产品发布的审批范围分别判定。</x:v>
      </x:c>
      <x:c r="U89" s="10" t="str">
        <x:v>字段错误及64字符边界、审批记录／生效时间、默认币种读回、引用数及删除结果；不用页面成功提示替代生效证明。
增加网站证据：记录group/resource、对象名称、主/子列表作用域及字段回显；写入/权限/持久化另取本批执行证据。</x:v>
      </x:c>
      <x:c r="V89" s="10" t="str">
        <x:f>IF(D89="否","不适用",IF(D89&lt;&gt;"是","未纳入本批",IF(OR(LEN(TRIM('本批提测'!$B$10))=0,LEN(TRIM('本批提测'!$B$11))=0,'本批提测'!$B$12&lt;&gt;"已确认",F89&lt;&gt;"已确认",'本批提测'!$H$117&lt;&gt;"已确认",'本批提测'!$H$157&lt;&gt;"已确认"),"待确认","已确认")))</x:f>
        <x:v>未纳入本批</x:v>
      </x:c>
      <x:c r="W89" s="10" t="str">
        <x:v>网站对照修订</x:v>
      </x:c>
      <x:c r="X89" s="10" t="str">
        <x:v>以真实分组编码/默认币种文本框改步骤，保留字典与审批合同差异。</x:v>
      </x:c>
      <x:c r="Y89" s="187"/>
      <x:c r="Z89" s="187" t="str">
        <x:v>功能专项，无直接Review映射</x:v>
      </x:c>
    </x:row>
    <x:row r="90" ht="183" customHeight="1">
      <x:c r="A90" s="10" t="str">
        <x:v>SM85</x:v>
      </x:c>
      <x:c r="B90" s="10" t="str">
        <x:v>币种汇率</x:v>
      </x:c>
      <x:c r="C90" s="10" t="str">
        <x:v>汇率自然日区间、只读生效项与倍率精度</x:v>
      </x:c>
      <x:c r="D90" s="162" t="str">
        <x:v>待选择</x:v>
      </x:c>
      <x:c r="E90" s="162" t="str">
        <x:v>是</x:v>
      </x:c>
      <x:c r="F90" s="162" t="str">
        <x:v>待确认</x:v>
      </x:c>
      <x:c r="G90" s="162" t="str">
        <x:v>未执行</x:v>
      </x:c>
      <x:c r="H90" s="162"/>
      <x:c r="I90" s="10" t="str">
        <x:f>IF(D90="否","不适用",IF(D90&lt;&gt;"是","未纳入本批",IF(AND(E90&lt;&gt;"是",E90&lt;&gt;"否"),"关键项待分类",IF(V90&lt;&gt;"已确认","依据待确认",IF('本批提测'!$B$6&lt;&gt;"已就绪","批次未就绪",IF(OR(H90&lt;&gt;'本批提测'!$B$8,G90="",G90="未执行"),"未执行",IF(R90&lt;&gt;'本批提测'!$B$18,"基线已变，需复测",IF(LEN(TRIM(Q90))=0,"交付未映射",IF(AND(OR(G90="通过",G90="失败"),LEN(TRIM(M90))=0),"缺少证据",IF(AND(OR(G90="通过",G90="失败"),LEN(TRIM(O90))=0),"缺少执行人",IF(OR(G90="通过",G90="失败",G90="受阻",G90="依据待确认"),G90,"结果待填写")))))))))))</x:f>
        <x:v>未纳入本批</x:v>
      </x:c>
      <x:c r="J90" s="10" t="str">
        <x:v>入口：币种与汇率→汇率。查询含关键词、状态、源/目标币种、生效日期；列表倍率样本显示8位小数、行只有编辑/停用。页面声明按自然日区间保存；已生效编辑的源/目标/倍率/生效日只读，结束日和状态可操作。
DEC24先确认直接倍率乘除方向、自然日区间端点、旧记录结束与新记录衔接/重叠、4位输入与8位展示/计算精度、唯一键及默认同币种例外；DEC25确认财务流程。新增专用记录分别缺源/目标/倍率/生效日/状态，测0/负/非数/4与5位小数、同币种对、重复币种对+生效日和不同日期。已生效记录通过批准的结束旧区间＋新增路径调整，不直接改只读倍率；核审批前后有效版本、命中日期及历史快照。仅批准另有删除入口时单独验引用拦截，不在当前列表强行找删除按钮。</x:v>
      </x:c>
      <x:c r="K90" s="10" t="str">
        <x:v>PRD汇率&gt;0、最多4位小数、币种对+生效日期唯一，普通源目标不同及预置CNY→CNY=1例外仍须DEC24统一；预置样本未在当前列表观察到，执行前须准备已确认记录。8位展示不等于输入/存储/计算8位。已生效四字段只读，无普通删除；通过批准自然日区间流程调整，不能重叠/漏配或误用旧版本。财务确认生效、真实倍率计算方向、历史引用及旧计费快照分别取证，页面说明不证明已实现。</x:v>
      </x:c>
      <x:c r="L90" s="10" t="str">
        <x:v>REQ §6.5 币种汇率；§七第29项乘除／不编辑／新增版本尚无确认状态，不能替换正式契约。
网站只读对照 WEB07，2026-10-12；具体URL及未验证范围见「网站详情对照」。当前实现不替代批准需求。</x:v>
      </x:c>
      <x:c r="M90" s="162"/>
      <x:c r="N90" s="162"/>
      <x:c r="O90" s="162"/>
      <x:c r="P90" s="10" t="str">
        <x:v>专项回归</x:v>
      </x:c>
      <x:c r="Q90" s="162"/>
      <x:c r="R90" s="162"/>
      <x:c r="S90" s="10" t="str">
        <x:v>正文＋待决策</x:v>
      </x:c>
      <x:c r="T90" s="10" t="str">
        <x:v>正负零边界、4/5位精度、三字段唯一键和同币种例外；用状态／版本对照解决正文与待办的差异。</x:v>
      </x:c>
      <x:c r="U90" s="10" t="str">
        <x:v>原币种对、日期、原始汇率及有效版本，审批／版本证据、重复提交回读、引用和历史快照；与SM79计算汇率版本证据关联。
增加网站证据：记录group/resource、对象名称、主/子列表作用域及字段回显；写入/权限/持久化另取本批执行证据。</x:v>
      </x:c>
      <x:c r="V90" s="10" t="str">
        <x:f>IF(D90="否","不适用",IF(D90&lt;&gt;"是","未纳入本批",IF(OR(LEN(TRIM('本批提测'!$B$10))=0,LEN(TRIM('本批提测'!$B$11))=0,'本批提测'!$B$12&lt;&gt;"已确认",F90&lt;&gt;"已确认",'本批提测'!$H$116&lt;&gt;"已确认",'本批提测'!$H$117&lt;&gt;"已确认"),"待确认","已确认")))</x:f>
        <x:v>未纳入本批</x:v>
      </x:c>
      <x:c r="W90" s="10" t="str">
        <x:v>网站对照修订</x:v>
      </x:c>
      <x:c r="X90" s="10" t="str">
        <x:v>移除当前不可执行的普通删除和直接修改倍率步骤，补自然日区间和显示精度差异。</x:v>
      </x:c>
      <x:c r="Y90" s="187"/>
      <x:c r="Z90" s="187" t="str">
        <x:v>功能专项，无直接Review映射</x:v>
      </x:c>
    </x:row>
    <x:row r="91" ht="210" customHeight="1">
      <x:c r="A91" s="10" t="str">
        <x:v>SM86</x:v>
      </x:c>
      <x:c r="B91" s="10" t="str">
        <x:v>价卡计费方式</x:v>
      </x:c>
      <x:c r="C91" s="10" t="str">
        <x:v>表单类型、说明64字符与引用保护</x:v>
      </x:c>
      <x:c r="D91" s="162" t="str">
        <x:v>待选择</x:v>
      </x:c>
      <x:c r="E91" s="162" t="str">
        <x:v>是</x:v>
      </x:c>
      <x:c r="F91" s="162" t="str">
        <x:v>待确认</x:v>
      </x:c>
      <x:c r="G91" s="162" t="str">
        <x:v>未执行</x:v>
      </x:c>
      <x:c r="H91" s="162"/>
      <x:c r="I91" s="10" t="str">
        <x:f>IF(D91="否","不适用",IF(D91&lt;&gt;"是","未纳入本批",IF(AND(E91&lt;&gt;"是",E91&lt;&gt;"否"),"关键项待分类",IF(V91&lt;&gt;"已确认","依据待确认",IF('本批提测'!$B$6&lt;&gt;"已就绪","批次未就绪",IF(OR(H91&lt;&gt;'本批提测'!$B$8,G91="",G91="未执行"),"未执行",IF(R91&lt;&gt;'本批提测'!$B$18,"基线已变，需复测",IF(LEN(TRIM(Q91))=0,"交付未映射",IF(AND(OR(G91="通过",G91="失败"),LEN(TRIM(M91))=0),"缺少证据",IF(AND(OR(G91="通过",G91="失败"),LEN(TRIM(O91))=0),"缺少执行人",IF(OR(G91="通过",G91="失败",G91="受阻",G91="依据待确认"),G91,"结果待填写")))))))))))</x:f>
        <x:v>未纳入本批</x:v>
      </x:c>
      <x:c r="J91" s="10" t="str">
        <x:v>本轮页面对象目录未见服务段、计费要素或价卡计费方式入口；只限本页面观察，不能称全站不存在。DEC26及交付清单先给出实际入口/对象映射；确认交付后保留下列原验收分支。不得把货物类型、费用项或Zone替代这些对象。
原需求验收分支（按映射后入口执行）：
前置：专用未引用／被价卡引用计费方式；名称、编码、类型独立有效。
1.逐项缺名称／编码／类型，重复编码；说明空／63／64／65字符。
2.查看新增类型固定、条件、单价、首续重，比较列表区间总价和均摊类型。
3.编辑名称／类型／适用要素／说明并读回，尝试改编码。
4.取消删除、对引用项及未引用测试项确认删除；进入成本价卡核对已批准方式。</x:v>
      </x:c>
      <x:c r="K91" s="10" t="str">
        <x:v>仅对本批已确认入口的原对象验收；未交付可按交付理由排除，未明确范围应依据待确认。原字符边界、类型/单位和引用历史规则仍保留。
原需求预期（仍须保留）：
名称、编码、类型必填，编码唯一且创建后不可改；说明非必填且最多64字符。新增表单列明4种类型，列表还可展示区间总价与均摊，不能强制列表类型全部可新增。被价卡引用禁止删除；合法修改读回。§6.3九种计费方式是业务方式，不能把它们与本页类型枚举当同一层次；具体计算公式仍由SM70/DEC19验收。</x:v>
      </x:c>
      <x:c r="L91" s="10" t="str">
        <x:v>REQ §6.5 价卡计费方式；§6.3价卡明细九种业务方式；2026-10-12复核。
网站只读对照 WEB01—10，2026-10-12；具体URL及未验证范围见「网站详情对照」。当前实现不替代批准需求。</x:v>
      </x:c>
      <x:c r="M91" s="162"/>
      <x:c r="N91" s="162"/>
      <x:c r="O91" s="162"/>
      <x:c r="P91" s="10" t="str">
        <x:v>专项回归</x:v>
      </x:c>
      <x:c r="Q91" s="162"/>
      <x:c r="R91" s="162"/>
      <x:c r="S91" s="10" t="str">
        <x:v>需求正文＋测试方法</x:v>
      </x:c>
      <x:c r="T91" s="10" t="str">
        <x:v>将类型枚举和业务计费方式分层比对，结合必填、说明边界、编码不可变与引用删除决策表。</x:v>
      </x:c>
      <x:c r="U91" s="10" t="str">
        <x:v>新增下拉、列表类型、说明空/64/65回读、不可改编码、引用阻断及成本卡候选；不以配置展示通过代替公式正确。
增加网站证据：记录group/resource、对象名称、主/子列表作用域及字段回显；写入/权限/持久化另取本批执行证据。</x:v>
      </x:c>
      <x:c r="V91" s="10" t="str">
        <x:f>IF(D91="否","不适用",IF(D91&lt;&gt;"是","未纳入本批",IF(OR(LEN(TRIM('本批提测'!$B$10))=0,LEN(TRIM('本批提测'!$B$11))=0,'本批提测'!$B$12&lt;&gt;"已确认",F91&lt;&gt;"已确认",'本批提测'!$H$156&lt;&gt;"已确认"),"待确认","已确认")))</x:f>
        <x:v>未纳入本批</x:v>
      </x:c>
      <x:c r="W91" s="10" t="str">
        <x:v>网站对照修订</x:v>
      </x:c>
      <x:c r="X91" s="10" t="str">
        <x:v>补本页面未见对象的范围条件，避免指定错误入口。</x:v>
      </x:c>
      <x:c r="Y91" s="187"/>
      <x:c r="Z91" s="187" t="str">
        <x:v>功能专项，无直接Review映射</x:v>
      </x:c>
    </x:row>
    <x:row r="92" ht="120" customHeight="1">
      <x:c r="A92" s="10" t="str">
        <x:v>SM87</x:v>
      </x:c>
      <x:c r="B92" s="10" t="str">
        <x:v>可接货型</x:v>
      </x:c>
      <x:c r="C92" s="10" t="str">
        <x:v>货物类型与可接货型映射、回显及历史</x:v>
      </x:c>
      <x:c r="D92" s="162" t="str">
        <x:v>待选择</x:v>
      </x:c>
      <x:c r="E92" s="162" t="str">
        <x:v>是</x:v>
      </x:c>
      <x:c r="F92" s="162" t="str">
        <x:v>待确认</x:v>
      </x:c>
      <x:c r="G92" s="162" t="str">
        <x:v>未执行</x:v>
      </x:c>
      <x:c r="H92" s="162"/>
      <x:c r="I92" s="10" t="str">
        <x:f>IF(D92="否","不适用",IF(D92&lt;&gt;"是","未纳入本批",IF(AND(E92&lt;&gt;"是",E92&lt;&gt;"否"),"关键项待分类",IF(V92&lt;&gt;"已确认","依据待确认",IF('本批提测'!$B$6&lt;&gt;"已就绪","批次未就绪",IF(OR(H92&lt;&gt;'本批提测'!$B$8,G92="",G92="未执行"),"未执行",IF(R92&lt;&gt;'本批提测'!$B$18,"基线已变，需复测",IF(LEN(TRIM(Q92))=0,"交付未映射",IF(AND(OR(G92="通过",G92="失败"),LEN(TRIM(M92))=0),"缺少证据",IF(AND(OR(G92="通过",G92="失败"),LEN(TRIM(O92))=0),"缺少执行人",IF(OR(G92="通过",G92="失败",G92="受阻",G92="依据待确认"),G92,"结果待填写")))))))))))</x:f>
        <x:v>未纳入本批</x:v>
      </x:c>
      <x:c r="J92" s="10" t="str">
        <x:v>当前业务字典→货物类型有编码/名称/说明/状态，编辑编码只读，说明显示0/500。DEC26先确认它是否对应PRD仅名称的可接货型及服务单元货物准入同源范围。批准后用专用数据分别核新增必填/重名/合法保存、说明按批准长度边界；编辑名称及说明再核候选联动，取消删除、确认删除及历史保留。</x:v>
      </x:c>
      <x:c r="K92" s="10" t="str">
        <x:v>若映射为PRD可接货型，名称必填、不能重复创建、同源选项联动及删除不影响历史合同保留；编码新增规则另按批准方案。本轮计数500只说明前端提示，不证明服务器限长；编码只读不等于编码唯一已验证。名称归一/长度及货型同源映射未批准时不能判通过。</x:v>
      </x:c>
      <x:c r="L92" s="10" t="str">
        <x:v>REQ §6.5 可接货型及评论：名称唯一；同源只按业务可观察值核对。
网站只读对照 WEB04，2026-10-12；具体URL及未验证范围见「网站详情对照」。当前实现不替代批准需求。</x:v>
      </x:c>
      <x:c r="M92" s="162"/>
      <x:c r="N92" s="162"/>
      <x:c r="O92" s="162"/>
      <x:c r="P92" s="10" t="str">
        <x:v>专项回归</x:v>
      </x:c>
      <x:c r="Q92" s="162"/>
      <x:c r="R92" s="162"/>
      <x:c r="S92" s="10" t="str">
        <x:v>需求正文＋测试方法</x:v>
      </x:c>
      <x:c r="T92" s="10" t="str">
        <x:v>从已有普通字典用例补名称唯一和特定货型同源联动；对照新表单候选与历史单据的不同生命周期。</x:v>
      </x:c>
      <x:c r="U92" s="10" t="str">
        <x:v>空名错误、重复请求及记录数、改名后候选、删除取消/确认、历史原单据；不以两个页面都存在字段证明底层同一张表。
增加网站证据：记录group/resource、对象名称、主/子列表作用域及字段回显；写入/权限/持久化另取本批执行证据。</x:v>
      </x:c>
      <x:c r="V92" s="10" t="str">
        <x:f>IF(D92="否","不适用",IF(D92&lt;&gt;"是","未纳入本批",IF(OR(LEN(TRIM('本批提测'!$B$10))=0,LEN(TRIM('本批提测'!$B$11))=0,'本批提测'!$B$12&lt;&gt;"已确认",F92&lt;&gt;"已确认",'本批提测'!$H$156&lt;&gt;"已确认"),"待确认","已确认")))</x:f>
        <x:v>未纳入本批</x:v>
      </x:c>
      <x:c r="W92" s="10" t="str">
        <x:v>网站对照修订</x:v>
      </x:c>
      <x:c r="X92" s="10" t="str">
        <x:v>实际货物类型有编码与说明，不能直接套仅名称可接货型模型。</x:v>
      </x:c>
      <x:c r="Y92" s="187"/>
      <x:c r="Z92" s="187" t="str">
        <x:v>功能专项，无直接Review映射</x:v>
      </x:c>
    </x:row>
    <x:row r="93" ht="156" customHeight="1">
      <x:c r="A93" s="10" t="str">
        <x:v>SM88</x:v>
      </x:c>
      <x:c r="B93" s="10" t="str">
        <x:v>下单限制规则</x:v>
      </x:c>
      <x:c r="C93" s="10" t="str">
        <x:v>规则编辑器必填、作用域及引用删除</x:v>
      </x:c>
      <x:c r="D93" s="162" t="str">
        <x:v>待选择</x:v>
      </x:c>
      <x:c r="E93" s="162" t="str">
        <x:v>是</x:v>
      </x:c>
      <x:c r="F93" s="162" t="str">
        <x:v>待确认</x:v>
      </x:c>
      <x:c r="G93" s="162" t="str">
        <x:v>未执行</x:v>
      </x:c>
      <x:c r="H93" s="162"/>
      <x:c r="I93" s="10" t="str">
        <x:f>IF(D93="否","不适用",IF(D93&lt;&gt;"是","未纳入本批",IF(AND(E93&lt;&gt;"是",E93&lt;&gt;"否"),"关键项待分类",IF(V93&lt;&gt;"已确认","依据待确认",IF('本批提测'!$B$6&lt;&gt;"已就绪","批次未就绪",IF(OR(H93&lt;&gt;'本批提测'!$B$8,G93="",G93="未执行"),"未执行",IF(R93&lt;&gt;'本批提测'!$B$18,"基线已变，需复测",IF(LEN(TRIM(Q93))=0,"交付未映射",IF(AND(OR(G93="通过",G93="失败"),LEN(TRIM(M93))=0),"缺少证据",IF(AND(OR(G93="通过",G93="失败"),LEN(TRIM(O93))=0),"缺少执行人",IF(OR(G93="通过",G93="失败",G93="受阻",G93="依据待确认"),G93,"结果待填写")))))))))))</x:f>
        <x:v>未纳入本批</x:v>
      </x:c>
      <x:c r="J93" s="10" t="str">
        <x:v>前置：专用全局规则／指定单元规则、合法表达式、已被引用与未引用对象；本批确认指定单元的选择范围。
1.由服务单元列表进入规则页；逐项缺名称／编码／适用范围／条件表达式，重复编码。
2.核对5种类型、拒收／转人工、启用／停用；分别维护全局和指定单元规则，保存重开。
3.检查对应单元候选及实际关联；取消删除、对仍有引用项删除、对未引用测试项确认删除。
4.实际命中分别关联SM53、SM57核对，不把加收费写在处理方式中。</x:v>
      </x:c>
      <x:c r="K93" s="10" t="str">
        <x:v>名称、编码、范围和表达式必填，编码不重复；类型为关税预付、香港交货、超大件、是否带电、自定义；处理方式仅拒收／转人工，状态为启用／停用。全局供所有单元勾选，指定规则仅对对应单元或价卡生效；仍有引用时拦截删除。加收金额在成本价卡条件附加费中计算。表达式执行语义及停用候选细则未定义时先确认，不从页面枚举自行推断算法。</x:v>
      </x:c>
      <x:c r="L93" s="10" t="str">
        <x:v>REQ §6.5 下单限制规则编辑器；SM57已有聚合／计算检查，不能代替配置保存及引用保护。</x:v>
      </x:c>
      <x:c r="M93" s="162"/>
      <x:c r="N93" s="162"/>
      <x:c r="O93" s="162"/>
      <x:c r="P93" s="10" t="str">
        <x:v>专项回归</x:v>
      </x:c>
      <x:c r="Q93" s="162"/>
      <x:c r="R93" s="162"/>
      <x:c r="S93" s="10" t="str">
        <x:v>需求正文＋测试方法</x:v>
      </x:c>
      <x:c r="T93" s="10" t="str">
        <x:v>配置保存与规则执行分开核对；字段等价类、作用域对照、引用删除决策表，关联已有拒收/转人工分支。</x:v>
      </x:c>
      <x:c r="U93" s="10" t="str">
        <x:v>入口URL、逐项错误、作用域保存回显、目标单元候选、引用删除阻断及真实命中证据；失败原数据不变。</x:v>
      </x:c>
      <x:c r="V93" s="10" t="str">
        <x:f>IF(D93="否","不适用",IF(D93&lt;&gt;"是","未纳入本批",IF(OR(LEN(TRIM('本批提测'!$B$10))=0,LEN(TRIM('本批提测'!$B$11))=0,'本批提测'!$B$12&lt;&gt;"已确认",F93&lt;&gt;"已确认"),"待确认","已确认")))</x:f>
        <x:v>未纳入本批</x:v>
      </x:c>
      <x:c r="W93" s="10" t="str">
        <x:v>本轮补充</x:v>
      </x:c>
      <x:c r="X93" s="10" t="str">
        <x:v>补具体步骤、预期与分支证据；待本批确认并执行。</x:v>
      </x:c>
      <x:c r="Y93" s="187"/>
      <x:c r="Z93" s="187" t="str">
        <x:v>功能专项，无直接Review映射</x:v>
      </x:c>
    </x:row>
    <x:row r="94" ht="120" customHeight="1">
      <x:c r="A94" s="10" t="str">
        <x:v>SM89</x:v>
      </x:c>
      <x:c r="B94" s="10" t="str">
        <x:v>币种</x:v>
      </x:c>
      <x:c r="C94" s="10" t="str">
        <x:v>ISO4217回显、小数位配置与业务引用</x:v>
      </x:c>
      <x:c r="D94" s="11" t="str">
        <x:v>待选择</x:v>
      </x:c>
      <x:c r="E94" s="11" t="str">
        <x:v>是</x:v>
      </x:c>
      <x:c r="F94" s="11" t="str">
        <x:v>待确认</x:v>
      </x:c>
      <x:c r="G94" s="11" t="str">
        <x:v>未执行</x:v>
      </x:c>
      <x:c r="H94" s="11"/>
      <x:c r="I94" s="10" t="str">
        <x:f>IF(D94="否","不适用",IF(D94&lt;&gt;"是","未纳入本批",IF(AND(E94&lt;&gt;"是",E94&lt;&gt;"否"),"关键项待分类",IF(V94&lt;&gt;"已确认","依据待确认",IF('本批提测'!$B$6&lt;&gt;"已就绪","批次未就绪",IF(OR(H94&lt;&gt;'本批提测'!$B$8,G94="",G94="未执行"),"未执行",IF(R94&lt;&gt;'本批提测'!$B$18,"基线已变，需复测",IF(LEN(TRIM(Q94))=0,"交付未映射",IF(AND(OR(G94="通过",G94="失败"),LEN(TRIM(M94))=0),"缺少证据",IF(AND(OR(G94="通过",G94="失败"),LEN(TRIM(O94))=0),"缺少执行人",IF(OR(G94="通过",G94="失败",G94="受阻",G94="依据待确认"),G94,"结果待填写")))))))))))</x:f>
        <x:v>未纳入本批</x:v>
      </x:c>
      <x:c r="J94" s="10" t="str">
        <x:v>币种与汇率→币种。用批准专用币种新增/编辑；核ISO4217编码、名称、英文名称、符号、小数位数、状态，编码编辑只读。先批准编码格式/唯一性、小数位合法范围及必填，再测空、边界/非法值、合法保存读回、停用候选与汇率/费用默认币种引用。</x:v>
      </x:c>
      <x:c r="K94" s="10" t="str">
        <x:v>字段回显、只读和保存值与批准币种契约一致；小数位数不能接受超批准范围的值。当前CNY/USD小数位2不决定全站金额展示2位，金额按DEC10；没有审批或关联生效证据时不推断币种变更已经影响历史。</x:v>
      </x:c>
      <x:c r="L94" s="10" t="str">
        <x:v>网站 WEB06，2026-10-12；批准需求/交付规则及映射确认后执行；详情来源见网站详情对照。</x:v>
      </x:c>
      <x:c r="M94" s="11"/>
      <x:c r="N94" s="11"/>
      <x:c r="O94" s="11"/>
      <x:c r="P94" s="10" t="str">
        <x:v>专项回归</x:v>
      </x:c>
      <x:c r="Q94" s="11"/>
      <x:c r="R94" s="11"/>
      <x:c r="S94" s="10" t="str">
        <x:v>网站观察＋待批准契约</x:v>
      </x:c>
      <x:c r="T94" s="10" t="str">
        <x:v>按实际对象字段分别核输入、保存读回与引用；不以静态回显判整条通过。</x:v>
      </x:c>
      <x:c r="U94" s="10" t="str">
        <x:v>记录批准字段规则、原值/新值、Build、路由、列表与表单证据；未保存的本轮观察不作为实测结果。</x:v>
      </x:c>
      <x:c r="V94" s="10" t="str">
        <x:f>IF(D94="否","不适用",IF(D94&lt;&gt;"是","未纳入本批",IF(OR(LEN(TRIM('本批提测'!$B$10))=0,LEN(TRIM('本批提测'!$B$11))=0,'本批提测'!$B$12&lt;&gt;"已确认",F94&lt;&gt;"已确认"),"待确认","已确认")))</x:f>
        <x:v>未纳入本批</x:v>
      </x:c>
      <x:c r="W94" s="10" t="str">
        <x:v>网站对照补充</x:v>
      </x:c>
      <x:c r="X94" s="10" t="str">
        <x:v>新增对象专项；本批范围和字段合同待确认，全部未执行。</x:v>
      </x:c>
      <x:c r="Y94" s="187"/>
      <x:c r="Z94" s="187" t="str">
        <x:v>功能专项，无直接Review映射</x:v>
      </x:c>
    </x:row>
    <x:row r="95" ht="120" customHeight="1">
      <x:c r="A95" s="10" t="str">
        <x:v>SM90</x:v>
      </x:c>
      <x:c r="B95" s="10" t="str">
        <x:v>独立邮编对象</x:v>
      </x:c>
      <x:c r="C95" s="10" t="str">
        <x:v>国家回显、邮编范围与地点映射</x:v>
      </x:c>
      <x:c r="D95" s="11" t="str">
        <x:v>待选择</x:v>
      </x:c>
      <x:c r="E95" s="11" t="str">
        <x:v>是</x:v>
      </x:c>
      <x:c r="F95" s="11" t="str">
        <x:v>待确认</x:v>
      </x:c>
      <x:c r="G95" s="11" t="str">
        <x:v>未执行</x:v>
      </x:c>
      <x:c r="H95" s="11"/>
      <x:c r="I95" s="10" t="str">
        <x:f>IF(D95="否","不适用",IF(D95&lt;&gt;"是","未纳入本批",IF(AND(E95&lt;&gt;"是",E95&lt;&gt;"否"),"关键项待分类",IF(V95&lt;&gt;"已确认","依据待确认",IF('本批提测'!$B$6&lt;&gt;"已就绪","批次未就绪",IF(OR(H95&lt;&gt;'本批提测'!$B$8,G95="",G95="未执行"),"未执行",IF(R95&lt;&gt;'本批提测'!$B$18,"基线已变，需复测",IF(LEN(TRIM(Q95))=0,"交付未映射",IF(AND(OR(G95="通过",G95="失败"),LEN(TRIM(M95))=0),"缺少证据",IF(AND(OR(G95="通过",G95="失败"),LEN(TRIM(O95))=0),"缺少执行人",IF(OR(G95="通过",G95="失败",G95="受阻",G95="依据待确认"),G95,"结果待填写")))))))))))</x:f>
        <x:v>未纳入本批</x:v>
      </x:c>
      <x:c r="J95" s="10" t="str">
        <x:v>行政与地点→邮编。核关键词邮编/结束邮编和国家筛选；用专用国家、含前导零邮编和批准范围新增，编辑核邮编只读、国家和结束值。DEC28批准起止端点、文本归一及与PRD地点属性/版本的映射后，执行空值、反向范围、合法保存、国家关联列表/表单读回；真实命中和历史走SM72。</x:v>
      </x:c>
      <x:c r="K95" s="10" t="str">
        <x:v>国家/邮编/状态按批准必填，编码与国家关联保持，邮编不能因数字转换丢前导零；范围处理按批准口径。当前列表国家1与表单中国CN需核对展示定义和真实关联，不能只看数字就判业务关联错误。独立邮编页保存不代表PRD地点版本和Zone匹配已通过。</x:v>
      </x:c>
      <x:c r="L95" s="10" t="str">
        <x:v>网站 WEB08，2026-10-12；批准需求/交付规则及映射确认后执行；详情来源见网站详情对照。</x:v>
      </x:c>
      <x:c r="M95" s="11"/>
      <x:c r="N95" s="11"/>
      <x:c r="O95" s="11"/>
      <x:c r="P95" s="10" t="str">
        <x:v>专项回归</x:v>
      </x:c>
      <x:c r="Q95" s="11"/>
      <x:c r="R95" s="11"/>
      <x:c r="S95" s="10" t="str">
        <x:v>网站观察＋待批准契约</x:v>
      </x:c>
      <x:c r="T95" s="10" t="str">
        <x:v>按实际对象字段分别核输入、保存读回与引用；不以静态回显判整条通过。</x:v>
      </x:c>
      <x:c r="U95" s="10" t="str">
        <x:v>记录批准字段规则、原值/新值、Build、路由、列表与表单证据；未保存的本轮观察不作为实测结果。</x:v>
      </x:c>
      <x:c r="V95" s="10" t="str">
        <x:f>IF(D95="否","不适用",IF(D95&lt;&gt;"是","未纳入本批",IF(OR(LEN(TRIM('本批提测'!$B$10))=0,LEN(TRIM('本批提测'!$B$11))=0,'本批提测'!$B$12&lt;&gt;"已确认",F95&lt;&gt;"已确认",'本批提测'!$H$158&lt;&gt;"已确认"),"待确认","已确认")))</x:f>
        <x:v>未纳入本批</x:v>
      </x:c>
      <x:c r="W95" s="10" t="str">
        <x:v>网站对照补充</x:v>
      </x:c>
      <x:c r="X95" s="10" t="str">
        <x:v>新增对象专项；本批范围和字段合同待确认，全部未执行。</x:v>
      </x:c>
      <x:c r="Y95" s="187"/>
      <x:c r="Z95" s="187" t="str">
        <x:v>功能专项，无直接Review映射</x:v>
      </x:c>
    </x:row>
    <x:row r="96" ht="120" customHeight="1">
      <x:c r="A96" s="10" t="str">
        <x:v>SM91</x:v>
      </x:c>
      <x:c r="B96" s="10" t="str">
        <x:v>航线区域</x:v>
      </x:c>
      <x:c r="C96" s="10" t="str">
        <x:v>主记录与国家关系详情的作用域和关联</x:v>
      </x:c>
      <x:c r="D96" s="11" t="str">
        <x:v>待选择</x:v>
      </x:c>
      <x:c r="E96" s="11" t="str">
        <x:v>是</x:v>
      </x:c>
      <x:c r="F96" s="11" t="str">
        <x:v>待确认</x:v>
      </x:c>
      <x:c r="G96" s="11" t="str">
        <x:v>未执行</x:v>
      </x:c>
      <x:c r="H96" s="11"/>
      <x:c r="I96" s="10" t="str">
        <x:f>IF(D96="否","不适用",IF(D96&lt;&gt;"是","未纳入本批",IF(AND(E96&lt;&gt;"是",E96&lt;&gt;"否"),"关键项待分类",IF(V96&lt;&gt;"已确认","依据待确认",IF('本批提测'!$B$6&lt;&gt;"已就绪","批次未就绪",IF(OR(H96&lt;&gt;'本批提测'!$B$8,G96="",G96="未执行"),"未执行",IF(R96&lt;&gt;'本批提测'!$B$18,"基线已变，需复测",IF(LEN(TRIM(Q96))=0,"交付未映射",IF(AND(OR(G96="通过",G96="失败"),LEN(TRIM(M96))=0),"缺少证据",IF(AND(OR(G96="通过",G96="失败"),LEN(TRIM(O96))=0),"缺少执行人",IF(OR(G96="通过",G96="失败",G96="受阻",G96="依据待确认"),G96,"结果待填写")))))))))))</x:f>
        <x:v>未纳入本批</x:v>
      </x:c>
      <x:c r="J96" s="10" t="str">
        <x:v>航线区域与Zone→航线区域。使用本批专用区域，核编码/名称/状态列表，点该行查看详情，分别核基本信息和国家关系列表。先取得未核实的新增/编辑字段及成员维护入口和批准关系约束；执行合法主记录/成员新增保存读回、取消、状态及引用删除保护。子列表查询/编辑/停用/删除必须限定当前详情，不操作同名主表按钮。</x:v>
      </x:c>
      <x:c r="K96" s="10" t="str">
        <x:v>主记录和国家关系关联到正确区域，关闭详情回原列表；国家ID、名称/编码、状态与批准展示及真实关联一致。成员必填、重复、删除/停用及历史规则须先确认，不从现有按钮推导允许删除被引用成员；本轮仅查看详情，未核字段或保存。</x:v>
      </x:c>
      <x:c r="L96" s="10" t="str">
        <x:v>网站 WEB09，2026-10-12；批准需求/交付规则及映射确认后执行；详情来源见网站详情对照。</x:v>
      </x:c>
      <x:c r="M96" s="11"/>
      <x:c r="N96" s="11"/>
      <x:c r="O96" s="11"/>
      <x:c r="P96" s="10" t="str">
        <x:v>专项回归</x:v>
      </x:c>
      <x:c r="Q96" s="11"/>
      <x:c r="R96" s="11"/>
      <x:c r="S96" s="10" t="str">
        <x:v>网站观察＋待批准契约</x:v>
      </x:c>
      <x:c r="T96" s="10" t="str">
        <x:v>按实际对象字段分别核输入、保存读回与引用；不以静态回显判整条通过。</x:v>
      </x:c>
      <x:c r="U96" s="10" t="str">
        <x:v>记录批准字段规则、原值/新值、Build、路由、列表与表单证据；未保存的本轮观察不作为实测结果。</x:v>
      </x:c>
      <x:c r="V96" s="10" t="str">
        <x:f>IF(D96="否","不适用",IF(D96&lt;&gt;"是","未纳入本批",IF(OR(LEN(TRIM('本批提测'!$B$10))=0,LEN(TRIM('本批提测'!$B$11))=0,'本批提测'!$B$12&lt;&gt;"已确认",F96&lt;&gt;"已确认"),"待确认","已确认")))</x:f>
        <x:v>未纳入本批</x:v>
      </x:c>
      <x:c r="W96" s="10" t="str">
        <x:v>网站对照补充</x:v>
      </x:c>
      <x:c r="X96" s="10" t="str">
        <x:v>新增对象专项；本批范围和字段合同待确认，全部未执行。</x:v>
      </x:c>
      <x:c r="Y96" s="187"/>
      <x:c r="Z96" s="187" t="str">
        <x:v>功能专项，无直接Review映射</x:v>
      </x:c>
    </x:row>
  </x:sheetData>
  <x:conditionalFormatting sqref="G6:G65">
    <x:cfRule type="containsText" dxfId="72" priority="37" operator="containsText" text="失败"/>
    <x:cfRule type="containsText" dxfId="73" priority="38" operator="containsText" text="受阻"/>
    <x:cfRule type="containsText" dxfId="74" priority="39" operator="containsText" text="待确认"/>
  </x:conditionalFormatting>
  <x:conditionalFormatting sqref="I6:I65">
    <x:cfRule type="containsText" dxfId="75" priority="40" operator="containsText" text="失败"/>
    <x:cfRule type="containsText" dxfId="76" priority="41" operator="containsText" text="受阻"/>
    <x:cfRule type="containsText" dxfId="77" priority="42" operator="containsText" text="待确认"/>
  </x:conditionalFormatting>
  <x:conditionalFormatting sqref="G66:G67">
    <x:cfRule type="containsText" dxfId="84" priority="43" operator="containsText" text="失败"/>
    <x:cfRule type="containsText" dxfId="85" priority="44" operator="containsText" text="受阻"/>
    <x:cfRule type="containsText" dxfId="86" priority="45" operator="containsText" text="待确认"/>
  </x:conditionalFormatting>
  <x:conditionalFormatting sqref="I66:I67">
    <x:cfRule type="containsText" dxfId="87" priority="46" operator="containsText" text="失败"/>
    <x:cfRule type="containsText" dxfId="88" priority="47" operator="containsText" text="受阻"/>
    <x:cfRule type="containsText" dxfId="89" priority="48" operator="containsText" text="待确认"/>
  </x:conditionalFormatting>
  <x:conditionalFormatting sqref="G68:G87">
    <x:cfRule type="containsText" dxfId="90" priority="49" operator="containsText" text="失败"/>
    <x:cfRule type="containsText" dxfId="91" priority="50" operator="containsText" text="受阻"/>
    <x:cfRule type="containsText" dxfId="92" priority="51" operator="containsText" text="待确认"/>
  </x:conditionalFormatting>
  <x:conditionalFormatting sqref="I68:I87">
    <x:cfRule type="containsText" dxfId="93" priority="52" operator="containsText" text="失败"/>
    <x:cfRule type="containsText" dxfId="94" priority="53" operator="containsText" text="受阻"/>
    <x:cfRule type="containsText" dxfId="95" priority="54" operator="containsText" text="待确认"/>
  </x:conditionalFormatting>
  <x:conditionalFormatting sqref="G88:G93">
    <x:cfRule type="containsText" dxfId="96" priority="55" operator="containsText" text="失败"/>
    <x:cfRule type="containsText" dxfId="97" priority="56" operator="containsText" text="待确认"/>
  </x:conditionalFormatting>
  <x:conditionalFormatting sqref="I88:I93">
    <x:cfRule type="containsText" dxfId="98" priority="57" operator="containsText" text="失败"/>
    <x:cfRule type="containsText" dxfId="99" priority="58" operator="containsText" text="待确认"/>
  </x:conditionalFormatting>
  <x:conditionalFormatting sqref="V88:V93">
    <x:cfRule type="containsText" dxfId="100" priority="59" operator="containsText" text="失败"/>
    <x:cfRule type="containsText" dxfId="101" priority="60" operator="containsText" text="待确认"/>
  </x:conditionalFormatting>
  <x:dataValidations count="20">
    <x:dataValidation type="list" sqref="D6:D65">
      <x:formula1>"待选择,是,否"</x:formula1>
    </x:dataValidation>
    <x:dataValidation type="list" sqref="E6:E65">
      <x:formula1>"是,否"</x:formula1>
    </x:dataValidation>
    <x:dataValidation type="list" sqref="F6:F65">
      <x:formula1>"待确认,已确认"</x:formula1>
    </x:dataValidation>
    <x:dataValidation type="list" sqref="G6:G65">
      <x:formula1>"未执行,通过,失败,受阻,依据待确认"</x:formula1>
    </x:dataValidation>
    <x:dataValidation type="list" sqref="D66:D67">
      <x:formula1>"待选择,是,否"</x:formula1>
    </x:dataValidation>
    <x:dataValidation type="list" sqref="E66:E67">
      <x:formula1>"是,否"</x:formula1>
    </x:dataValidation>
    <x:dataValidation type="list" sqref="F66:F67">
      <x:formula1>"待确认,已确认"</x:formula1>
    </x:dataValidation>
    <x:dataValidation type="list" sqref="G66:G67">
      <x:formula1>"未执行,通过,失败,受阻,依据待确认"</x:formula1>
    </x:dataValidation>
    <x:dataValidation type="list" sqref="D68:D87">
      <x:formula1>"待选择,是,否"</x:formula1>
    </x:dataValidation>
    <x:dataValidation type="list" sqref="E68:E87">
      <x:formula1>"是,否"</x:formula1>
    </x:dataValidation>
    <x:dataValidation type="list" sqref="F68:F87">
      <x:formula1>"待确认,已确认"</x:formula1>
    </x:dataValidation>
    <x:dataValidation type="list" sqref="G68:G87">
      <x:formula1>"未执行,通过,失败,受阻,依据待确认"</x:formula1>
    </x:dataValidation>
    <x:dataValidation type="list" sqref="D88:D93">
      <x:formula1>"待选择,是,否"</x:formula1>
    </x:dataValidation>
    <x:dataValidation type="list" sqref="E88:E93">
      <x:formula1>"是,否"</x:formula1>
    </x:dataValidation>
    <x:dataValidation type="list" sqref="F88:F93">
      <x:formula1>"待确认,已确认"</x:formula1>
    </x:dataValidation>
    <x:dataValidation type="list" sqref="G88:G93">
      <x:formula1>"未执行,通过,失败,受阻,依据待确认"</x:formula1>
    </x:dataValidation>
    <x:dataValidation type="list" sqref="D94:D96">
      <x:formula1>"待选择,是,否"</x:formula1>
    </x:dataValidation>
    <x:dataValidation type="list" sqref="E94:E96">
      <x:formula1>"是,否"</x:formula1>
    </x:dataValidation>
    <x:dataValidation type="list" sqref="F94:F96">
      <x:formula1>"待确认,已确认"</x:formula1>
    </x:dataValidation>
    <x:dataValidation type="list" sqref="G94:G96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c8fbffeb734d20"/>
  </x:tableParts>
</x:worksheet>
</file>

<file path=xl/worksheets/sheet3.xml><?xml version="1.0" encoding="utf-8"?>
<x:worksheet xmlns:x="http://schemas.openxmlformats.org/spreadsheetml/2006/main">
  <x:sheetPr>
    <x:tabColor rgb="FF6B728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5" hidden="0" customWidth="1"/>
    <x:col min="17" max="17" width="14.380000114440918" hidden="0" customWidth="1"/>
    <x:col min="18" max="18" width="24.3799991607666" hidden="0" customWidth="1"/>
    <x:col min="19" max="19" width="16.25" hidden="0" customWidth="1"/>
    <x:col min="20" max="20" width="14.380000114440918" hidden="0" customWidth="1"/>
    <x:col min="21" max="21" width="25" hidden="0" customWidth="1"/>
    <x:col min="22" max="22" width="35" hidden="0" customWidth="1"/>
    <x:col min="23" max="23" width="23.75" hidden="0" customWidth="1"/>
    <x:col min="24" max="24" width="23.75" hidden="0" customWidth="1"/>
    <x:col min="25" max="25" width="47.5" hidden="0" customWidth="1"/>
    <x:col min="26" max="26" width="60" hidden="0" customWidth="1"/>
    <x:col min="27" max="27" width="32.5" hidden="0" customWidth="1"/>
    <x:col min="28" max="28" width="25" hidden="0" customWidth="1"/>
    <x:col min="29" max="29" width="45" hidden="0" customWidth="1"/>
    <x:col min="30" max="30" width="68.75" hidden="0" customWidth="1"/>
    <x:col min="31" max="31" width="68.75" hidden="0" customWidth="1"/>
    <x:col min="32" max="32" width="18.75" hidden="0" customWidth="1"/>
    <x:col min="33" max="33" width="20.6299991607666" hidden="0" customWidth="1"/>
    <x:col min="34" max="34" width="57.5" hidden="0" customWidth="1"/>
    <x:col min="35" max="35" width="55" hidden="0" customWidth="1"/>
    <x:col min="36" max="36" width="26.8799991607666" hidden="0" customWidth="1"/>
    <x:col min="37" max="37" width="53.75" hidden="0" customWidth="1"/>
    <x:col min="38" max="38" width="46.2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1" customHeight="1">
      <x:c r="A2" s="3" t="str">
        <x:v>SN318 UI 检查与原型 Review 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1" customHeight="1">
      <x:c r="A4" s="5" t="str">
        <x:v>颜色表示框架适配方式，R列及左侧case识别区按来源着色；AI—AL列列明对应检查方式、配套功能与依据。来源已修改/修改中、颜色、本批采用和G/I测试结果分别记录；全部未执行。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原型评审优先级</x:v>
      </x:c>
      <x:c r="Q5" s="84" t="str">
        <x:v>原型确认状态</x:v>
      </x:c>
      <x:c r="R5" s="84" t="str">
        <x:v>框架适配判断</x:v>
      </x:c>
      <x:c r="S5" s="84" t="str">
        <x:v>原处理角色</x:v>
      </x:c>
      <x:c r="T5" s="84" t="str">
        <x:v>测试层次</x:v>
      </x:c>
      <x:c r="U5" s="84" t="str">
        <x:v>交付项ID／影响点</x:v>
      </x:c>
      <x:c r="V5" s="84" t="str">
        <x:v>执行基线ID</x:v>
      </x:c>
      <x:c r="W5" s="84" t="str">
        <x:v>依据类型</x:v>
      </x:c>
      <x:c r="X5" s="84" t="str">
        <x:v>原Review类型</x:v>
      </x:c>
      <x:c r="Y5" s="84" t="str">
        <x:v>原型问题摘录</x:v>
      </x:c>
      <x:c r="Z5" s="84" t="str">
        <x:v>原Review建议摘录</x:v>
      </x:c>
      <x:c r="AA5" s="84" t="str">
        <x:v>原后续处理建议</x:v>
      </x:c>
      <x:c r="AB5" s="84" t="str">
        <x:v>飞书记录ID</x:v>
      </x:c>
      <x:c r="AC5" s="84" t="str">
        <x:v>本轮用例修正说明</x:v>
      </x:c>
      <x:c r="AD5" s="150" t="str">
        <x:v>设计思路／测试方法（建议）</x:v>
      </x:c>
      <x:c r="AE5" s="150" t="str">
        <x:v>数据选择／核对证据（建议）</x:v>
      </x:c>
      <x:c r="AF5" s="161" t="str">
        <x:v>依据有效性</x:v>
      </x:c>
      <x:c r="AG5" s="161" t="str">
        <x:v>用例复核处理</x:v>
      </x:c>
      <x:c r="AH5" s="161" t="str">
        <x:v>本轮复核说明</x:v>
      </x:c>
      <x:c r="AI5" s="173" t="str">
        <x:v>层级对应检查重点</x:v>
      </x:c>
      <x:c r="AJ5" s="173" t="str">
        <x:v>配套功能case</x:v>
      </x:c>
      <x:c r="AK5" s="173" t="str">
        <x:v>验收所需依据</x:v>
      </x:c>
      <x:c r="AL5" s="173" t="str">
        <x:v>层级来源</x:v>
      </x:c>
    </x:row>
    <x:row r="6" ht="142.5" customHeight="1">
      <x:c r="A6" s="188" t="str">
        <x:v>UI01</x:v>
      </x:c>
      <x:c r="B6" s="188" t="str">
        <x:v>基础配置</x:v>
      </x:c>
      <x:c r="C6" s="188" t="str">
        <x:v>分类层级与新增入口</x:v>
      </x:c>
      <x:c r="D6" s="85" t="str">
        <x:v>待选择</x:v>
      </x:c>
      <x:c r="E6" s="85" t="str">
        <x:v>否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AF6&lt;&gt;"已确认","依据待确认",IF('本批提测'!$B$6&lt;&gt;"已就绪","批次未就绪",IF(OR(H6&lt;&gt;'本批提测'!$B$8,G6="",G6="未执行"),"未执行",IF(V6&lt;&gt;'本批提测'!$B$18,"基线已变，需复测",IF(LEN(TRIM(U6))=0,"交付未映射",IF(AND(OR(G6="通过",G6="失败"),LEN(TRIM(M6))=0),"缺少证据",IF(AND(OR(G6="通过",G6="失败"),LEN(TRIM(O6))=0),"缺少执行人",IF(OR(G6="通过",G6="失败",G6="受阻",G6="依据待确认"),G6,"结果待填写")))))))))))</x:f>
        <x:v>未纳入本批</x:v>
      </x:c>
      <x:c r="J6" s="10" t="str">
        <x:v>记录当前主数据/计价底座分组文字、5个导航分组按钮、对象侧栏及页头对象特有新增按钮；切換对象核标题/选中态/列表/新增目标。对照DEC01批准现行结构：若采纳Review一级Tabs及右侧列表顶部新增，按批准稿量测和定位；若批准保留当前结构，留批准稿及采用理由。</x:v>
      </x:c>
      <x:c r="K6" s="10" t="str">
        <x:v>结构必须符合本批批准方案。Review提出主数据/计价底座页头一级Tab、子项内容区及右侧列表顶部新增，当前DOM为分组导航和页头新增，存在待确认差异；不能因菜单能切换就认为Tabs方案已完成。Tabs尺寸/交互见UI33/34，仅适用实际采用Tabs的组件。</x:v>
      </x:c>
      <x:c r="L6" s="10" t="str">
        <x:v>REVIEW review-67fb39add5；2026-10-12当前视图rev637；建议按本批批准基线采纳，来源状态不等于实测结果。
网站只读对照 WEB01—10，2026-10-12；具体URL及未验证范围见「网站详情对照」。当前实现不替代批准需求。
颜色层级按飞书框架适配字段对应；批准需求与本批实测结果分别记录。</x:v>
      </x:c>
      <x:c r="M6" s="86"/>
      <x:c r="N6" s="86"/>
      <x:c r="O6" s="86"/>
      <x:c r="P6" s="14" t="str">
        <x:v>P0</x:v>
      </x:c>
      <x:c r="Q6" s="14" t="str">
        <x:v>已修改</x:v>
      </x:c>
      <x:c r="R6" s="205" t="str">
        <x:v>无法覆盖</x:v>
      </x:c>
      <x:c r="S6" s="14" t="str">
        <x:v>UI</x:v>
      </x:c>
      <x:c r="T6" s="10" t="str">
        <x:v>UI核对</x:v>
      </x:c>
      <x:c r="U6" s="86"/>
      <x:c r="V6" s="86"/>
      <x:c r="W6" s="10" t="str">
        <x:v>未批准Review建议</x:v>
      </x:c>
      <x:c r="X6" s="14" t="str">
        <x:v>页面结构、信息层级、交互逻辑</x:v>
      </x:c>
      <x:c r="Y6" s="14" t="str">
        <x:v>当前“基础配置”页面同时承载“主数据 / 计价底座”两类内容及其下属选项，信息层级较多，现有框架难以清晰承载该场景。</x:v>
      </x:c>
      <x:c r="Z6" s="14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AA6" s="14" t="str">
        <x:v>UI 产出专项设计稿与规范</x:v>
      </x:c>
      <x:c r="AB6" s="14" t="str">
        <x:v>review-67fb39add5</x:v>
      </x:c>
      <x:c r="AC6" s="14" t="str">
        <x:v>网站对照修订：写明当前导航与Review Tabs/新增位置差异，保留批准口径。</x:v>
      </x:c>
      <x:c r="AD6" s="10" t="str">
        <x:v>先用PRD分类驱动列表的业务语义，再对照批准专项稿验证承载；父子层级不由通用Tabs规范自行推断。</x:v>
      </x:c>
      <x:c r="AE6" s="10" t="str">
        <x:v>切换主数据／计价底座及子项，核对当前列表和新增所属分类。DEC01未决不强制改布局；样式与键盘交互关联UI33/34。
增加网站证据：记录group/resource、对象名称、主/子列表作用域及字段回显；写入/权限/持久化另取本批执行证据。</x:v>
      </x:c>
      <x:c r="AF6" s="10" t="str">
        <x:f>IF(D6="否","不适用",IF(D6&lt;&gt;"是","未纳入本批",IF(OR(LEN(TRIM('本批提测'!$B$10))=0,LEN(TRIM('本批提测'!$B$11))=0,'本批提测'!$B$12&lt;&gt;"已确认",F6&lt;&gt;"已确认",AND('本批提测'!$H$40&lt;&gt;"已确认",'本批提测'!$H$40&lt;&gt;"已记录后置"),'本批提测'!$H$57&lt;&gt;"已确认"),"待确认","已确认")))</x:f>
        <x:v>未纳入本批</x:v>
      </x:c>
      <x:c r="AG6" s="10" t="str">
        <x:v>颜色层级对应</x:v>
      </x:c>
      <x:c r="AH6" s="10" t="str">
        <x:v>写明当前导航与Review Tabs/新增位置差异，保留批准口径。
对应红色无法覆盖：对照批准专项设计稿/组件规范，逐结构、状态、交互验证；现有框架本身不能作为该专项的完整验收依据。</x:v>
      </x:c>
      <x:c r="AI6" s="10" t="str">
        <x:v>对照批准专项设计稿/组件规范，逐结构、状态、交互验证；现有框架本身不能作为该专项的完整验收依据。</x:v>
      </x:c>
      <x:c r="AJ6" s="10" t="str">
        <x:v>SM03、SM11</x:v>
      </x:c>
      <x:c r="AK6" s="10" t="str">
        <x:v>UI专项稿/组件规范及版本；产品确认业务边界；开发实现与测试截图/交互证据。</x:v>
      </x:c>
      <x:c r="AL6" s="10" t="str">
        <x:v>飞书直接映射：review-67fb39add5，rev637；红色。</x:v>
      </x:c>
    </x:row>
    <x:row r="7" ht="156" customHeight="1">
      <x:c r="A7" s="188" t="str">
        <x:v>UI02</x:v>
      </x:c>
      <x:c r="B7" s="188" t="str">
        <x:v>左侧菜单</x:v>
      </x:c>
      <x:c r="C7" s="188" t="str">
        <x:v>跨分类与手动展开</x:v>
      </x:c>
      <x:c r="D7" s="85" t="str">
        <x:v>待选择</x:v>
      </x:c>
      <x:c r="E7" s="85" t="str">
        <x:v>否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AF7&lt;&gt;"已确认","依据待确认",IF('本批提测'!$B$6&lt;&gt;"已就绪","批次未就绪",IF(OR(H7&lt;&gt;'本批提测'!$B$8,G7="",G7="未执行"),"未执行",IF(V7&lt;&gt;'本批提测'!$B$18,"基线已变，需复测",IF(LEN(TRIM(U7))=0,"交付未映射",IF(AND(OR(G7="通过",G7="失败"),LEN(TRIM(M7))=0),"缺少证据",IF(AND(OR(G7="通过",G7="失败"),LEN(TRIM(O7))=0),"缺少执行人",IF(OR(G7="通过",G7="失败",G7="受阻",G7="依据待确认"),G7,"结果待填写")))))))))))</x:f>
        <x:v>未纳入本批</x:v>
      </x:c>
      <x:c r="J7" s="10" t="str">
        <x:v>前置：确认DEC02专项稿；至少2个一级分类含子菜单。
1.跨一级分类选择子菜单。
2.手动连续展开多个一级分类再收起非当前分类。
3.核对当前子菜单及其父分类。</x:v>
      </x:c>
      <x:c r="K7" s="10" t="str">
        <x:v>1.恢复可展开／收起的多级菜单；跨分类选择子菜单时，收起此前展开的其他一级分类。
2.手动展开时允许多个分类同时展开，不强制只能展开一个。
3.当前子菜单持续高亮，其所属一级分类保持展开，路径清晰；当前父分类与手动收起的边界按专项稿。</x:v>
      </x:c>
      <x:c r="L7" s="10" t="str">
        <x:v>REVIEW review-4122ab1853；2026-10-12当前视图rev637；建议按本批批准基线采纳，来源状态不等于实测结果。
颜色层级按飞书框架适配字段对应；批准需求与本批实测结果分别记录。</x:v>
      </x:c>
      <x:c r="M7" s="86"/>
      <x:c r="N7" s="86"/>
      <x:c r="O7" s="86"/>
      <x:c r="P7" s="14" t="str">
        <x:v>P1</x:v>
      </x:c>
      <x:c r="Q7" s="14" t="str">
        <x:v>修改中</x:v>
      </x:c>
      <x:c r="R7" s="205" t="str">
        <x:v>无法覆盖</x:v>
      </x:c>
      <x:c r="S7" s="14" t="str">
        <x:v>UI</x:v>
      </x:c>
      <x:c r="T7" s="10" t="str">
        <x:v>UI核对</x:v>
      </x:c>
      <x:c r="U7" s="86"/>
      <x:c r="V7" s="86"/>
      <x:c r="W7" s="10" t="str">
        <x:v>未批准Review建议</x:v>
      </x:c>
      <x:c r="X7" s="14" t="str">
        <x:v>信息层级</x:v>
      </x:c>
      <x:c r="Y7" s="14" t="str">
        <x:v>原方案将二级分类调整为不可点击的分组标题，但实际呈现中分类层级区分不够明显，且不利于多层级菜单的导航管理。</x:v>
      </x:c>
      <x:c r="Z7" s="14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AA7" s="14" t="str">
        <x:v>UI 根据现有框架调整产出专项设计稿</x:v>
      </x:c>
      <x:c r="AB7" s="14" t="str">
        <x:v>review-4122ab1853</x:v>
      </x:c>
      <x:c r="AC7" s="14" t="str">
        <x:v>拆分跨分类选择与手动展开两种规则；新增当前子菜单高亮、父分类展开；不以框架默认手风琴替代。</x:v>
      </x:c>
      <x:c r="AD7" s="10" t="str">
        <x:v>把跨分类选择与手动展开拆成两种状态转换，防止统一手风琴逻辑掩盖Review差异。</x:v>
      </x:c>
      <x:c r="AE7" s="10" t="str">
        <x:v>至少两组父子菜单；分别操作选择和手动展开，记录高亮、父展开及其他折叠。专项稿与DEC02采纳先确认。</x:v>
      </x:c>
      <x:c r="AF7" s="10" t="str">
        <x:f>IF(D7="否","不适用",IF(D7&lt;&gt;"是","未纳入本批",IF(OR(LEN(TRIM('本批提测'!$B$10))=0,LEN(TRIM('本批提测'!$B$11))=0,'本批提测'!$B$12&lt;&gt;"已确认",F7&lt;&gt;"已确认",AND('本批提测'!$H$41&lt;&gt;"已确认",'本批提测'!$H$41&lt;&gt;"已记录后置"),AND('本批提测'!$H$40&lt;&gt;"已确认",'本批提测'!$H$40&lt;&gt;"已记录后置"),'本批提测'!$H$57&lt;&gt;"已确认"),"待确认","已确认")))</x:f>
        <x:v>未纳入本批</x:v>
      </x:c>
      <x:c r="AG7" s="10" t="str">
        <x:v>颜色层级对应</x:v>
      </x:c>
      <x:c r="AH7" s="10" t="str">
        <x:v>同步2026-10-12 Review记录；来源状态与本批采纳、实测结果独立。
对应红色无法覆盖：对照批准专项设计稿/组件规范，逐结构、状态、交互验证；现有框架本身不能作为该专项的完整验收依据。</x:v>
      </x:c>
      <x:c r="AI7" s="10" t="str">
        <x:v>对照批准专项设计稿/组件规范，逐结构、状态、交互验证；现有框架本身不能作为该专项的完整验收依据。</x:v>
      </x:c>
      <x:c r="AJ7" s="10" t="str">
        <x:v>SM03、SM04</x:v>
      </x:c>
      <x:c r="AK7" s="10" t="str">
        <x:v>UI专项稿/组件规范及版本；产品确认业务边界；开发实现与测试截图/交互证据。</x:v>
      </x:c>
      <x:c r="AL7" s="10" t="str">
        <x:v>飞书直接映射：review-4122ab1853，rev637；红色。</x:v>
      </x:c>
    </x:row>
    <x:row r="8" ht="112.5" customHeight="1">
      <x:c r="A8" s="191" t="str">
        <x:v>UI03</x:v>
      </x:c>
      <x:c r="B8" s="191" t="str">
        <x:v>服务单元</x:v>
      </x:c>
      <x:c r="C8" s="191" t="str">
        <x:v>下单规则选择反馈</x:v>
      </x:c>
      <x:c r="D8" s="85" t="str">
        <x:v>待选择</x:v>
      </x:c>
      <x:c r="E8" s="85" t="str">
        <x:v>否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AF8&lt;&gt;"已确认","依据待确认",IF('本批提测'!$B$6&lt;&gt;"已就绪","批次未就绪",IF(OR(H8&lt;&gt;'本批提测'!$B$8,G8="",G8="未执行"),"未执行",IF(V8&lt;&gt;'本批提测'!$B$18,"基线已变，需复测",IF(LEN(TRIM(U8))=0,"交付未映射",IF(AND(OR(G8="通过",G8="失败"),LEN(TRIM(M8))=0),"缺少证据",IF(AND(OR(G8="通过",G8="失败"),LEN(TRIM(O8))=0),"缺少执行人",IF(OR(G8="通过",G8="失败",G8="受阻",G8="依据待确认"),G8,"结果待填写")))))))))))</x:f>
        <x:v>未纳入本批</x:v>
      </x:c>
      <x:c r="J8" s="10" t="str">
        <x:v>前置：DEC22明确原正文数量提示与Review去冗余的取舍。
1.勾选／取消多个规则，观察Checkbox、搜索框下已选Tag和右下角数量。
2.搜索、翻页再返回原规则，核对跨页勾选及实际保存对象。</x:v>
      </x:c>
      <x:c r="K8" s="10" t="str"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L8" s="10" t="str">
        <x:v>REVIEW review-24220c26b9；2026-10-12当前视图rev637；建议按本批批准基线采纳，来源状态不等于实测结果。
颜色层级按飞书框架适配字段对应；批准需求与本批实测结果分别记录。</x:v>
      </x:c>
      <x:c r="M8" s="86"/>
      <x:c r="N8" s="86"/>
      <x:c r="O8" s="86"/>
      <x:c r="P8" s="14" t="str">
        <x:v>P0</x:v>
      </x:c>
      <x:c r="Q8" s="14" t="str">
        <x:v>待确认</x:v>
      </x:c>
      <x:c r="R8" s="207" t="str">
        <x:v>组合复用</x:v>
      </x:c>
      <x:c r="S8" s="14" t="str">
        <x:v>UI、开发</x:v>
      </x:c>
      <x:c r="T8" s="10" t="str">
        <x:v>UI核对</x:v>
      </x:c>
      <x:c r="U8" s="86"/>
      <x:c r="V8" s="86"/>
      <x:c r="W8" s="10" t="str">
        <x:v>未批准Review建议</x:v>
      </x:c>
      <x:c r="X8" s="14" t="str">
        <x:v>视觉规范、交互逻辑</x:v>
      </x:c>
      <x:c r="Y8" s="14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Z8" s="14" t="str">
        <x:v>建议仅保留列表 Checkbox 作为选中状态反馈，删除顶部已选 Tag 及底部数量汇总，降低信息干扰。</x:v>
      </x:c>
      <x:c r="AA8" s="14" t="str">
        <x:v>UI 补充布局设计，开发组合实现，</x:v>
      </x:c>
      <x:c r="AB8" s="14" t="str">
        <x:v>review-24220c26b9</x:v>
      </x:c>
      <x:c r="AC8" s="14" t="str">
        <x:v>同步当前处理角色UI、开发；保留DEC22数量反馈冲突及跨页保存保护。</x:v>
      </x:c>
      <x:c r="AD8" s="10" t="str">
        <x:v>视觉去冗余不能影响规则跨页选择与保存；以选中呈现和实际对象对照，检查PRD与Review冲突。</x:v>
      </x:c>
      <x:c r="AE8" s="10" t="str">
        <x:v>勾选→搜索／翻页→返回→取消，核对实际规则ID；Tag和数量显示先DEC22定取舍，不同时要求保留与删除。</x:v>
      </x:c>
      <x:c r="AF8" s="10" t="str">
        <x:f>IF(D8="否","不适用",IF(D8&lt;&gt;"是","未纳入本批",IF(OR(LEN(TRIM('本批提测'!$B$10))=0,LEN(TRIM('本批提测'!$B$11))=0,'本批提测'!$B$12&lt;&gt;"已确认",F8&lt;&gt;"已确认",'本批提测'!$H$61&lt;&gt;"已确认",AND('本批提测'!$H$40&lt;&gt;"已确认",'本批提测'!$H$40&lt;&gt;"已记录后置"),'本批提测'!$H$57&lt;&gt;"已确认"),"待确认","已确认")))</x:f>
        <x:v>未纳入本批</x:v>
      </x:c>
      <x:c r="AG8" s="10" t="str">
        <x:v>颜色层级对应</x:v>
      </x:c>
      <x:c r="AH8" s="10" t="str">
        <x:v>同步2026-10-12 Review记录；来源状态与本批采纳、实测结果独立。
对应蓝色组合复用：核现有标准组件组合后的布局、状态联动与完整流程，重点检查选中反馈、返回、跨页/未保存数据保护。</x:v>
      </x:c>
      <x:c r="AI8" s="10" t="str">
        <x:v>核现有标准组件组合后的布局、状态联动与完整流程，重点检查选中反馈、返回、跨页/未保存数据保护。</x:v>
      </x:c>
      <x:c r="AJ8" s="10" t="str">
        <x:v>SM28、SM63</x:v>
      </x:c>
      <x:c r="AK8" s="10" t="str">
        <x:v>批准组合布局与适用组件；业务冲突DEC22或页面承载DEC23已确定；组合交互证据。</x:v>
      </x:c>
      <x:c r="AL8" s="10" t="str">
        <x:v>飞书直接映射：review-24220c26b9，rev637；蓝色。</x:v>
      </x:c>
    </x:row>
    <x:row r="9" ht="112.5" customHeight="1">
      <x:c r="A9" s="190" t="str">
        <x:v>UI04</x:v>
      </x:c>
      <x:c r="B9" s="190" t="str">
        <x:v>服务单元</x:v>
      </x:c>
      <x:c r="C9" s="190" t="str">
        <x:v>禁用编排风险提示</x:v>
      </x:c>
      <x:c r="D9" s="85" t="str">
        <x:v>待选择</x:v>
      </x:c>
      <x:c r="E9" s="85" t="str">
        <x:v>否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AF9&lt;&gt;"已确认","依据待确认",IF('本批提测'!$B$6&lt;&gt;"已就绪","批次未就绪",IF(OR(H9&lt;&gt;'本批提测'!$B$8,G9="",G9="未执行"),"未执行",IF(V9&lt;&gt;'本批提测'!$B$18,"基线已变，需复测",IF(LEN(TRIM(U9))=0,"交付未映射",IF(AND(OR(G9="通过",G9="失败"),LEN(TRIM(M9))=0),"缺少证据",IF(AND(OR(G9="通过",G9="失败"),LEN(TRIM(O9))=0),"缺少执行人",IF(OR(G9="通过",G9="失败",G9="受阻",G9="依据待确认"),G9,"结果待填写")))))))))))</x:f>
        <x:v>未纳入本批</x:v>
      </x:c>
      <x:c r="J9" s="10" t="str">
        <x:v>1.在服务单元列表触发禁用编排确认。
2.核对图标类型及语义色与本批风险组件。
3.取消确认并检查页面；实际禁用的状态结果复用SM22证据。</x:v>
      </x:c>
      <x:c r="K9" s="10" t="str"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L9" s="10" t="str">
        <x:v>REVIEW review-c79c73690c；2026-10-12当前视图rev637；建议按本批批准基线采纳，来源状态不等于实测结果。
颜色层级按飞书框架适配字段对应；批准需求与本批实测结果分别记录。</x:v>
      </x:c>
      <x:c r="M9" s="86"/>
      <x:c r="N9" s="86"/>
      <x:c r="O9" s="86"/>
      <x:c r="P9" s="14" t="str">
        <x:v>P1</x:v>
      </x:c>
      <x:c r="Q9" s="14" t="str">
        <x:v>待确认</x:v>
      </x:c>
      <x:c r="R9" s="208" t="str">
        <x:v>调整后复用</x:v>
      </x:c>
      <x:c r="S9" s="14" t="str">
        <x:v>UI、产品</x:v>
      </x:c>
      <x:c r="T9" s="10" t="str">
        <x:v>UI核对</x:v>
      </x:c>
      <x:c r="U9" s="86"/>
      <x:c r="V9" s="86"/>
      <x:c r="W9" s="10" t="str">
        <x:v>未批准Review建议</x:v>
      </x:c>
      <x:c r="X9" s="14" t="str">
        <x:v>组件使用、视觉规范</x:v>
      </x:c>
      <x:c r="Y9" s="14" t="str">
        <x:v>当前确认弹窗使用普通信息提示图标，与“禁用编排”的风险语义不一致</x:v>
      </x:c>
      <x:c r="Z9" s="14" t="str">
        <x:v>建议改用 Warning 警告图标</x:v>
      </x:c>
      <x:c r="AA9" s="14" t="str">
        <x:v>替换图标与语义色</x:v>
      </x:c>
      <x:c r="AB9" s="14" t="str">
        <x:v>review-c79c73690c</x:v>
      </x:c>
      <x:c r="AC9" s="14" t="str">
        <x:v>补齐后续处理要求的语义色，图标与业务结果分别核对；不凭“警告”猜固定颜色。</x:v>
      </x:c>
      <x:c r="AD9" s="10" t="str">
        <x:v>禁用编排风险语义决定确认组件，图标／语义色与业务结果分开检查，避免把换图标当功能通过。</x:v>
      </x:c>
      <x:c r="AE9" s="10" t="str">
        <x:v>对照批准Warning组件和文案，再取消确认；禁用后的状态复用SM22。Review未定义色值，不自填固定警告色。</x:v>
      </x:c>
      <x:c r="AF9" s="10" t="str">
        <x:f>IF(D9="否","不适用",IF(D9&lt;&gt;"是","未纳入本批",IF(OR(LEN(TRIM('本批提测'!$B$10))=0,LEN(TRIM('本批提测'!$B$11))=0,'本批提测'!$B$12&lt;&gt;"已确认",F9&lt;&gt;"已确认",'本批提测'!$H$57&lt;&gt;"已确认"),"待确认","已确认")))</x:f>
        <x:v>未纳入本批</x:v>
      </x:c>
      <x:c r="AG9" s="10" t="str">
        <x:v>颜色层级对应</x:v>
      </x:c>
      <x:c r="AH9" s="10" t="str">
        <x:v>同步2026-10-12 Review记录；来源状态与本批采纳、实测结果独立。
对应黄色调整后复用：核局部调整/扩展项及受影响状态，同时回归原组件正常、取消及风险提示交互。</x:v>
      </x:c>
      <x:c r="AI9" s="10" t="str">
        <x:v>核局部调整/扩展项及受影响状态，同时回归原组件正常、取消及风险提示交互。</x:v>
      </x:c>
      <x:c r="AJ9" s="10" t="str">
        <x:v>SM22</x:v>
      </x:c>
      <x:c r="AK9" s="10" t="str">
        <x:v>批准局部改动及风险语义；必要UI建议；对应业务影响与取消/确认结果。</x:v>
      </x:c>
      <x:c r="AL9" s="10" t="str">
        <x:v>飞书直接映射：review-c79c73690c，rev637；黄色。</x:v>
      </x:c>
    </x:row>
    <x:row r="10" ht="112.5" customHeight="1">
      <x:c r="A10" s="222" t="str">
        <x:v>UI05</x:v>
      </x:c>
      <x:c r="B10" s="222" t="str">
        <x:v>全局</x:v>
      </x:c>
      <x:c r="C10" s="222" t="str">
        <x:v>原型说明文案清理</x:v>
      </x:c>
      <x:c r="D10" s="85" t="str">
        <x:v>待选择</x:v>
      </x:c>
      <x:c r="E10" s="85" t="str">
        <x:v>否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AF10&lt;&gt;"已确认","依据待确认",IF('本批提测'!$B$6&lt;&gt;"已就绪","批次未就绪",IF(OR(H10&lt;&gt;'本批提测'!$B$8,G10="",G10="未执行"),"未执行",IF(V10&lt;&gt;'本批提测'!$B$18,"基线已变，需复测",IF(LEN(TRIM(U10))=0,"交付未映射",IF(AND(OR(G10="通过",G10="失败"),LEN(TRIM(M10))=0),"缺少证据",IF(AND(OR(G10="通过",G10="失败"),LEN(TRIM(O10))=0),"缺少执行人",IF(OR(G10="通过",G10="失败",G10="受阻",G10="依据待确认"),G10,"结果待填写")))))))))))</x:f>
        <x:v>未纳入本批</x:v>
      </x:c>
      <x:c r="J10" s="10" t="str">
        <x:v>前置：产品提供已批准的保留／删除文案清单。
1.逐页核对辅助说明、功能解释、过程性和重复文字。
2.复查操作说明、业务规则、必填错误、风险及必要提示是否仍可读。</x:v>
      </x:c>
      <x:c r="K10" s="10" t="str"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L10" s="10" t="str">
        <x:v>REVIEW review-5cb0b5dcb6；2026-10-12当前视图rev637；建议按本批批准基线采纳，来源状态不等于实测结果。
颜色层级按飞书框架适配字段对应；批准需求与本批实测结果分别记录。</x:v>
      </x:c>
      <x:c r="M10" s="86"/>
      <x:c r="N10" s="86"/>
      <x:c r="O10" s="86"/>
      <x:c r="P10" s="14" t="str">
        <x:v>P0</x:v>
      </x:c>
      <x:c r="Q10" s="14" t="str">
        <x:v>待确认</x:v>
      </x:c>
      <x:c r="R10" s="206" t="str">
        <x:v>业务交互、信息待明确</x:v>
      </x:c>
      <x:c r="S10" s="14" t="str">
        <x:v>产品</x:v>
      </x:c>
      <x:c r="T10" s="10" t="str">
        <x:v>UI核对</x:v>
      </x:c>
      <x:c r="U10" s="86"/>
      <x:c r="V10" s="86"/>
      <x:c r="W10" s="10" t="str">
        <x:v>未批准Review建议</x:v>
      </x:c>
      <x:c r="X10" s="14" t="str">
        <x:v>信息层级</x:v>
      </x:c>
      <x:c r="Y10" s="14" t="str">
        <x:v>AI 原型中存在较多辅助说明、功能解释及过程性文案，部分内容更偏向原型说明，并非最终页面必须展示的信息，容易增加页面阅读负担，干扰核心操作。</x:v>
      </x:c>
      <x:c r="Z10" s="14" t="str">
        <x:v>建议产品统一审查页面文案，仅保留与用户操作、业务规则及必要提示相关的内容，其余原型说明性或重复性文字删除。</x:v>
      </x:c>
      <x:c r="AA10" s="14" t="str">
        <x:v>产品审核原型多余说明文字并删除</x:v>
      </x:c>
      <x:c r="AB10" s="14" t="str">
        <x:v>review-5cb0b5dcb6</x:v>
      </x:c>
      <x:c r="AC10" s="14" t="str">
        <x:v>以产品文案清单验收；补留存业务必要提示的保护，保留原始信息待明确状态。</x:v>
      </x:c>
      <x:c r="AD10" s="10" t="str">
        <x:v>以用户操作所需信息筛文案，而非统一删说明；保留关键规则、错误和风险提示作保护检查。</x:v>
      </x:c>
      <x:c r="AE10" s="10" t="str">
        <x:v>按产品批准保留／删除清单逐条对照，结合真实错误状态复查可读性。内容未定时标依据待确认，不凭主观简洁判缺陷。</x:v>
      </x:c>
      <x:c r="AF10" s="10" t="str">
        <x:f>IF(D10="否","不适用",IF(D10&lt;&gt;"是","未纳入本批",IF(OR(LEN(TRIM('本批提测'!$B$10))=0,LEN(TRIM('本批提测'!$B$11))=0,'本批提测'!$B$12&lt;&gt;"已确认",F10&lt;&gt;"已确认",'本批提测'!$H$57&lt;&gt;"已确认"),"待确认","已确认")))</x:f>
        <x:v>未纳入本批</x:v>
      </x:c>
      <x:c r="AG10" s="10" t="str">
        <x:v>颜色层级对应</x:v>
      </x:c>
      <x:c r="AH10" s="10" t="str">
        <x:v>同步2026-10-12 Review记录；来源状态与本批采纳、实测结果独立。
对应白灰色业务交互、信息待明确：先取得产品批准的业务流程、状态或文案清单，再按明确规则验证；未明确的分支保持依据待确认。</x:v>
      </x:c>
      <x:c r="AI10" s="10" t="str">
        <x:v>先取得产品批准的业务流程、状态或文案清单，再按明确规则验证；未明确的分支保持依据待确认。</x:v>
      </x:c>
      <x:c r="AJ10" s="10" t="str">
        <x:v>SM05</x:v>
      </x:c>
      <x:c r="AK10" s="10" t="str">
        <x:v>产品确认的保留/删除文案、业务规则或状态说明；明确后重新评估框架适配。</x:v>
      </x:c>
      <x:c r="AL10" s="10" t="str">
        <x:v>飞书直接映射：review-5cb0b5dcb6，rev637；白灰色。</x:v>
      </x:c>
    </x:row>
    <x:row r="11" ht="112.5" customHeight="1">
      <x:c r="A11" s="189" t="str">
        <x:v>UI06</x:v>
      </x:c>
      <x:c r="B11" s="189" t="str">
        <x:v>左侧菜单</x:v>
      </x:c>
      <x:c r="C11" s="189" t="str">
        <x:v>菜单视觉与图标</x:v>
      </x:c>
      <x:c r="D11" s="85" t="str">
        <x:v>待选择</x:v>
      </x:c>
      <x:c r="E11" s="85" t="str">
        <x:v>否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AF11&lt;&gt;"已确认","依据待确认",IF('本批提测'!$B$6&lt;&gt;"已就绪","批次未就绪",IF(OR(H11&lt;&gt;'本批提测'!$B$8,G11="",G11="未执行"),"未执行",IF(V11&lt;&gt;'本批提测'!$B$18,"基线已变，需复测",IF(LEN(TRIM(U11))=0,"交付未映射",IF(AND(OR(G11="通过",G11="失败"),LEN(TRIM(M11))=0),"缺少证据",IF(AND(OR(G11="通过",G11="失败"),LEN(TRIM(O11))=0),"缺少执行人",IF(OR(G11="通过",G11="失败",G11="受阻",G11="依据待确认"),G11,"结果待填写")))))))))))</x:f>
        <x:v>未纳入本批</x:v>
      </x:c>
      <x:c r="J11" s="10" t="str">
        <x:v>1.对照本批通用框架检查一级菜单及各级子菜单。
2.逐项核对缩进、字号、字重、选中态尺寸、展开箭头和菜单间距。
3.检查一级菜单左侧图标及选中／展开状态。</x:v>
      </x:c>
      <x:c r="K11" s="10" t="str"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L11" s="10" t="str">
        <x:v>REVIEW review-e3abcc238c；2026-10-12当前视图rev637；建议按本批批准基线采纳，来源状态不等于实测结果。
颜色层级按飞书框架适配字段对应；批准需求与本批实测结果分别记录。</x:v>
      </x:c>
      <x:c r="M11" s="86"/>
      <x:c r="N11" s="86"/>
      <x:c r="O11" s="86"/>
      <x:c r="P11" s="14" t="str">
        <x:v>P2</x:v>
      </x:c>
      <x:c r="Q11" s="14" t="str">
        <x:v>待确认</x:v>
      </x:c>
      <x:c r="R11" s="209" t="str">
        <x:v>直接复用</x:v>
      </x:c>
      <x:c r="S11" s="14" t="str">
        <x:v>开发</x:v>
      </x:c>
      <x:c r="T11" s="10" t="str">
        <x:v>UI核对</x:v>
      </x:c>
      <x:c r="U11" s="86"/>
      <x:c r="V11" s="86"/>
      <x:c r="W11" s="10" t="str">
        <x:v>未批准Review建议</x:v>
      </x:c>
      <x:c r="X11" s="14" t="str">
        <x:v>视觉规范</x:v>
      </x:c>
      <x:c r="Y11" s="14" t="str">
        <x:v>缩进、字号字重、选中态尺寸、展开箭头及菜单间距等方面与现有前端通用框架存在较大差异。且一级菜单缺少左侧图标</x:v>
      </x:c>
      <x:c r="Z11" s="14" t="str">
        <x:v>复用现有框架</x:v>
      </x:c>
      <x:c r="AA11" s="14" t="str">
        <x:v>开发对齐现有框架、规范开发</x:v>
      </x:c>
      <x:c r="AB11" s="14" t="str">
        <x:v>review-e3abcc238c</x:v>
      </x:c>
      <x:c r="AC11" s="14" t="str">
        <x:v>补齐原问题明确指出的选中态尺寸、字号与一级菜单左侧图标。</x:v>
      </x:c>
      <x:c r="AD11" s="10" t="str">
        <x:v>用共同框架作菜单样式参照，覆盖默认、选中、父子层级，比较图标和文字关系。</x:v>
      </x:c>
      <x:c r="AE11" s="10" t="str">
        <x:v>在相同视口／缩放下对照缩进、字体字重、间距、箭头及一级图标；仅使用批准尺寸，不从截图估算新增规范值。</x:v>
      </x:c>
      <x:c r="AF11" s="10" t="str">
        <x:f>IF(D11="否","不适用",IF(D11&lt;&gt;"是","未纳入本批",IF(OR(LEN(TRIM('本批提测'!$B$10))=0,LEN(TRIM('本批提测'!$B$11))=0,'本批提测'!$B$12&lt;&gt;"已确认",F11&lt;&gt;"已确认",'本批提测'!$H$57&lt;&gt;"已确认"),"待确认","已确认")))</x:f>
        <x:v>未纳入本批</x:v>
      </x:c>
      <x:c r="AG11" s="10" t="str">
        <x:v>颜色层级对应</x:v>
      </x:c>
      <x:c r="AH11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1" s="10" t="str">
        <x:v>对照批准通用框架组件、Token与交互核一致性，保留实际字段/数据/权限差异；复用标签不代表实现已通过。</x:v>
      </x:c>
      <x:c r="AJ11" s="10" t="str">
        <x:v>SM03</x:v>
      </x:c>
      <x:c r="AK11" s="10" t="str">
        <x:v>框架/规范版本、业务配置及批准例外；无需另行UI出稿的通用项仍须开发与测试证据。</x:v>
      </x:c>
      <x:c r="AL11" s="10" t="str">
        <x:v>飞书直接映射：review-e3abcc238c，rev637；绿色。</x:v>
      </x:c>
    </x:row>
    <x:row r="12" ht="112.5" customHeight="1">
      <x:c r="A12" s="189" t="str">
        <x:v>UI07</x:v>
      </x:c>
      <x:c r="B12" s="189" t="str">
        <x:v>顶部导航</x:v>
      </x:c>
      <x:c r="C12" s="189" t="str">
        <x:v>导航结构与无功能入口</x:v>
      </x:c>
      <x:c r="D12" s="85" t="str">
        <x:v>待选择</x:v>
      </x:c>
      <x:c r="E12" s="85" t="str">
        <x:v>否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AF12&lt;&gt;"已确认","依据待确认",IF('本批提测'!$B$6&lt;&gt;"已就绪","批次未就绪",IF(OR(H12&lt;&gt;'本批提测'!$B$8,G12="",G12="未执行"),"未执行",IF(V12&lt;&gt;'本批提测'!$B$18,"基线已变，需复测",IF(LEN(TRIM(U12))=0,"交付未映射",IF(AND(OR(G12="通过",G12="失败"),LEN(TRIM(M12))=0),"缺少证据",IF(AND(OR(G12="通过",G12="失败"),LEN(TRIM(O12))=0),"缺少执行人",IF(OR(G12="通过",G12="失败",G12="受阻",G12="依据待确认"),G12,"结果待填写")))))))))))</x:f>
        <x:v>未纳入本批</x:v>
      </x:c>
      <x:c r="J12" s="10" t="str">
        <x:v>1.对照框架检查顶部导航与页面内容页头。
2.核对多余页面标题是否按本批方案移除。
3.检查搜索、消息等入口的实际功能及本批隐藏清单。</x:v>
      </x:c>
      <x:c r="K12" s="10" t="str">
        <x:v>顶部导航复用通用框架；多余标题按采用方案处理。搜索、消息等尚无功能的板块可按批准方案暂时隐藏；有已交付功能的入口应保留可用，不能据该建议一律隐藏。</x:v>
      </x:c>
      <x:c r="L12" s="10" t="str">
        <x:v>REVIEW review-a2a817eb2a；2026-10-12当前视图rev637；建议按本批批准基线采纳，来源状态不等于实测结果。
颜色层级按飞书框架适配字段对应；批准需求与本批实测结果分别记录。</x:v>
      </x:c>
      <x:c r="M12" s="86"/>
      <x:c r="N12" s="86"/>
      <x:c r="O12" s="86"/>
      <x:c r="P12" s="14" t="str">
        <x:v>P2</x:v>
      </x:c>
      <x:c r="Q12" s="14" t="str">
        <x:v>待确认</x:v>
      </x:c>
      <x:c r="R12" s="209" t="str">
        <x:v>直接复用</x:v>
      </x:c>
      <x:c r="S12" s="14" t="str">
        <x:v>开发</x:v>
      </x:c>
      <x:c r="T12" s="10" t="str">
        <x:v>UI核对</x:v>
      </x:c>
      <x:c r="U12" s="86"/>
      <x:c r="V12" s="86"/>
      <x:c r="W12" s="10" t="str">
        <x:v>未批准Review建议</x:v>
      </x:c>
      <x:c r="X12" s="14" t="str">
        <x:v>视觉规范</x:v>
      </x:c>
      <x:c r="Y12" s="14" t="str">
        <x:v>与规范、框架不一致，有多余的页面标题，无功能的板块可先暂时隐藏，如搜索、消息等</x:v>
      </x:c>
      <x:c r="Z12" s="14" t="str">
        <x:v>复用现有框架</x:v>
      </x:c>
      <x:c r="AA12" s="14" t="str">
        <x:v>开发对齐现有框架、规范开发</x:v>
      </x:c>
      <x:c r="AB12" s="14" t="str">
        <x:v>review-a2a817eb2a</x:v>
      </x:c>
      <x:c r="AC12" s="14" t="str">
        <x:v>保留“可先暂时隐藏”的限定，避免一刀切隐藏有功能的搜索/消息入口。</x:v>
      </x:c>
      <x:c r="AD12" s="10" t="str">
        <x:v>顶部框架检查结构一致和入口可用性；无功能入口的暂时隐藏与永久删除分别处理。</x:v>
      </x:c>
      <x:c r="AE12" s="10" t="str">
        <x:v>核对标题、导航及本批有／无功能入口，实际点击已交付入口；搜索／消息可暂隐藏须本批采纳，不假定全部必须隐藏。</x:v>
      </x:c>
      <x:c r="AF12" s="10" t="str">
        <x:f>IF(D12="否","不适用",IF(D12&lt;&gt;"是","未纳入本批",IF(OR(LEN(TRIM('本批提测'!$B$10))=0,LEN(TRIM('本批提测'!$B$11))=0,'本批提测'!$B$12&lt;&gt;"已确认",F12&lt;&gt;"已确认",'本批提测'!$H$57&lt;&gt;"已确认"),"待确认","已确认")))</x:f>
        <x:v>未纳入本批</x:v>
      </x:c>
      <x:c r="AG12" s="10" t="str">
        <x:v>颜色层级对应</x:v>
      </x:c>
      <x:c r="AH12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2" s="10" t="str">
        <x:v>对照批准通用框架组件、Token与交互核一致性，保留实际字段/数据/权限差异；复用标签不代表实现已通过。</x:v>
      </x:c>
      <x:c r="AJ12" s="10" t="str">
        <x:v>SM03</x:v>
      </x:c>
      <x:c r="AK12" s="10" t="str">
        <x:v>框架/规范版本、业务配置及批准例外；无需另行UI出稿的通用项仍须开发与测试证据。</x:v>
      </x:c>
      <x:c r="AL12" s="10" t="str">
        <x:v>飞书直接映射：review-a2a817eb2a，rev637；绿色。</x:v>
      </x:c>
    </x:row>
    <x:row r="13" ht="112.5" customHeight="1">
      <x:c r="A13" s="189" t="str">
        <x:v>UI08</x:v>
      </x:c>
      <x:c r="B13" s="189" t="str">
        <x:v>所有页头栏</x:v>
      </x:c>
      <x:c r="C13" s="189" t="str">
        <x:v>面包屑与操作对齐</x:v>
      </x:c>
      <x:c r="D13" s="85" t="str">
        <x:v>待选择</x:v>
      </x:c>
      <x:c r="E13" s="85" t="str">
        <x:v>否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AF13&lt;&gt;"已确认","依据待确认",IF('本批提测'!$B$6&lt;&gt;"已就绪","批次未就绪",IF(OR(H13&lt;&gt;'本批提测'!$B$8,G13="",G13="未执行"),"未执行",IF(V13&lt;&gt;'本批提测'!$B$18,"基线已变，需复测",IF(LEN(TRIM(U13))=0,"交付未映射",IF(AND(OR(G13="通过",G13="失败"),LEN(TRIM(M13))=0),"缺少证据",IF(AND(OR(G13="通过",G13="失败"),LEN(TRIM(O13))=0),"缺少执行人",IF(OR(G13="通过",G13="失败",G13="受阻",G13="依据待确认"),G13,"结果待填写")))))))))))</x:f>
        <x:v>未纳入本批</x:v>
      </x:c>
      <x:c r="J13" s="10" t="str">
        <x:v>1.检查面包屑落位与页面标题、按钮对齐。
2.对照产品文案稿核对副标题是否必要；保留时核对带副标题页头规范。
3.核对说明中的「」是否按已采纳文案建议调整。</x:v>
      </x:c>
      <x:c r="K13" s="10" t="str"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L13" s="10" t="str">
        <x:v>REVIEW review-716a17fbb6；2026-10-12当前视图rev637；建议按本批批准基线采纳，来源状态不等于实测结果。
颜色层级按飞书框架适配字段对应；批准需求与本批实测结果分别记录。</x:v>
      </x:c>
      <x:c r="M13" s="86"/>
      <x:c r="N13" s="86"/>
      <x:c r="O13" s="86"/>
      <x:c r="P13" s="14" t="str">
        <x:v>P1</x:v>
      </x:c>
      <x:c r="Q13" s="14" t="str">
        <x:v>待确认</x:v>
      </x:c>
      <x:c r="R13" s="209" t="str">
        <x:v>直接复用</x:v>
      </x:c>
      <x:c r="S13" s="14" t="str">
        <x:v>产品、开发</x:v>
      </x:c>
      <x:c r="T13" s="10" t="str">
        <x:v>UI核对</x:v>
      </x:c>
      <x:c r="U13" s="86"/>
      <x:c r="V13" s="86"/>
      <x:c r="W13" s="10" t="str">
        <x:v>未批准Review建议</x:v>
      </x:c>
      <x:c r="X13" s="14" t="str">
        <x:v>信息层级、视觉规范</x:v>
      </x:c>
      <x:c r="Y13" s="14" t="str">
        <x:v>当前将面包屑导航放置于顶部导航，与现有通用框架页面结构不一致，同时与页面标题存在重复表达。
操作按钮对齐方式与框架不一致</x:v>
      </x:c>
      <x:c r="Z13" s="14" t="str">
        <x:v>1、复用现有框架，
2、着重考虑副标题的存在必要性，如无完全必要可考虑删除，带副标题的页头可见规范规定
3、说明文字最好不要出现「」</x:v>
      </x:c>
      <x:c r="AA13" s="14" t="str">
        <x:v>开发对齐现有框架、规范开发</x:v>
      </x:c>
      <x:c r="AB13" s="14" t="str">
        <x:v>review-716a17fbb6</x:v>
      </x:c>
      <x:c r="AC13" s="14" t="str">
        <x:v>补面包屑原始落位问题、按钮对齐、保留副标题的条件及「」建议性质。</x:v>
      </x:c>
      <x:c r="AD13" s="10" t="str">
        <x:v>页头用路径、标题、操作的语义关系检查，辅助视觉对齐；文案建议不变成无条件禁用。</x:v>
      </x:c>
      <x:c r="AE13" s="10" t="str">
        <x:v>从不同路径进入，核对面包屑和按钮基线；副标题是否保留按产品方案。“最好不用引号”等原建议不升级为硬规则。</x:v>
      </x:c>
      <x:c r="AF13" s="10" t="str">
        <x:f>IF(D13="否","不适用",IF(D13&lt;&gt;"是","未纳入本批",IF(OR(LEN(TRIM('本批提测'!$B$10))=0,LEN(TRIM('本批提测'!$B$11))=0,'本批提测'!$B$12&lt;&gt;"已确认",F13&lt;&gt;"已确认",'本批提测'!$H$57&lt;&gt;"已确认"),"待确认","已确认")))</x:f>
        <x:v>未纳入本批</x:v>
      </x:c>
      <x:c r="AG13" s="10" t="str">
        <x:v>颜色层级对应</x:v>
      </x:c>
      <x:c r="AH13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3" s="10" t="str">
        <x:v>对照批准通用框架组件、Token与交互核一致性，保留实际字段/数据/权限差异；复用标签不代表实现已通过。</x:v>
      </x:c>
      <x:c r="AJ13" s="10" t="str">
        <x:v>SM03、SM11、SM21</x:v>
      </x:c>
      <x:c r="AK13" s="10" t="str">
        <x:v>框架/规范版本、业务配置及批准例外；无需另行UI出稿的通用项仍须开发与测试证据。</x:v>
      </x:c>
      <x:c r="AL13" s="10" t="str">
        <x:v>飞书直接映射：review-716a17fbb6，rev637；绿色。</x:v>
      </x:c>
    </x:row>
    <x:row r="14" ht="142.5" customHeight="1">
      <x:c r="A14" s="189" t="str">
        <x:v>UI09</x:v>
      </x:c>
      <x:c r="B14" s="189" t="str">
        <x:v>所有查询区</x:v>
      </x:c>
      <x:c r="C14" s="189" t="str">
        <x:v>筛选布局与刷新反馈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AF14&lt;&gt;"已确认","依据待确认",IF('本批提测'!$B$6&lt;&gt;"已就绪","批次未就绪",IF(OR(H14&lt;&gt;'本批提测'!$B$8,G14="",G14="未执行"),"未执行",IF(V14&lt;&gt;'本批提测'!$B$18,"基线已变，需复测",IF(LEN(TRIM(U14))=0,"交付未映射",IF(AND(OR(G14="通过",G14="失败"),LEN(TRIM(M14))=0),"缺少证据",IF(AND(OR(G14="通过",G14="失败"),LEN(TRIM(O14))=0),"缺少执行人",IF(OR(G14="通过",G14="失败",G14="受阻",G14="依据待确认"),G14,"结果待填写")))))))))))</x:f>
        <x:v>未纳入本批</x:v>
      </x:c>
      <x:c r="J14" s="10" t="str">
        <x:v>按当前对象核关键词/状态控件，邮编另国家，汇率另源/目标/生效日；量测尺寸、间距、顺序与查询/重置/刷新反馈。详情国家关系和Zone成员独立核筛选及按钮作用域。地点/Zone即时查询与按钮语义按DEC09。
原需求验收分支（按映射后入口执行）：
1.按实际交付字段检查尺寸、栅格间距、顺序、按钮和下拉样式。
2.3字段场景核对依次排列、右侧查询/重置和剩余空白。
3.查询、重置后观察刷新；地点/Zone另检查即时查询。</x:v>
      </x:c>
      <x:c r="K14" s="10" t="str">
        <x:v>保留原布局与即时查询规则；当前字段数各对象不同，不强制3字段模板。额外筛选和主子列表操作不串对象，控件样式及响应按批准框架；本轮只观察控件，未验证实际触发和反馈。
原需求预期（仍须保留）：
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L14" s="10" t="str">
        <x:v>REVIEW review-96579d37d7；2026-10-12当前视图rev637；建议按本批批准基线采纳，来源状态不等于实测结果。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14" s="86"/>
      <x:c r="N14" s="86"/>
      <x:c r="O14" s="86"/>
      <x:c r="P14" s="14" t="str">
        <x:v>P2</x:v>
      </x:c>
      <x:c r="Q14" s="14" t="str">
        <x:v>待确认</x:v>
      </x:c>
      <x:c r="R14" s="209" t="str">
        <x:v>直接复用</x:v>
      </x:c>
      <x:c r="S14" s="14" t="str">
        <x:v>开发</x:v>
      </x:c>
      <x:c r="T14" s="10" t="str">
        <x:v>UI核对</x:v>
      </x:c>
      <x:c r="U14" s="86"/>
      <x:c r="V14" s="86"/>
      <x:c r="W14" s="10" t="str">
        <x:v>未批准Review建议</x:v>
      </x:c>
      <x:c r="X14" s="14" t="str">
        <x:v>视觉规范</x:v>
      </x:c>
      <x:c r="Y14" s="14" t="str">
        <x:v>当前筛选区控件尺寸、排列、操作按钮样式、下拉样式与通用框架存在差异。</x:v>
      </x:c>
      <x:c r="Z14" s="14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AA14" s="14" t="str">
        <x:v>开发对齐现有框架、规范开发</x:v>
      </x:c>
      <x:c r="AB14" s="14" t="str">
        <x:v>review-96579d37d7</x:v>
      </x:c>
      <x:c r="AC14" s="14" t="str">
        <x:v>网站对照修订：增加对象特有筛选与详情子列表范围，不把按钮存在当功能已验证。</x:v>
      </x:c>
      <x:c r="AD14" s="10" t="str">
        <x:v>业务字段决定数量，框架决定控件与间距；用查询→重置交互同时核对刷新反馈。</x:v>
      </x:c>
      <x:c r="AE14" s="10" t="str">
        <x:v>三字段按顺序排且不强拉伸；真实业务更多字段依批准方案。地点即时搜索保留正文要求，按钮语义DEC09；截图之外验证结果。
增加网站证据：记录group/resource、对象名称、主/子列表作用域及字段回显；写入/权限/持久化另取本批执行证据。</x:v>
      </x:c>
      <x:c r="AF14" s="10" t="str">
        <x:f>IF(D14="否","不适用",IF(D14&lt;&gt;"是","未纳入本批",IF(OR(LEN(TRIM('本批提测'!$B$10))=0,LEN(TRIM('本批提测'!$B$11))=0,'本批提测'!$B$12&lt;&gt;"已确认",F14&lt;&gt;"已确认",'本批提测'!$H$48&lt;&gt;"已确认",AND('本批提测'!$H$40&lt;&gt;"已确认",'本批提测'!$H$40&lt;&gt;"已记录后置"),'本批提测'!$H$57&lt;&gt;"已确认"),"待确认","已确认")))</x:f>
        <x:v>未纳入本批</x:v>
      </x:c>
      <x:c r="AG14" s="10" t="str">
        <x:v>颜色层级对应</x:v>
      </x:c>
      <x:c r="AH14" s="10" t="str">
        <x:v>增加对象特有筛选与详情子列表范围，不把按钮存在当功能已验证。
对应绿色直接复用：对照批准通用框架组件、Token与交互核一致性，保留实际字段/数据/权限差异；复用标签不代表实现已通过。</x:v>
      </x:c>
      <x:c r="AI14" s="10" t="str">
        <x:v>对照批准通用框架组件、Token与交互核一致性，保留实际字段/数据/权限差异；复用标签不代表实现已通过。</x:v>
      </x:c>
      <x:c r="AJ14" s="10" t="str">
        <x:v>SM06、SM07、SM58</x:v>
      </x:c>
      <x:c r="AK14" s="10" t="str">
        <x:v>框架/规范版本、业务配置及批准例外；无需另行UI出稿的通用项仍须开发与测试证据。</x:v>
      </x:c>
      <x:c r="AL14" s="10" t="str">
        <x:v>飞书直接映射：review-96579d37d7，rev637；绿色。</x:v>
      </x:c>
    </x:row>
    <x:row r="15" ht="112.5" customHeight="1">
      <x:c r="A15" s="189" t="str">
        <x:v>UI10</x:v>
      </x:c>
      <x:c r="B15" s="189" t="str">
        <x:v>所有列表区</x:v>
      </x:c>
      <x:c r="C15" s="189" t="str">
        <x:v>列表容器与列适配</x:v>
      </x:c>
      <x:c r="D15" s="85" t="str">
        <x:v>待选择</x:v>
      </x:c>
      <x:c r="E15" s="85" t="str">
        <x:v>否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AF15&lt;&gt;"已确认","依据待确认",IF('本批提测'!$B$6&lt;&gt;"已就绪","批次未就绪",IF(OR(H15&lt;&gt;'本批提测'!$B$8,G15="",G15="未执行"),"未执行",IF(V15&lt;&gt;'本批提测'!$B$18,"基线已变，需复测",IF(LEN(TRIM(U15))=0,"交付未映射",IF(AND(OR(G15="通过",G15="失败"),LEN(TRIM(M15))=0),"缺少证据",IF(AND(OR(G15="通过",G15="失败"),LEN(TRIM(O15))=0),"缺少执行人",IF(OR(G15="通过",G15="失败",G15="受阻",G15="依据待确认"),G15,"结果待填写")))))))))))</x:f>
        <x:v>未纳入本批</x:v>
      </x:c>
      <x:c r="J15" s="10" t="str">
        <x:v>1.核对Table容器、表头/行高、行背景、列宽、固定列和操作区。
2.分别查看本批有/无顶部操作按钮的列表。
3.用长文本、宽字段及多操作记录检查适配。</x:v>
      </x:c>
      <x:c r="K15" s="10" t="str"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L15" s="10" t="str">
        <x:v>REVIEW review-92624f2e97；2026-10-12当前视图rev637；建议按本批批准基线采纳，来源状态不等于实测结果。
颜色层级按飞书框架适配字段对应；批准需求与本批实测结果分别记录。</x:v>
      </x:c>
      <x:c r="M15" s="86"/>
      <x:c r="N15" s="86"/>
      <x:c r="O15" s="86"/>
      <x:c r="P15" s="14" t="str">
        <x:v>P2</x:v>
      </x:c>
      <x:c r="Q15" s="14" t="str">
        <x:v>待确认</x:v>
      </x:c>
      <x:c r="R15" s="209" t="str">
        <x:v>直接复用</x:v>
      </x:c>
      <x:c r="S15" s="14" t="str">
        <x:v>开发</x:v>
      </x:c>
      <x:c r="T15" s="10" t="str">
        <x:v>UI核对</x:v>
      </x:c>
      <x:c r="U15" s="86"/>
      <x:c r="V15" s="86"/>
      <x:c r="W15" s="10" t="str">
        <x:v>未批准Review建议</x:v>
      </x:c>
      <x:c r="X15" s="14" t="str">
        <x:v>视觉规范</x:v>
      </x:c>
      <x:c r="Y15" s="14" t="str">
        <x:v>当前原型 Table 在容器间距、表头/行高、行背景、列宽、固定列及操作区等方面与前端通用框架存在较大差异。</x:v>
      </x:c>
      <x:c r="Z15" s="14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AA15" s="14" t="str">
        <x:v>开发对齐现有框架、规范开发</x:v>
      </x:c>
      <x:c r="AB15" s="14" t="str">
        <x:v>review-92624f2e97</x:v>
      </x:c>
      <x:c r="AC15" s="14" t="str">
        <x:v>补“隐藏顶部操作仍保留Padding”，避免按钮隐藏导致容器留白丢失。</x:v>
      </x:c>
      <x:c r="AD15" s="10" t="str">
        <x:v>列表以空、短、长和多列数据检查容器适配，区分隐藏操作与保留框架留白。</x:v>
      </x:c>
      <x:c r="AE15" s="10" t="str">
        <x:v>使用真实字段和长内容样本核对Padding、列宽、必要操作；参考框架而非强塞模板字段。固定列细节UI12，截断UI26。</x:v>
      </x:c>
      <x:c r="AF15" s="10" t="str">
        <x:f>IF(D15="否","不适用",IF(D15&lt;&gt;"是","未纳入本批",IF(OR(LEN(TRIM('本批提测'!$B$10))=0,LEN(TRIM('本批提测'!$B$11))=0,'本批提测'!$B$12&lt;&gt;"已确认",F15&lt;&gt;"已确认",'本批提测'!$H$57&lt;&gt;"已确认"),"待确认","已确认")))</x:f>
        <x:v>未纳入本批</x:v>
      </x:c>
      <x:c r="AG15" s="10" t="str">
        <x:v>颜色层级对应</x:v>
      </x:c>
      <x:c r="AH15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5" s="10" t="str">
        <x:v>对照批准通用框架组件、Token与交互核一致性，保留实际字段/数据/权限差异；复用标签不代表实现已通过。</x:v>
      </x:c>
      <x:c r="AJ15" s="10" t="str">
        <x:v>SM06、SM08</x:v>
      </x:c>
      <x:c r="AK15" s="10" t="str">
        <x:v>框架/规范版本、业务配置及批准例外；无需另行UI出稿的通用项仍须开发与测试证据。</x:v>
      </x:c>
      <x:c r="AL15" s="10" t="str">
        <x:v>飞书直接映射：review-92624f2e97，rev637；绿色。</x:v>
      </x:c>
    </x:row>
    <x:row r="16" ht="142.5" customHeight="1">
      <x:c r="A16" s="189" t="str">
        <x:v>UI11</x:v>
      </x:c>
      <x:c r="B16" s="189" t="str">
        <x:v>所有列表区</x:v>
      </x:c>
      <x:c r="C16" s="189" t="str">
        <x:v>分页组件与能力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AF16&lt;&gt;"已确认","依据待确认",IF('本批提测'!$B$6&lt;&gt;"已就绪","批次未就绪",IF(OR(H16&lt;&gt;'本批提测'!$B$8,G16="",G16="未执行"),"未执行",IF(V16&lt;&gt;'本批提测'!$B$18,"基线已变，需复测",IF(LEN(TRIM(U16))=0,"交付未映射",IF(AND(OR(G16="通过",G16="失败"),LEN(TRIM(M16))=0),"缺少证据",IF(AND(OR(G16="通过",G16="失败"),LEN(TRIM(O16))=0),"缺少执行人",IF(OR(G16="通过",G16="失败",G16="受阻",G16="依据待确认"),G16,"结果待填写")))))))))))</x:f>
        <x:v>未纳入本批</x:v>
      </x:c>
      <x:c r="J16" s="10" t="str">
        <x:v>当前主列表及航线区域/Zone详情列表显示20条/页、总数和页码输入。准备&gt;20条数据，再核框架布局、切页/已提供容量/跳页及子列表独立分页；仅1—2条样本不能完成能力验收。
原需求验收分支（按映射后入口执行）：
前置：确认本批页条数选项及是否提供跳页。
1.检查总数、页码、每页条数组件与布局。
2.切换页码、条数并核对实际记录。
3.仅已交付跳页时检查有效/无效页码；无跳页时核对采用方案。</x:v>
      </x:c>
      <x:c r="K16" s="10" t="str">
        <x:v>默认20仅为当前观察，批准容量及跳页规则按原用例；总数、记录与分页组件一致，主/子列表互不误操作。
原需求预期（仍须保留）：
总数、页码切换、每页条数等基础能力和布局复用框架，展示与实际数据一致。具体条数及是否展示页码跳转按业务配置；不能从框架示例强制要求全站10/50/100或必须跳页，已有模块明确要求另按正文。</x:v>
      </x:c>
      <x:c r="L16" s="10" t="str">
        <x:v>REVIEW review-08ef6a1468；2026-10-12当前视图rev637；建议按本批批准基线采纳，来源状态不等于实测结果。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16" s="86"/>
      <x:c r="N16" s="86"/>
      <x:c r="O16" s="86"/>
      <x:c r="P16" s="14" t="str">
        <x:v>P1</x:v>
      </x:c>
      <x:c r="Q16" s="14" t="str">
        <x:v>待确认</x:v>
      </x:c>
      <x:c r="R16" s="209" t="str">
        <x:v>直接复用</x:v>
      </x:c>
      <x:c r="S16" s="14" t="str">
        <x:v>开发</x:v>
      </x:c>
      <x:c r="T16" s="10" t="str">
        <x:v>UI核对</x:v>
      </x:c>
      <x:c r="U16" s="86"/>
      <x:c r="V16" s="86"/>
      <x:c r="W16" s="10" t="str">
        <x:v>未批准Review建议</x:v>
      </x:c>
      <x:c r="X16" s="14" t="str">
        <x:v>组件使用</x:v>
      </x:c>
      <x:c r="Y16" s="14" t="str">
        <x:v>当前原型分页组件在布局、页码样式、每页条数选择及总数信息展示方式上与前端通用框架不一致。</x:v>
      </x:c>
      <x:c r="Z16" s="14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AA16" s="14" t="str">
        <x:v>开发对齐现有框架、规范开发</x:v>
      </x:c>
      <x:c r="AB16" s="14" t="str">
        <x:v>review-08ef6a1468</x:v>
      </x:c>
      <x:c r="AC16" s="14" t="str">
        <x:v>网站对照修订：补真实20条分页和跨页数据前提。</x:v>
      </x:c>
      <x:c r="AD16" s="10" t="str">
        <x:v>分页视觉组件与业务能力分别验收；条数选项和跳转按模块配置，不统一扩展所有页。</x:v>
      </x:c>
      <x:c r="AE16" s="10" t="str">
        <x:v>用超过一页的数据实际翻页，核对总数／页码／条数和布局。无分页则不适用；组合明确配置不能外推给航司字典。
增加网站证据：记录group/resource、对象名称、主/子列表作用域及字段回显；写入/权限/持久化另取本批执行证据。</x:v>
      </x:c>
      <x:c r="AF16" s="10" t="str">
        <x:f>IF(D16="否","不适用",IF(D16&lt;&gt;"是","未纳入本批",IF(OR(LEN(TRIM('本批提测'!$B$10))=0,LEN(TRIM('本批提测'!$B$11))=0,'本批提测'!$B$12&lt;&gt;"已确认",F16&lt;&gt;"已确认",'本批提测'!$H$57&lt;&gt;"已确认"),"待确认","已确认")))</x:f>
        <x:v>未纳入本批</x:v>
      </x:c>
      <x:c r="AG16" s="10" t="str">
        <x:v>颜色层级对应</x:v>
      </x:c>
      <x:c r="AH16" s="10" t="str">
        <x:v>补真实20条分页和跨页数据前提。
对应绿色直接复用：对照批准通用框架组件、Token与交互核一致性，保留实际字段/数据/权限差异；复用标签不代表实现已通过。</x:v>
      </x:c>
      <x:c r="AI16" s="10" t="str">
        <x:v>对照批准通用框架组件、Token与交互核一致性，保留实际字段/数据/权限差异；复用标签不代表实现已通过。</x:v>
      </x:c>
      <x:c r="AJ16" s="10" t="str">
        <x:v>SM08</x:v>
      </x:c>
      <x:c r="AK16" s="10" t="str">
        <x:v>框架/规范版本、业务配置及批准例外；无需另行UI出稿的通用项仍须开发与测试证据。</x:v>
      </x:c>
      <x:c r="AL16" s="10" t="str">
        <x:v>飞书直接映射：review-08ef6a1468，rev637；绿色。</x:v>
      </x:c>
    </x:row>
    <x:row r="17" ht="142.5" customHeight="1">
      <x:c r="A17" s="189" t="str">
        <x:v>UI12</x:v>
      </x:c>
      <x:c r="B17" s="189" t="str">
        <x:v>所有列表区</x:v>
      </x:c>
      <x:c r="C17" s="189" t="str">
        <x:v>横向滚动固定列</x:v>
      </x:c>
      <x:c r="D17" s="85" t="str">
        <x:v>待选择</x:v>
      </x:c>
      <x:c r="E17" s="85" t="str">
        <x:v>否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AF17&lt;&gt;"已确认","依据待确认",IF('本批提测'!$B$6&lt;&gt;"已就绪","批次未就绪",IF(OR(H17&lt;&gt;'本批提测'!$B$8,G17="",G17="未执行"),"未执行",IF(V17&lt;&gt;'本批提测'!$B$18,"基线已变，需复测",IF(LEN(TRIM(U17))=0,"交付未映射",IF(AND(OR(G17="通过",G17="失败"),LEN(TRIM(M17))=0),"缺少证据",IF(AND(OR(G17="通过",G17="失败"),LEN(TRIM(O17))=0),"缺少执行人",IF(OR(G17="通过",G17="失败",G17="受阻",G17="依据待确认"),G17,"结果待填写")))))))))))</x:f>
        <x:v>未纳入本批</x:v>
      </x:c>
      <x:c r="J17" s="10" t="str">
        <x:v>当前已观察基础配置表格没有勾选列；仅在本批提供横向滚动时测核心识别字段与操作列固定。若批准新增批量勾选，再执行原勾选固定分支，不把Checkbox强加到现有单行操作页。
原需求验收分支（按映射后入口执行）：
前置：本批实际提供横向滚动及勾选功能。
1.滚动至左右两端并连续勾选多行。
2.核对左右固定区域、普通业务字段滚动及分隔/阴影。
3.核对中间字段仍有有效展示空间。</x:v>
      </x:c>
      <x:c r="K17" s="10" t="str">
        <x:v>无勾选页面不因缺Checkbox判失败；横向滚动固定字段和右侧操作仍须按批准组件验收。
原需求预期（仍须保留）：
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L17" s="10" t="str">
        <x:v>REVIEW review-79dfb7278b；2026-10-12当前视图rev637；建议按本批批准基线采纳，来源状态不等于实测结果。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17" s="86"/>
      <x:c r="N17" s="86"/>
      <x:c r="O17" s="86"/>
      <x:c r="P17" s="14" t="str">
        <x:v>P1</x:v>
      </x:c>
      <x:c r="Q17" s="14" t="str">
        <x:v>待确认</x:v>
      </x:c>
      <x:c r="R17" s="209" t="str">
        <x:v>直接复用</x:v>
      </x:c>
      <x:c r="S17" s="14" t="str">
        <x:v>开发</x:v>
      </x:c>
      <x:c r="T17" s="10" t="str">
        <x:v>UI核对</x:v>
      </x:c>
      <x:c r="U17" s="86"/>
      <x:c r="V17" s="86"/>
      <x:c r="W17" s="10" t="str">
        <x:v>未批准Review建议</x:v>
      </x:c>
      <x:c r="X17" s="14" t="str">
        <x:v>交互逻辑</x:v>
      </x:c>
      <x:c r="Y17" s="14" t="str">
        <x:v>当前原型在表格横向滚动时，左侧关键操作列未明确冻结范围，勾选框等批量操作入口可能随内容滚动移出可视区域，影响连续选择和操作效率。</x:v>
      </x:c>
      <x:c r="Z17" s="14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AA17" s="14" t="str">
        <x:v>开发对齐现有框架、规范开发</x:v>
      </x:c>
      <x:c r="AB17" s="14" t="str">
        <x:v>review-79dfb7278b</x:v>
      </x:c>
      <x:c r="AC17" s="14" t="str">
        <x:v>网站对照修订：明确当前无勾选列，保留条件固定列规则。</x:v>
      </x:c>
      <x:c r="AD17" s="10" t="str">
        <x:v>横向滚动检验固定区与普通字段的关系，避免截图静态正确却全部列冻结。</x:v>
      </x:c>
      <x:c r="AE17" s="10" t="str">
        <x:v>用足够列宽触发滚动；左核心识别／勾选、右操作固定，普通列可滚动；核对分隔／阴影。无勾选业务不新增复选列。
增加网站证据：记录group/resource、对象名称、主/子列表作用域及字段回显；写入/权限/持久化另取本批执行证据。</x:v>
      </x:c>
      <x:c r="AF17" s="10" t="str">
        <x:f>IF(D17="否","不适用",IF(D17&lt;&gt;"是","未纳入本批",IF(OR(LEN(TRIM('本批提测'!$B$10))=0,LEN(TRIM('本批提测'!$B$11))=0,'本批提测'!$B$12&lt;&gt;"已确认",F17&lt;&gt;"已确认",'本批提测'!$H$57&lt;&gt;"已确认"),"待确认","已确认")))</x:f>
        <x:v>未纳入本批</x:v>
      </x:c>
      <x:c r="AG17" s="10" t="str">
        <x:v>颜色层级对应</x:v>
      </x:c>
      <x:c r="AH17" s="10" t="str">
        <x:v>明确当前无勾选列，保留条件固定列规则。
对应绿色直接复用：对照批准通用框架组件、Token与交互核一致性，保留实际字段/数据/权限差异；复用标签不代表实现已通过。</x:v>
      </x:c>
      <x:c r="AI17" s="10" t="str">
        <x:v>对照批准通用框架组件、Token与交互核一致性，保留实际字段/数据/权限差异；复用标签不代表实现已通过。</x:v>
      </x:c>
      <x:c r="AJ17" s="10" t="str">
        <x:v>SM28</x:v>
      </x:c>
      <x:c r="AK17" s="10" t="str">
        <x:v>框架/规范版本、业务配置及批准例外；无需另行UI出稿的通用项仍须开发与测试证据。</x:v>
      </x:c>
      <x:c r="AL17" s="10" t="str">
        <x:v>飞书直接映射：review-79dfb7278b，rev637；绿色。</x:v>
      </x:c>
    </x:row>
    <x:row r="18" ht="112.5" customHeight="1">
      <x:c r="A18" s="189" t="str">
        <x:v>UI13</x:v>
      </x:c>
      <x:c r="B18" s="189" t="str">
        <x:v>所有列表区</x:v>
      </x:c>
      <x:c r="C18" s="189" t="str">
        <x:v>批量操作栏位置</x:v>
      </x:c>
      <x:c r="D18" s="85" t="str">
        <x:v>待选择</x:v>
      </x:c>
      <x:c r="E18" s="85" t="str">
        <x:v>否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AF18&lt;&gt;"已确认","依据待确认",IF('本批提测'!$B$6&lt;&gt;"已就绪","批次未就绪",IF(OR(H18&lt;&gt;'本批提测'!$B$8,G18="",G18="未执行"),"未执行",IF(V18&lt;&gt;'本批提测'!$B$18,"基线已变，需复测",IF(LEN(TRIM(U18))=0,"交付未映射",IF(AND(OR(G18="通过",G18="失败"),LEN(TRIM(M18))=0),"缺少证据",IF(AND(OR(G18="通过",G18="失败"),LEN(TRIM(O18))=0),"缺少执行人",IF(OR(G18="通过",G18="失败",G18="受阻",G18="依据待确认"),G18,"结果待填写")))))))))))</x:f>
        <x:v>未纳入本批</x:v>
      </x:c>
      <x:c r="J18" s="10" t="str">
        <x:v>1.记录未选中时Table顶部默认工具栏。
2.勾选1行及多行，核对顶部批量按钮与整行选中态。
3.取消部分选择，再取消全部选择。
4.检查页面底部及末行是否被浮层遮挡。</x:v>
      </x:c>
      <x:c r="K18" s="10" t="str">
        <x:v>至少选中1行后在Table顶部展示批量操作按钮，选中行使用框架标准选中态；取消全部选择后恢复默认工具栏。采用方案不新增底部悬浮操作条，表格内容不被遮挡。实际操作对象、跨页范围仍按SM28/DEC08的模块规则。</x:v>
      </x:c>
      <x:c r="L18" s="10" t="str">
        <x:v>REVIEW review-42f80e1fec；2026-10-12当前视图rev637；建议按本批批准基线采纳，来源状态不等于实测结果。
颜色层级按飞书框架适配字段对应；批准需求与本批实测结果分别记录。</x:v>
      </x:c>
      <x:c r="M18" s="86"/>
      <x:c r="N18" s="86"/>
      <x:c r="O18" s="86"/>
      <x:c r="P18" s="14" t="str">
        <x:v>P1</x:v>
      </x:c>
      <x:c r="Q18" s="14" t="str">
        <x:v>待确认</x:v>
      </x:c>
      <x:c r="R18" s="209" t="str">
        <x:v>直接复用</x:v>
      </x:c>
      <x:c r="S18" s="14" t="str">
        <x:v>开发</x:v>
      </x:c>
      <x:c r="T18" s="10" t="str">
        <x:v>UI核对</x:v>
      </x:c>
      <x:c r="U18" s="86"/>
      <x:c r="V18" s="86"/>
      <x:c r="W18" s="10" t="str">
        <x:v>未批准Review建议</x:v>
      </x:c>
      <x:c r="X18" s="14" t="str">
        <x:v>交互逻辑、视觉规范</x:v>
      </x:c>
      <x:c r="Y18" s="14" t="str">
        <x:v>当前原型勾选数据后，批量操作采用页面底部悬浮操作条，与现有通用框架的批量操作方式不一致；悬浮层同时会遮挡部分表格内容</x:v>
      </x:c>
      <x:c r="Z18" s="14" t="str">
        <x:v>统一复用通用框架的批量操作栏：勾选数据后，在 Table 顶部展示操作按钮，取消选择后恢复默认状态；选中行同步使用框架统一选中态。不再新增底部悬浮操作条</x:v>
      </x:c>
      <x:c r="AA18" s="14" t="str">
        <x:v>开发对齐现有框架、规范开发</x:v>
      </x:c>
      <x:c r="AB18" s="14" t="str">
        <x:v>review-42f80e1fec</x:v>
      </x:c>
      <x:c r="AC18" s="14" t="str">
        <x:v>补从无选择到多选再清空的完整状态链路，恢复默认工具栏不能只隐藏按钮。</x:v>
      </x:c>
      <x:c r="AD18" s="10" t="str">
        <x:v>选择0→1→多→0构成操作栏状态循环，确认清空后恢复默认；视觉栏位与实际操作对象分开。</x:v>
      </x:c>
      <x:c r="AE18" s="10" t="str">
        <x:v>观察顶部批量栏及取消全选恢复，检查无遮挡；选择范围和执行对象依SM28模块规则，不能由统一组件推定跨页行为。</x:v>
      </x:c>
      <x:c r="AF18" s="10" t="str">
        <x:f>IF(D18="否","不适用",IF(D18&lt;&gt;"是","未纳入本批",IF(OR(LEN(TRIM('本批提测'!$B$10))=0,LEN(TRIM('本批提测'!$B$11))=0,'本批提测'!$B$12&lt;&gt;"已确认",F18&lt;&gt;"已确认",'本批提测'!$H$47&lt;&gt;"已确认",AND('本批提测'!$H$40&lt;&gt;"已确认",'本批提测'!$H$40&lt;&gt;"已记录后置"),'本批提测'!$H$57&lt;&gt;"已确认"),"待确认","已确认")))</x:f>
        <x:v>未纳入本批</x:v>
      </x:c>
      <x:c r="AG18" s="10" t="str">
        <x:v>颜色层级对应</x:v>
      </x:c>
      <x:c r="AH18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8" s="10" t="str">
        <x:v>对照批准通用框架组件、Token与交互核一致性，保留实际字段/数据/权限差异；复用标签不代表实现已通过。</x:v>
      </x:c>
      <x:c r="AJ18" s="10" t="str">
        <x:v>SM28</x:v>
      </x:c>
      <x:c r="AK18" s="10" t="str">
        <x:v>框架/规范版本、业务配置及批准例外；无需另行UI出稿的通用项仍须开发与测试证据。</x:v>
      </x:c>
      <x:c r="AL18" s="10" t="str">
        <x:v>飞书直接映射：review-42f80e1fec，rev637；绿色。</x:v>
      </x:c>
    </x:row>
    <x:row r="19" ht="112.5" customHeight="1">
      <x:c r="A19" s="189" t="str">
        <x:v>UI14</x:v>
      </x:c>
      <x:c r="B19" s="189" t="str">
        <x:v>所有列表区</x:v>
      </x:c>
      <x:c r="C19" s="189" t="str">
        <x:v>行级选中态与固定区</x:v>
      </x:c>
      <x:c r="D19" s="85" t="str">
        <x:v>待选择</x:v>
      </x:c>
      <x:c r="E19" s="85" t="str">
        <x:v>否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AF19&lt;&gt;"已确认","依据待确认",IF('本批提测'!$B$6&lt;&gt;"已就绪","批次未就绪",IF(OR(H19&lt;&gt;'本批提测'!$B$8,G19="",G19="未执行"),"未执行",IF(V19&lt;&gt;'本批提测'!$B$18,"基线已变，需复测",IF(LEN(TRIM(U19))=0,"交付未映射",IF(AND(OR(G19="通过",G19="失败"),LEN(TRIM(M19))=0),"缺少证据",IF(AND(OR(G19="通过",G19="失败"),LEN(TRIM(O19))=0),"缺少执行人",IF(OR(G19="通过",G19="失败",G19="受阻",G19="依据待确认"),G19,"结果待填写")))))))))))</x:f>
        <x:v>未纳入本批</x:v>
      </x:c>
      <x:c r="J19" s="10" t="str">
        <x:v>1.比较默认/hover/选中行的主区与左右固定区。
2.逐项检查行高、字体层级、Checkbox和Tag。
3.取消选择，核对全行及固定区恢复。</x:v>
      </x:c>
      <x:c r="K19" s="10" t="str">
        <x:v>复用框架标准行高、字体层级、Checkbox和Tag；默认行背景统一。勾选后整行标准选中底色同步覆盖主体及固定列，取消后同步恢复；不新增独立行背景、字重或选中样式。数值按UI20及本批基线，不以主观“信息密度低”作独立阈值。</x:v>
      </x:c>
      <x:c r="L19" s="10" t="str">
        <x:v>REVIEW review-6436a27114；2026-10-12当前视图rev637；建议按本批批准基线采纳，来源状态不等于实测结果。
颜色层级按飞书框架适配字段对应；批准需求与本批实测结果分别记录。</x:v>
      </x:c>
      <x:c r="M19" s="86"/>
      <x:c r="N19" s="86"/>
      <x:c r="O19" s="86"/>
      <x:c r="P19" s="14" t="str">
        <x:v>P2</x:v>
      </x:c>
      <x:c r="Q19" s="14" t="str">
        <x:v>待确认</x:v>
      </x:c>
      <x:c r="R19" s="209" t="str">
        <x:v>直接复用</x:v>
      </x:c>
      <x:c r="S19" s="14" t="str">
        <x:v>开发</x:v>
      </x:c>
      <x:c r="T19" s="10" t="str">
        <x:v>UI核对</x:v>
      </x:c>
      <x:c r="U19" s="86"/>
      <x:c r="V19" s="86"/>
      <x:c r="W19" s="10" t="str">
        <x:v>未批准Review建议</x:v>
      </x:c>
      <x:c r="X19" s="14" t="str">
        <x:v>视觉规范</x:v>
      </x:c>
      <x:c r="Y19" s="14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Z19" s="14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AA19" s="14" t="str">
        <x:v>开发对齐现有框架、规范开发</x:v>
      </x:c>
      <x:c r="AB19" s="14" t="str">
        <x:v>review-6436a27114</x:v>
      </x:c>
      <x:c r="AC19" s="14" t="str">
        <x:v>补默认/hover/选中/恢复和两侧固定区；原问题不等于可自行增加密度阈值。</x:v>
      </x:c>
      <x:c r="AD19" s="10" t="str">
        <x:v>默认、悬停、选中、取消选中结合滚动，检验主体与固定列状态一致。</x:v>
      </x:c>
      <x:c r="AE19" s="10" t="str">
        <x:v>选中含长字段记录并横向滚动，对照整行底色、Checkbox及Tag；取消后恢复。行高／密度按框架，不造额外阈值。</x:v>
      </x:c>
      <x:c r="AF19" s="10" t="str">
        <x:f>IF(D19="否","不适用",IF(D19&lt;&gt;"是","未纳入本批",IF(OR(LEN(TRIM('本批提测'!$B$10))=0,LEN(TRIM('本批提测'!$B$11))=0,'本批提测'!$B$12&lt;&gt;"已确认",F19&lt;&gt;"已确认",'本批提测'!$H$57&lt;&gt;"已确认"),"待确认","已确认")))</x:f>
        <x:v>未纳入本批</x:v>
      </x:c>
      <x:c r="AG19" s="10" t="str">
        <x:v>颜色层级对应</x:v>
      </x:c>
      <x:c r="AH19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9" s="10" t="str">
        <x:v>对照批准通用框架组件、Token与交互核一致性，保留实际字段/数据/权限差异；复用标签不代表实现已通过。</x:v>
      </x:c>
      <x:c r="AJ19" s="10" t="str">
        <x:v>SM28</x:v>
      </x:c>
      <x:c r="AK19" s="10" t="str">
        <x:v>框架/规范版本、业务配置及批准例外；无需另行UI出稿的通用项仍须开发与测试证据。</x:v>
      </x:c>
      <x:c r="AL19" s="10" t="str">
        <x:v>飞书直接映射：review-6436a27114，rev637；绿色。</x:v>
      </x:c>
    </x:row>
    <x:row r="20" ht="142.5" customHeight="1">
      <x:c r="A20" s="189" t="str">
        <x:v>UI15</x:v>
      </x:c>
      <x:c r="B20" s="189" t="str">
        <x:v>所有列表区</x:v>
      </x:c>
      <x:c r="C20" s="189" t="str">
        <x:v>编码链接的真实行为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AF20&lt;&gt;"已确认","依据待确认",IF('本批提测'!$B$6&lt;&gt;"已就绪","批次未就绪",IF(OR(H20&lt;&gt;'本批提测'!$B$8,G20="",G20="未执行"),"未执行",IF(V20&lt;&gt;'本批提测'!$B$18,"基线已变，需复测",IF(LEN(TRIM(U20))=0,"交付未映射",IF(AND(OR(G20="通过",G20="失败"),LEN(TRIM(M20))=0),"缺少证据",IF(AND(OR(G20="通过",G20="失败"),LEN(TRIM(O20))=0),"缺少执行人",IF(OR(G20="通过",G20="失败",G20="受阻",G20="依据待确认"),G20,"结果待填写")))))))))))</x:f>
        <x:v>未纳入本批</x:v>
      </x:c>
      <x:c r="J20" s="10" t="str">
        <x:v>基础配置当前编码为普通文本；航线区域/Zone用行“查看详情”按钮打开对应详情。分别核文本无错误链接暗示、详情目标和关闭返回；其他模块仍按DEC04批准编码入口及原合同执行。
原需求验收分支（按映射后入口执行）：
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K20" s="10" t="str">
        <x:v>本页面不强制所有编码为详情链接；真实查看详情按钮须打开对应主记录及正确成员范围。服务组合等已明确编码入口的合同保留。
原需求预期（仍须保留）：
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L20" s="10" t="str">
        <x:v>REVIEW review-a7e8b941e2；2026-10-12当前视图rev637；建议按本批批准基线采纳，来源状态不等于实测结果。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20" s="86"/>
      <x:c r="N20" s="86"/>
      <x:c r="O20" s="86"/>
      <x:c r="P20" s="14" t="str">
        <x:v>P0</x:v>
      </x:c>
      <x:c r="Q20" s="14" t="str">
        <x:v>待确认</x:v>
      </x:c>
      <x:c r="R20" s="209" t="str">
        <x:v>直接复用</x:v>
      </x:c>
      <x:c r="S20" s="14" t="str">
        <x:v>产品</x:v>
      </x:c>
      <x:c r="T20" s="10" t="str">
        <x:v>UI核对</x:v>
      </x:c>
      <x:c r="U20" s="86"/>
      <x:c r="V20" s="86"/>
      <x:c r="W20" s="10" t="str">
        <x:v>未批准Review建议</x:v>
      </x:c>
      <x:c r="X20" s="14" t="str">
        <x:v>交互逻辑、视觉规范</x:v>
      </x:c>
      <x:c r="Y20" s="14" t="str">
        <x:v>编码使用蓝色链接态但无点击能力，存在错误交互暗示</x:v>
      </x:c>
      <x:c r="Z20" s="14" t="str">
        <x:v>建议无跳转能力时改为普通文本；如需作为详情入口，则补充完整点击交互。</x:v>
      </x:c>
      <x:c r="AA20" s="14" t="str">
        <x:v>先确认服务单元编码是否需要承担详情入口；不需要则取消蓝色链接态，需要则补充可点击交互。@人员04</x:v>
      </x:c>
      <x:c r="AB20" s="14" t="str">
        <x:v>review-a7e8b941e2</x:v>
      </x:c>
      <x:c r="AC20" s="14" t="str">
        <x:v>网站对照修订：使用真实详情按钮，编码链接规则按模块限定。</x:v>
      </x:c>
      <x:c r="AD20" s="10" t="str">
        <x:v>以蓝色链接的可操作性和业务详情入口检查真实行为；已有要求的入口不能因样式建议删除。</x:v>
      </x:c>
      <x:c r="AE20" s="10" t="str">
        <x:v>点击编码并核对详情对象及返回；服务单元入口由DEC04确认，组合编码原有详情要求保留。无功能代码按批准方案普通文本。
增加网站证据：记录group/resource、对象名称、主/子列表作用域及字段回显；写入/权限/持久化另取本批执行证据。</x:v>
      </x:c>
      <x:c r="AF20" s="10" t="str">
        <x:f>IF(D20="否","不适用",IF(D20&lt;&gt;"是","未纳入本批",IF(OR(LEN(TRIM('本批提测'!$B$10))=0,LEN(TRIM('本批提测'!$B$11))=0,'本批提测'!$B$12&lt;&gt;"已确认",F20&lt;&gt;"已确认",'本批提测'!$H$43&lt;&gt;"已确认",AND('本批提测'!$H$40&lt;&gt;"已确认",'本批提测'!$H$40&lt;&gt;"已记录后置"),'本批提测'!$H$57&lt;&gt;"已确认"),"待确认","已确认")))</x:f>
        <x:v>未纳入本批</x:v>
      </x:c>
      <x:c r="AG20" s="10" t="str">
        <x:v>颜色层级对应</x:v>
      </x:c>
      <x:c r="AH20" s="10" t="str">
        <x:v>使用真实详情按钮，编码链接规则按模块限定。
对应绿色直接复用：对照批准通用框架组件、Token与交互核一致性，保留实际字段/数据/权限差异；复用标签不代表实现已通过。</x:v>
      </x:c>
      <x:c r="AI20" s="10" t="str">
        <x:v>对照批准通用框架组件、Token与交互核一致性，保留实际字段/数据/权限差异；复用标签不代表实现已通过。</x:v>
      </x:c>
      <x:c r="AJ20" s="10" t="str">
        <x:v>SM03、SM12、SM31</x:v>
      </x:c>
      <x:c r="AK20" s="10" t="str">
        <x:v>框架/规范版本、业务配置及批准例外；无需另行UI出稿的通用项仍须开发与测试证据。</x:v>
      </x:c>
      <x:c r="AL20" s="10" t="str">
        <x:v>飞书直接映射：review-a7e8b941e2，rev637；绿色。</x:v>
      </x:c>
    </x:row>
    <x:row r="21" ht="112.5" customHeight="1">
      <x:c r="A21" s="189" t="str">
        <x:v>UI16</x:v>
      </x:c>
      <x:c r="B21" s="189" t="str">
        <x:v>Ai 建档解析</x:v>
      </x:c>
      <x:c r="C21" s="189" t="str">
        <x:v>建档页面承载</x:v>
      </x:c>
      <x:c r="D21" s="85" t="str">
        <x:v>待选择</x:v>
      </x:c>
      <x:c r="E21" s="85" t="str">
        <x:v>否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AF21&lt;&gt;"已确认","依据待确认",IF('本批提测'!$B$6&lt;&gt;"已就绪","批次未就绪",IF(OR(H21&lt;&gt;'本批提测'!$B$8,G21="",G21="未执行"),"未执行",IF(V21&lt;&gt;'本批提测'!$B$18,"基线已变，需复测",IF(LEN(TRIM(U21))=0,"交付未映射",IF(AND(OR(G21="通过",G21="失败"),LEN(TRIM(M21))=0),"缺少证据",IF(AND(OR(G21="通过",G21="失败"),LEN(TRIM(O21))=0),"缺少执行人",IF(OR(G21="通过",G21="失败",G21="受阻",G21="依据待确认"),G21,"结果待填写")))))))))))</x:f>
        <x:v>未纳入本批</x:v>
      </x:c>
      <x:c r="J21" s="10" t="str"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K21" s="10" t="str"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L21" s="10" t="str">
        <x:v>REVIEW review-f228825adf；2026-10-12当前视图rev637；建议按本批批准基线采纳，来源状态不等于实测结果。
颜色层级按飞书框架适配字段对应；批准需求与本批实测结果分别记录。</x:v>
      </x:c>
      <x:c r="M21" s="86"/>
      <x:c r="N21" s="86"/>
      <x:c r="O21" s="86"/>
      <x:c r="P21" s="14" t="str">
        <x:v>P0</x:v>
      </x:c>
      <x:c r="Q21" s="14" t="str">
        <x:v>待确认</x:v>
      </x:c>
      <x:c r="R21" s="209" t="str">
        <x:v>直接复用</x:v>
      </x:c>
      <x:c r="S21" s="14" t="str">
        <x:v>产品</x:v>
      </x:c>
      <x:c r="T21" s="10" t="str">
        <x:v>UI核对</x:v>
      </x:c>
      <x:c r="U21" s="86"/>
      <x:c r="V21" s="86"/>
      <x:c r="W21" s="10" t="str">
        <x:v>未批准Review建议</x:v>
      </x:c>
      <x:c r="X21" s="14" t="str">
        <x:v>交互逻辑</x:v>
      </x:c>
      <x:c r="Y21" s="14" t="str">
        <x:v>当前原型使用弹窗承载，信息量较大、操作链路较长。</x:v>
      </x:c>
      <x:c r="Z21" s="14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AA21" s="14" t="str">
        <x:v>产品按照独立表单页框架调整原型</x:v>
      </x:c>
      <x:c r="AB21" s="14" t="str">
        <x:v>review-f228825adf</x:v>
      </x:c>
      <x:c r="AC21" s="14" t="str">
        <x:v>补完整建档链路与资料/结果/确认持续可见；24px是主体两侧，不是所有内部容器。</x:v>
      </x:c>
      <x:c r="AD21" s="10" t="str">
        <x:v>AI建档按上传→解析→核对→确认的完整任务检查页面承载；视觉承载与解析保存正确性分别验证。</x:v>
      </x:c>
      <x:c r="AE21" s="10" t="str">
        <x:v>按DEC05批准独立页方案核对步骤、主体24px留白及底部操作，功能证据关联SM27。文件限制／字段按DEC17，不套示例10MB。</x:v>
      </x:c>
      <x:c r="AF21" s="10" t="str">
        <x:f>IF(D21="否","不适用",IF(D21&lt;&gt;"是","未纳入本批",IF(OR(LEN(TRIM('本批提测'!$B$10))=0,LEN(TRIM('本批提测'!$B$11))=0,'本批提测'!$B$12&lt;&gt;"已确认",F21&lt;&gt;"已确认",'本批提测'!$H$44&lt;&gt;"已确认",'本批提测'!$H$56&lt;&gt;"已确认",AND('本批提测'!$H$40&lt;&gt;"已确认",'本批提测'!$H$40&lt;&gt;"已记录后置"),'本批提测'!$H$57&lt;&gt;"已确认"),"待确认","已确认")))</x:f>
        <x:v>未纳入本批</x:v>
      </x:c>
      <x:c r="AG21" s="10" t="str">
        <x:v>颜色层级对应</x:v>
      </x:c>
      <x:c r="AH21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21" s="10" t="str">
        <x:v>对照批准通用框架组件、Token与交互核一致性，保留实际字段/数据/权限差异；复用标签不代表实现已通过。</x:v>
      </x:c>
      <x:c r="AJ21" s="10" t="str">
        <x:v>SM27</x:v>
      </x:c>
      <x:c r="AK21" s="10" t="str">
        <x:v>框架/规范版本、业务配置及批准例外；无需另行UI出稿的通用项仍须开发与测试证据。</x:v>
      </x:c>
      <x:c r="AL21" s="10" t="str">
        <x:v>飞书直接映射：review-f228825adf，rev637；绿色。</x:v>
      </x:c>
    </x:row>
    <x:row r="22" ht="169.5" customHeight="1">
      <x:c r="A22" s="189" t="str">
        <x:v>UI17</x:v>
      </x:c>
      <x:c r="B22" s="189" t="str">
        <x:v>全局</x:v>
      </x:c>
      <x:c r="C22" s="189" t="str">
        <x:v>刷新保持页面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AF22&lt;&gt;"已确认","依据待确认",IF('本批提测'!$B$6&lt;&gt;"已就绪","批次未就绪",IF(OR(H22&lt;&gt;'本批提测'!$B$8,G22="",G22="未执行"),"未执行",IF(V22&lt;&gt;'本批提测'!$B$18,"基线已变，需复测",IF(LEN(TRIM(U22))=0,"交付未映射",IF(AND(OR(G22="通过",G22="失败"),LEN(TRIM(M22))=0),"缺少证据",IF(AND(OR(G22="通过",G22="失败"),LEN(TRIM(O22))=0),"缺少执行人",IF(OR(G22="通过",G22="失败",G22="受阻",G22="依据待确认"),G22,"结果待填写")))))))))))</x:f>
        <x:v>未纳入本批</x:v>
      </x:c>
      <x:c r="J22" s="10" t="str">
        <x:v>网站对照新增路由范围：国家location/country、航空公司dictionary/airline、汇率finance/exchange_rate、Zone routing/reference_zone。刷新前记录group/resource、菜单/对象选中态及批准保留状态；详情刷新是否保留弹层另先批准，不默认要求。
原需求验收分支（按映射后入口执行）：
1.在本批列表、详情及独立页记录当前URL、选中菜单和批准需保留的状态。
2.执行浏览器刷新，对比页面、路由和状态。
3.存在特殊跳转时核对产品批准场景及目标。</x:v>
      </x:c>
      <x:c r="K22" s="10" t="str">
        <x:v>路由和选中对象保持批准范围，不能刷新回错误对象。本轮对象切换观察不等于已执行刷新或前进/返回。
原需求预期（仍须保留）：
刷新保持当前页面/路由及必要状态，无非预期跳转；特殊跳转须产品确认。必要状态按本批方案，不据Review默认要求所有筛选、页码或未保存字段持久化；可复用SM04证据。</x:v>
      </x:c>
      <x:c r="L22" s="10" t="str">
        <x:v>REVIEW review-70bd2614ce；2026-10-12当前视图rev637；建议按本批批准基线采纳，来源状态不等于实测结果。
网站只读对照 WEB01—10，2026-10-12；具体URL及未验证范围见「网站详情对照」。当前实现不替代批准需求。
颜色层级按飞书框架适配字段对应；批准需求与本批实测结果分别记录。</x:v>
      </x:c>
      <x:c r="M22" s="86"/>
      <x:c r="N22" s="86"/>
      <x:c r="O22" s="86"/>
      <x:c r="P22" s="14" t="str">
        <x:v>P1</x:v>
      </x:c>
      <x:c r="Q22" s="14" t="str">
        <x:v>待确认</x:v>
      </x:c>
      <x:c r="R22" s="209" t="str">
        <x:v>直接复用</x:v>
      </x:c>
      <x:c r="S22" s="14" t="str">
        <x:v>开发</x:v>
      </x:c>
      <x:c r="T22" s="10" t="str">
        <x:v>UI核对</x:v>
      </x:c>
      <x:c r="U22" s="86"/>
      <x:c r="V22" s="86"/>
      <x:c r="W22" s="10" t="str">
        <x:v>未批准Review建议</x:v>
      </x:c>
      <x:c r="X22" s="14" t="str">
        <x:v>交互逻辑</x:v>
      </x:c>
      <x:c r="Y22" s="14" t="str">
        <x:v>当前页面刷新后会跳转至其他页面，未保持当前路由，导致用户操作上下文中断。</x:v>
      </x:c>
      <x:c r="Z22" s="14" t="str">
        <x:v>页面刷新后应保持当前页面及必要状态，不应发生非预期跳转。</x:v>
      </x:c>
      <x:c r="AA22" s="14" t="str">
        <x:v>检查当前路由及刷新逻辑，调整为刷新后保持当前页面；如有特殊跳转逻辑需产品确认</x:v>
      </x:c>
      <x:c r="AB22" s="14" t="str">
        <x:v>review-70bd2614ce</x:v>
      </x:c>
      <x:c r="AC22" s="14" t="str">
        <x:v>网站对照修订：补实际双参数路由与弹层刷新范围。</x:v>
      </x:c>
      <x:c r="AD22" s="10" t="str">
        <x:v>刷新保持页面是跨路由状态检查，复用SM04功能证据，另核对菜单和必要视觉上下文。</x:v>
      </x:c>
      <x:c r="AE22" s="10" t="str">
        <x:v>覆盖本批实际路由，记录刷新前后URL与已约定状态；未保存内容不自动视为必须保留，特殊跳转由产品确认。
增加网站证据：记录group/resource、对象名称、主/子列表作用域及字段回显；写入/权限/持久化另取本批执行证据。</x:v>
      </x:c>
      <x:c r="AF22" s="10" t="str">
        <x:f>IF(D22="否","不适用",IF(D22&lt;&gt;"是","未纳入本批",IF(OR(LEN(TRIM('本批提测'!$B$10))=0,LEN(TRIM('本批提测'!$B$11))=0,'本批提测'!$B$12&lt;&gt;"已确认",F22&lt;&gt;"已确认",'本批提测'!$H$57&lt;&gt;"已确认"),"待确认","已确认")))</x:f>
        <x:v>未纳入本批</x:v>
      </x:c>
      <x:c r="AG22" s="10" t="str">
        <x:v>颜色层级对应</x:v>
      </x:c>
      <x:c r="AH22" s="10" t="str">
        <x:v>补实际双参数路由与弹层刷新范围。
对应绿色直接复用：对照批准通用框架组件、Token与交互核一致性，保留实际字段/数据/权限差异；复用标签不代表实现已通过。</x:v>
      </x:c>
      <x:c r="AI22" s="10" t="str">
        <x:v>对照批准通用框架组件、Token与交互核一致性，保留实际字段/数据/权限差异；复用标签不代表实现已通过。</x:v>
      </x:c>
      <x:c r="AJ22" s="10" t="str">
        <x:v>SM04</x:v>
      </x:c>
      <x:c r="AK22" s="10" t="str">
        <x:v>框架/规范版本、业务配置及批准例外；无需另行UI出稿的通用项仍须开发与测试证据。</x:v>
      </x:c>
      <x:c r="AL22" s="10" t="str">
        <x:v>飞书直接映射：review-70bd2614ce，rev637；绿色。</x:v>
      </x:c>
    </x:row>
    <x:row r="23" ht="112.5" customHeight="1">
      <x:c r="A23" s="189" t="str">
        <x:v>UI18</x:v>
      </x:c>
      <x:c r="B23" s="189" t="str">
        <x:v>服务单元</x:v>
      </x:c>
      <x:c r="C23" s="189" t="str">
        <x:v>详情 Drawer 与滚动</x:v>
      </x:c>
      <x:c r="D23" s="85" t="str">
        <x:v>待选择</x:v>
      </x:c>
      <x:c r="E23" s="85" t="str">
        <x:v>否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AF23&lt;&gt;"已确认","依据待确认",IF('本批提测'!$B$6&lt;&gt;"已就绪","批次未就绪",IF(OR(H23&lt;&gt;'本批提测'!$B$8,G23="",G23="未执行"),"未执行",IF(V23&lt;&gt;'本批提测'!$B$18,"基线已变，需复测",IF(LEN(TRIM(U23))=0,"交付未映射",IF(AND(OR(G23="通过",G23="失败"),LEN(TRIM(M23))=0),"缺少证据",IF(AND(OR(G23="通过",G23="失败"),LEN(TRIM(O23))=0),"缺少执行人",IF(OR(G23="通过",G23="失败",G23="受阻",G23="依据待确认"),G23,"结果待填写")))))))))))</x:f>
        <x:v>未纳入本批</x:v>
      </x:c>
      <x:c r="J23" s="10" t="str">
        <x:v>前置：DEC03决定正文弹窗与Review Drawer承载。
1.带筛选/分页上下文打开服务单元详情。
2.核对基础信息、关联关系和规则配置分组，滚动长内容。
3.关闭后连续查看其他对象并核对列表上下文及对象内容；检查图标。</x:v>
      </x:c>
      <x:c r="K23" s="10" t="str">
        <x:v>采纳后用右侧详情Drawer并保留当前列表上下文；信息按模块分组；内容区纵向滚动而顶部标题、底部操作区固定。连续查看时对象内容正确，长内容可完整查看，图标不用emoji。源表未定义编辑权限/保存逻辑，不以“进入编辑”作为本条固有步骤。</x:v>
      </x:c>
      <x:c r="L23" s="10" t="str">
        <x:v>REVIEW review-f828afea0f；2026-10-12当前视图rev637；建议按本批批准基线采纳，来源状态不等于实测结果。
颜色层级按飞书框架适配字段对应；批准需求与本批实测结果分别记录。</x:v>
      </x:c>
      <x:c r="M23" s="86"/>
      <x:c r="N23" s="86"/>
      <x:c r="O23" s="86"/>
      <x:c r="P23" s="14" t="str">
        <x:v>P0</x:v>
      </x:c>
      <x:c r="Q23" s="14" t="str">
        <x:v>待确认</x:v>
      </x:c>
      <x:c r="R23" s="209" t="str">
        <x:v>直接复用</x:v>
      </x:c>
      <x:c r="S23" s="14" t="str">
        <x:v>开发、产品</x:v>
      </x:c>
      <x:c r="T23" s="10" t="str">
        <x:v>UI核对</x:v>
      </x:c>
      <x:c r="U23" s="86"/>
      <x:c r="V23" s="86"/>
      <x:c r="W23" s="10" t="str">
        <x:v>未批准Review建议</x:v>
      </x:c>
      <x:c r="X23" s="14" t="str">
        <x:v>组件使用</x:v>
      </x:c>
      <x:c r="Y23" s="14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Z23" s="14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AA23" s="14" t="str">
        <x:v>按现有详情 Drawer 结构调整</x:v>
      </x:c>
      <x:c r="AB23" s="14" t="str">
        <x:v>review-f828afea0f</x:v>
      </x:c>
      <x:c r="AC23" s="14" t="str">
        <x:v>补关闭后上下文与连续查看对象正确；删除本条无来源的固定进入编辑步骤。</x:v>
      </x:c>
      <x:c r="AD23" s="10" t="str">
        <x:v>详情承载以保留列表上下文、长内容滚动和连续查看任务验证；读详情和改配置分开。</x:v>
      </x:c>
      <x:c r="AE23" s="10" t="str">
        <x:v>按DEC03批准Drawer，对照分组、固定标题／底部、长内容及连续对象，无emoji；单元编辑验证在SM30，不新增详情内必有编辑动作。</x:v>
      </x:c>
      <x:c r="AF23" s="10" t="str">
        <x:f>IF(D23="否","不适用",IF(D23&lt;&gt;"是","未纳入本批",IF(OR(LEN(TRIM('本批提测'!$B$10))=0,LEN(TRIM('本批提测'!$B$11))=0,'本批提测'!$B$12&lt;&gt;"已确认",F23&lt;&gt;"已确认",AND('本批提测'!$H$42&lt;&gt;"已确认",'本批提测'!$H$42&lt;&gt;"已记录后置"),AND('本批提测'!$H$40&lt;&gt;"已确认",'本批提测'!$H$40&lt;&gt;"已记录后置"),'本批提测'!$H$57&lt;&gt;"已确认"),"待确认","已确认")))</x:f>
        <x:v>未纳入本批</x:v>
      </x:c>
      <x:c r="AG23" s="10" t="str">
        <x:v>颜色层级对应</x:v>
      </x:c>
      <x:c r="AH23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23" s="10" t="str">
        <x:v>对照批准通用框架组件、Token与交互核一致性，保留实际字段/数据/权限差异；复用标签不代表实现已通过。</x:v>
      </x:c>
      <x:c r="AJ23" s="10" t="str">
        <x:v>SM30</x:v>
      </x:c>
      <x:c r="AK23" s="10" t="str">
        <x:v>框架/规范版本、业务配置及批准例外；无需另行UI出稿的通用项仍须开发与测试证据。</x:v>
      </x:c>
      <x:c r="AL23" s="10" t="str">
        <x:v>飞书直接映射：review-f828afea0f，rev637；绿色。</x:v>
      </x:c>
    </x:row>
    <x:row r="24" ht="88.5" customHeight="1">
      <x:c r="A24" s="10" t="str">
        <x:v>UI19</x:v>
      </x:c>
      <x:c r="B24" s="10" t="str">
        <x:v>通用字体</x:v>
      </x:c>
      <x:c r="C24" s="10" t="str">
        <x:v>字体数值与字重</x:v>
      </x:c>
      <x:c r="D24" s="85" t="str">
        <x:v>待选择</x:v>
      </x:c>
      <x:c r="E24" s="85" t="str">
        <x:v>否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AF24&lt;&gt;"已确认","依据待确认",IF('本批提测'!$B$6&lt;&gt;"已就绪","批次未就绪",IF(OR(H24&lt;&gt;'本批提测'!$B$8,G24="",G24="未执行"),"未执行",IF(V24&lt;&gt;'本批提测'!$B$18,"基线已变，需复测",IF(LEN(TRIM(U24))=0,"交付未映射",IF(AND(OR(G24="通过",G24="失败"),LEN(TRIM(M24))=0),"缺少证据",IF(AND(OR(G24="通过",G24="失败"),LEN(TRIM(O24))=0),"缺少执行人",IF(OR(G24="通过",G24="失败",G24="受阻",G24="依据待确认"),G24,"结果待填写")))))))))))</x:f>
        <x:v>未纳入本批</x:v>
      </x:c>
      <x:c r="J24" s="10" t="str">
        <x:v>用计算样式核对页头、模块标题、正文、辅助文字和标签。</x:v>
      </x:c>
      <x:c r="K24" s="10" t="str"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L24" s="10" t="str">
        <x:v>SPEC §3.2；数值来自规范表</x:v>
      </x:c>
      <x:c r="M24" s="86"/>
      <x:c r="N24" s="86"/>
      <x:c r="O24" s="86"/>
      <x:c r="P24" s="14" t="str">
        <x:v>不适用</x:v>
      </x:c>
      <x:c r="Q24" s="14" t="str">
        <x:v>不适用</x:v>
      </x:c>
      <x:c r="R24" s="14" t="str">
        <x:v>规范／检查建议</x:v>
      </x:c>
      <x:c r="S24" s="14" t="str">
        <x:v>按本批分工</x:v>
      </x:c>
      <x:c r="T24" s="10" t="str">
        <x:v>UI核对</x:v>
      </x:c>
      <x:c r="U24" s="86"/>
      <x:c r="V24" s="86"/>
      <x:c r="W24" s="10" t="str">
        <x:v>规范正文／适用条件</x:v>
      </x:c>
      <x:c r="X24" s="14"/>
      <x:c r="Y24" s="14"/>
      <x:c r="Z24" s="14"/>
      <x:c r="AA24" s="14"/>
      <x:c r="AB24" s="14"/>
      <x:c r="AC24" s="14"/>
      <x:c r="AD24" s="10" t="str">
        <x:v>字体按层级和平台矩阵核对，避免只抽一段正文或将所有字重一概设粗。</x:v>
      </x:c>
      <x:c r="AE24" s="10" t="str">
        <x:v>在本批支持的Windows／mac及实际层级测字体、字号、字重、行高；平台未纳入不强加。使用SPEC数值及相同缩放截图。</x:v>
      </x:c>
      <x:c r="AF24" s="10" t="str">
        <x:f>IF(D24="否","不适用",IF(D24&lt;&gt;"是","未纳入本批",IF(OR(LEN(TRIM('本批提测'!$B$10))=0,LEN(TRIM('本批提测'!$B$11))=0,'本批提测'!$B$12&lt;&gt;"已确认",F24&lt;&gt;"已确认",'本批提测'!$H$57&lt;&gt;"已确认",AND('本批提测'!$H$40&lt;&gt;"已确认",'本批提测'!$H$40&lt;&gt;"已记录后置")),"待确认","已确认")))</x:f>
        <x:v>未纳入本批</x:v>
      </x:c>
      <x:c r="AG24" s="10" t="str">
        <x:v>保留／按批次选取</x:v>
      </x:c>
      <x:c r="AH24" s="10" t="str">
        <x:v>设计复核后保留；关联DEC18、DEC01确认后方可执行判定。</x:v>
      </x:c>
      <x:c r="AI24" s="10" t="str">
        <x:v>通用规范/网站补充，按本批实际组件和批准基线执行，不列入五色来源分组。</x:v>
      </x:c>
      <x:c r="AJ24" s="10"/>
      <x:c r="AK24" s="10" t="str">
        <x:v>批准通用规范、设备/容差及组件采用方案；网站字段映射按原关联决策。</x:v>
      </x:c>
      <x:c r="AL24" s="10" t="str">
        <x:v>规范或网站补充；没有直接飞书Review记录，不擅自设颜色层级。</x:v>
      </x:c>
    </x:row>
    <x:row r="25" ht="115.5" customHeight="1">
      <x:c r="A25" s="10" t="str">
        <x:v>UI20</x:v>
      </x:c>
      <x:c r="B25" s="10" t="str">
        <x:v>桌面表格</x:v>
      </x:c>
      <x:c r="C25" s="10" t="str">
        <x:v>表格基础规格</x:v>
      </x:c>
      <x:c r="D25" s="85" t="str">
        <x:v>待选择</x:v>
      </x:c>
      <x:c r="E25" s="85" t="str">
        <x:v>否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AF25&lt;&gt;"已确认","依据待确认",IF('本批提测'!$B$6&lt;&gt;"已就绪","批次未就绪",IF(OR(H25&lt;&gt;'本批提测'!$B$8,G25="",G25="未执行"),"未执行",IF(V25&lt;&gt;'本批提测'!$B$18,"基线已变，需复测",IF(LEN(TRIM(U25))=0,"交付未映射",IF(AND(OR(G25="通过",G25="失败"),LEN(TRIM(M25))=0),"缺少证据",IF(AND(OR(G25="通过",G25="失败"),LEN(TRIM(O25))=0),"缺少执行人",IF(OR(G25="通过",G25="失败",G25="受阻",G25="依据待确认"),G25,"结果待填写")))))))))))</x:f>
        <x:v>未纳入本批</x:v>
      </x:c>
      <x:c r="J25" s="10" t="str">
        <x:v>在约定桌面视口查看行高、表头、分割线和行状态。</x:v>
      </x:c>
      <x:c r="K25" s="10" t="str">
        <x:v>桌面行高48px；表头#F7F7F7、字重500；仅底部1px solid #EBEBEB。标识／名称／状态／目的地、时间和操作列左对齐；数字／金额／重量右对齐。默认白、hover #EBF3FD、勾选行#D1E4FB；固定区与主区一致。
表头色存在源内差异：§4.5桌面说明#F7F8FA，§5.8规格与Token为#F7F7F7；先在DEC18记录采用值/组件依据，未经批准不凭任一数值判失败。</x:v>
      </x:c>
      <x:c r="L25" s="10" t="str">
        <x:v>SPEC §5.8基础规格／列对齐／行状态；金额位数仍见DEC10</x:v>
      </x:c>
      <x:c r="M25" s="86"/>
      <x:c r="N25" s="86"/>
      <x:c r="O25" s="86"/>
      <x:c r="P25" s="14" t="str">
        <x:v>不适用</x:v>
      </x:c>
      <x:c r="Q25" s="14" t="str">
        <x:v>不适用</x:v>
      </x:c>
      <x:c r="R25" s="14" t="str">
        <x:v>规范／检查建议</x:v>
      </x:c>
      <x:c r="S25" s="14" t="str">
        <x:v>按本批分工</x:v>
      </x:c>
      <x:c r="T25" s="10" t="str">
        <x:v>UI核对</x:v>
      </x:c>
      <x:c r="U25" s="86"/>
      <x:c r="V25" s="86"/>
      <x:c r="W25" s="10" t="str">
        <x:v>规范正文／适用条件</x:v>
      </x:c>
      <x:c r="X25" s="14"/>
      <x:c r="Y25" s="14"/>
      <x:c r="Z25" s="14"/>
      <x:c r="AA25" s="14"/>
      <x:c r="AB25" s="14"/>
      <x:c r="AC25" s="14" t="str">
        <x:v>二次复核补表头#F7F8FA/#F7F7F7源内差异；保持本批批准组件依据。</x:v>
      </x:c>
      <x:c r="AD25" s="10" t="str">
        <x:v>Table同时含尺寸、对齐和行状态规则；同一行中多类型字段及固定区应共同验证。</x:v>
      </x:c>
      <x:c r="AE25" s="10" t="str">
        <x:v>准备文本、状态、日期、数值、金额和重量列；核对左／右对齐及默认／hover／selected，固定列背景一致。以规范数值取证。</x:v>
      </x:c>
      <x:c r="AF25" s="10" t="str">
        <x:f>IF(D25="否","不适用",IF(D25&lt;&gt;"是","未纳入本批",IF(OR(LEN(TRIM('本批提测'!$B$10))=0,LEN(TRIM('本批提测'!$B$11))=0,'本批提测'!$B$12&lt;&gt;"已确认",F25&lt;&gt;"已确认",'本批提测'!$H$57&lt;&gt;"已确认",AND('本批提测'!$H$40&lt;&gt;"已确认",'本批提测'!$H$40&lt;&gt;"已记录后置")),"待确认","已确认")))</x:f>
        <x:v>未纳入本批</x:v>
      </x:c>
      <x:c r="AG25" s="10" t="str">
        <x:v>二次复核修正</x:v>
      </x:c>
      <x:c r="AH25" s="10" t="str">
        <x:v>补来源适用范围和量值；不把一类字段或局部Review扩展至全站。</x:v>
      </x:c>
      <x:c r="AI25" s="10" t="str">
        <x:v>通用规范/网站补充，按本批实际组件和批准基线执行，不列入五色来源分组。</x:v>
      </x:c>
      <x:c r="AJ25" s="10"/>
      <x:c r="AK25" s="10" t="str">
        <x:v>批准通用规范、设备/容差及组件采用方案；网站字段映射按原关联决策。</x:v>
      </x:c>
      <x:c r="AL25" s="10" t="str">
        <x:v>规范或网站补充；没有直接飞书Review记录，不擅自设颜色层级。</x:v>
      </x:c>
    </x:row>
    <x:row r="26" ht="63" customHeight="1">
      <x:c r="A26" s="10" t="str">
        <x:v>UI21</x:v>
      </x:c>
      <x:c r="B26" s="10" t="str">
        <x:v>表格操作</x:v>
      </x:c>
      <x:c r="C26" s="10" t="str">
        <x:v>操作位置与间距</x:v>
      </x:c>
      <x:c r="D26" s="85" t="str">
        <x:v>待选择</x:v>
      </x:c>
      <x:c r="E26" s="85" t="str">
        <x:v>否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AF26&lt;&gt;"已确认","依据待确认",IF('本批提测'!$B$6&lt;&gt;"已就绪","批次未就绪",IF(OR(H26&lt;&gt;'本批提测'!$B$8,G26="",G26="未执行"),"未执行",IF(V26&lt;&gt;'本批提测'!$B$18,"基线已变，需复测",IF(LEN(TRIM(U26))=0,"交付未映射",IF(AND(OR(G26="通过",G26="失败"),LEN(TRIM(M26))=0),"缺少证据",IF(AND(OR(G26="通过",G26="失败"),LEN(TRIM(O26))=0),"缺少执行人",IF(OR(G26="通过",G26="失败",G26="受阻",G26="依据待确认"),G26,"结果待填写")))))))))))</x:f>
        <x:v>未纳入本批</x:v>
      </x:c>
      <x:c r="J26" s="10" t="str">
        <x:v>横向滚动后检查操作列，测量文字按钮间距。</x:v>
      </x:c>
      <x:c r="K26" s="10" t="str">
        <x:v>操作列位于最右并固定；采用文字按钮；操作间距 16px。</x:v>
      </x:c>
      <x:c r="L26" s="10" t="str">
        <x:v>SPEC §5.8；数值来自规范表</x:v>
      </x:c>
      <x:c r="M26" s="86"/>
      <x:c r="N26" s="86"/>
      <x:c r="O26" s="86"/>
      <x:c r="P26" s="14" t="str">
        <x:v>不适用</x:v>
      </x:c>
      <x:c r="Q26" s="14" t="str">
        <x:v>不适用</x:v>
      </x:c>
      <x:c r="R26" s="14" t="str">
        <x:v>规范／检查建议</x:v>
      </x:c>
      <x:c r="S26" s="14" t="str">
        <x:v>按本批分工</x:v>
      </x:c>
      <x:c r="T26" s="10" t="str">
        <x:v>UI核对</x:v>
      </x:c>
      <x:c r="U26" s="86"/>
      <x:c r="V26" s="86"/>
      <x:c r="W26" s="10" t="str">
        <x:v>规范正文／适用条件</x:v>
      </x:c>
      <x:c r="X26" s="14"/>
      <x:c r="Y26" s="14"/>
      <x:c r="Z26" s="14"/>
      <x:c r="AA26" s="14"/>
      <x:c r="AB26" s="14"/>
      <x:c r="AC26" s="14"/>
      <x:c r="AD26" s="10" t="str">
        <x:v>操作列的固定定位和文字间距需在有多操作及横滚时检查，避免仅单按钮截图无法验证。</x:v>
      </x:c>
      <x:c r="AE26" s="10" t="str">
        <x:v>取含多操作的真实记录，对照右固定及16px间距；点击可用操作验证无遮挡，批次没有这些能力则按适用范围处理。</x:v>
      </x:c>
      <x:c r="AF26" s="10" t="str">
        <x:f>IF(D26="否","不适用",IF(D26&lt;&gt;"是","未纳入本批",IF(OR(LEN(TRIM('本批提测'!$B$10))=0,LEN(TRIM('本批提测'!$B$11))=0,'本批提测'!$B$12&lt;&gt;"已确认",F26&lt;&gt;"已确认",'本批提测'!$H$57&lt;&gt;"已确认",AND('本批提测'!$H$40&lt;&gt;"已确认",'本批提测'!$H$40&lt;&gt;"已记录后置")),"待确认","已确认")))</x:f>
        <x:v>未纳入本批</x:v>
      </x:c>
      <x:c r="AG26" s="10" t="str">
        <x:v>保留／按批次选取</x:v>
      </x:c>
      <x:c r="AH26" s="10" t="str">
        <x:v>设计复核后保留；关联DEC18、DEC01确认后方可执行判定。</x:v>
      </x:c>
      <x:c r="AI26" s="10" t="str">
        <x:v>通用规范/网站补充，按本批实际组件和批准基线执行，不列入五色来源分组。</x:v>
      </x:c>
      <x:c r="AJ26" s="10"/>
      <x:c r="AK26" s="10" t="str">
        <x:v>批准通用规范、设备/容差及组件采用方案；网站字段映射按原关联决策。</x:v>
      </x:c>
      <x:c r="AL26" s="10" t="str">
        <x:v>规范或网站补充；没有直接飞书Review记录，不擅自设颜色层级。</x:v>
      </x:c>
    </x:row>
    <x:row r="27" ht="63" customHeight="1">
      <x:c r="A27" s="10" t="str">
        <x:v>UI22</x:v>
      </x:c>
      <x:c r="B27" s="10" t="str">
        <x:v>金额字段</x:v>
      </x:c>
      <x:c r="C27" s="10" t="str">
        <x:v>金额右对齐与精度</x:v>
      </x:c>
      <x:c r="D27" s="85" t="str">
        <x:v>待选择</x:v>
      </x:c>
      <x:c r="E27" s="85" t="str">
        <x:v>否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AF27&lt;&gt;"已确认","依据待确认",IF('本批提测'!$B$6&lt;&gt;"已就绪","批次未就绪",IF(OR(H27&lt;&gt;'本批提测'!$B$8,G27="",G27="未执行"),"未执行",IF(V27&lt;&gt;'本批提测'!$B$18,"基线已变，需复测",IF(LEN(TRIM(U27))=0,"交付未映射",IF(AND(OR(G27="通过",G27="失败"),LEN(TRIM(M27))=0),"缺少证据",IF(AND(OR(G27="通过",G27="失败"),LEN(TRIM(O27))=0),"缺少执行人",IF(OR(G27="通过",G27="失败",G27="受阻",G27="依据待确认"),G27,"结果待填写")))))))))))</x:f>
        <x:v>未纳入本批</x:v>
      </x:c>
      <x:c r="J27" s="10" t="str">
        <x:v>检查本批价格、成本及计费页面的金额展示。</x:v>
      </x:c>
      <x:c r="K27" s="10" t="str">
        <x:v>项目要求金额右对齐、两位小数；通用规范§9.2要求金额四位小数、千分位及货币符号。先以 DEC10 确认项目例外与展示口径，再验收；不自行定两位或四位。</x:v>
      </x:c>
      <x:c r="L27" s="10" t="str">
        <x:v>REQ 七第7项已解决／§6.2最低成本；SPEC §5.8、§9.2 冲突，见 DEC10</x:v>
      </x:c>
      <x:c r="M27" s="86"/>
      <x:c r="N27" s="86"/>
      <x:c r="O27" s="86"/>
      <x:c r="P27" s="14" t="str">
        <x:v>不适用</x:v>
      </x:c>
      <x:c r="Q27" s="14" t="str">
        <x:v>不适用</x:v>
      </x:c>
      <x:c r="R27" s="14" t="str">
        <x:v>规范／检查建议</x:v>
      </x:c>
      <x:c r="S27" s="14" t="str">
        <x:v>按本批分工</x:v>
      </x:c>
      <x:c r="T27" s="10" t="str">
        <x:v>UI核对</x:v>
      </x:c>
      <x:c r="U27" s="86"/>
      <x:c r="V27" s="86"/>
      <x:c r="W27" s="10" t="str">
        <x:v>正文与规范冲突</x:v>
      </x:c>
      <x:c r="X27" s="14"/>
      <x:c r="Y27" s="14"/>
      <x:c r="Z27" s="14"/>
      <x:c r="AA27" s="14"/>
      <x:c r="AB27" s="14"/>
      <x:c r="AC27" s="14"/>
      <x:c r="AD27" s="10" t="str">
        <x:v>金额精度存在PRD两位与规范四位冲突；显示与计算舍入分开设计，先决策再判断。</x:v>
      </x:c>
      <x:c r="AE27" s="10" t="str">
        <x:v>用0、整数、多位小数、长金额按DEC10批准显示口径比对；计算舍入取DEC19，不将显示位数直接当计算精度。</x:v>
      </x:c>
      <x:c r="AF27" s="10" t="str">
        <x:f>IF(D27="否","不适用",IF(D27&lt;&gt;"是","未纳入本批",IF(OR(LEN(TRIM('本批提测'!$B$10))=0,LEN(TRIM('本批提测'!$B$11))=0,'本批提测'!$B$12&lt;&gt;"已确认",F27&lt;&gt;"已确认",'本批提测'!$H$49&lt;&gt;"已确认",'本批提测'!$H$57&lt;&gt;"已确认",AND('本批提测'!$H$40&lt;&gt;"已确认",'本批提测'!$H$40&lt;&gt;"已记录后置")),"待确认","已确认")))</x:f>
        <x:v>未纳入本批</x:v>
      </x:c>
      <x:c r="AG27" s="10" t="str">
        <x:v>保留／按批次选取</x:v>
      </x:c>
      <x:c r="AH27" s="10" t="str">
        <x:v>设计复核后保留；关联DEC10、DEC18、DEC01确认后方可执行判定。</x:v>
      </x:c>
      <x:c r="AI27" s="10" t="str">
        <x:v>通用规范/网站补充，按本批实际组件和批准基线执行，不列入五色来源分组。</x:v>
      </x:c>
      <x:c r="AJ27" s="10"/>
      <x:c r="AK27" s="10" t="str">
        <x:v>批准通用规范、设备/容差及组件采用方案；网站字段映射按原关联决策。</x:v>
      </x:c>
      <x:c r="AL27" s="10" t="str">
        <x:v>规范或网站补充；没有直接飞书Review记录，不擅自设颜色层级。</x:v>
      </x:c>
    </x:row>
    <x:row r="28" ht="63" customHeight="1">
      <x:c r="A28" s="10" t="str">
        <x:v>UI23</x:v>
      </x:c>
      <x:c r="B28" s="10" t="str">
        <x:v>状态反馈</x:v>
      </x:c>
      <x:c r="C28" s="10" t="str">
        <x:v>默认、加载、空态与错误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AF28&lt;&gt;"已确认","依据待确认",IF('本批提测'!$B$6&lt;&gt;"已就绪","批次未就绪",IF(OR(H28&lt;&gt;'本批提测'!$B$8,G28="",G28="未执行"),"未执行",IF(V28&lt;&gt;'本批提测'!$B$18,"基线已变，需复测",IF(LEN(TRIM(U28))=0,"交付未映射",IF(AND(OR(G28="通过",G28="失败"),LEN(TRIM(M28))=0),"缺少证据",IF(AND(OR(G28="通过",G28="失败"),LEN(TRIM(O28))=0),"缺少执行人",IF(OR(G28="通过",G28="失败",G28="受阻",G28="依据待确认"),G28,"结果待填写")))))))))))</x:f>
        <x:v>未纳入本批</x:v>
      </x:c>
      <x:c r="J28" s="10" t="str">
        <x:v>按同一页面检查有数据、无数据、无匹配结果、请求失败和加载。</x:v>
      </x:c>
      <x:c r="K28" s="10" t="str"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L28" s="10" t="str">
        <x:v>SPEC §7.1—7.3 已核对；场景触发矩阵为测试建议</x:v>
      </x:c>
      <x:c r="M28" s="86"/>
      <x:c r="N28" s="86"/>
      <x:c r="O28" s="86"/>
      <x:c r="P28" s="14" t="str">
        <x:v>不适用</x:v>
      </x:c>
      <x:c r="Q28" s="14" t="str">
        <x:v>不适用</x:v>
      </x:c>
      <x:c r="R28" s="14" t="str">
        <x:v>规范／检查建议</x:v>
      </x:c>
      <x:c r="S28" s="14" t="str">
        <x:v>按本批分工</x:v>
      </x:c>
      <x:c r="T28" s="10" t="str">
        <x:v>UI核对</x:v>
      </x:c>
      <x:c r="U28" s="86"/>
      <x:c r="V28" s="86"/>
      <x:c r="W28" s="10" t="str">
        <x:v>规范正文／适用条件</x:v>
      </x:c>
      <x:c r="X28" s="14"/>
      <x:c r="Y28" s="14"/>
      <x:c r="Z28" s="14"/>
      <x:c r="AA28" s="14"/>
      <x:c r="AB28" s="14"/>
      <x:c r="AC28" s="14"/>
      <x:c r="AD28" s="10" t="str">
        <x:v>按请求范围选择整页／局部／按钮加载及错误承载，覆盖进行中→完成／失败的状态转换。</x:v>
      </x:c>
      <x:c r="AE28" s="10" t="str">
        <x:v>用批准的可控慢／失败响应观察Skeleton、Spin、按钮防重复及进度；403/404/500整页与局部错误分开，不靠截图模拟通过。</x:v>
      </x:c>
      <x:c r="AF28" s="10" t="str">
        <x:f>IF(D28="否","不适用",IF(D28&lt;&gt;"是","未纳入本批",IF(OR(LEN(TRIM('本批提测'!$B$10))=0,LEN(TRIM('本批提测'!$B$11))=0,'本批提测'!$B$12&lt;&gt;"已确认",F28&lt;&gt;"已确认",'本批提测'!$H$57&lt;&gt;"已确认",AND('本批提测'!$H$40&lt;&gt;"已确认",'本批提测'!$H$40&lt;&gt;"已记录后置")),"待确认","已确认")))</x:f>
        <x:v>未纳入本批</x:v>
      </x:c>
      <x:c r="AG28" s="10" t="str">
        <x:v>保留／按批次选取</x:v>
      </x:c>
      <x:c r="AH28" s="10" t="str">
        <x:v>设计复核后保留；关联DEC18、DEC01确认后方可执行判定。</x:v>
      </x:c>
      <x:c r="AI28" s="10" t="str">
        <x:v>通用规范/网站补充，按本批实际组件和批准基线执行，不列入五色来源分组。</x:v>
      </x:c>
      <x:c r="AJ28" s="10"/>
      <x:c r="AK28" s="10" t="str">
        <x:v>批准通用规范、设备/容差及组件采用方案；网站字段映射按原关联决策。</x:v>
      </x:c>
      <x:c r="AL28" s="10" t="str">
        <x:v>规范或网站补充；没有直接飞书Review记录，不擅自设颜色层级。</x:v>
      </x:c>
    </x:row>
    <x:row r="29" ht="63" customHeight="1">
      <x:c r="A29" s="10" t="str">
        <x:v>UI24</x:v>
      </x:c>
      <x:c r="B29" s="10" t="str">
        <x:v>响应式</x:v>
      </x:c>
      <x:c r="C29" s="10" t="str">
        <x:v>本批支持视口</x:v>
      </x:c>
      <x:c r="D29" s="85" t="str">
        <x:v>待选择</x:v>
      </x:c>
      <x:c r="E29" s="85" t="str">
        <x:v>否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AF29&lt;&gt;"已确认","依据待确认",IF('本批提测'!$B$6&lt;&gt;"已就绪","批次未就绪",IF(OR(H29&lt;&gt;'本批提测'!$B$8,G29="",G29="未执行"),"未执行",IF(V29&lt;&gt;'本批提测'!$B$18,"基线已变，需复测",IF(LEN(TRIM(U29))=0,"交付未映射",IF(AND(OR(G29="通过",G29="失败"),LEN(TRIM(M29))=0),"缺少证据",IF(AND(OR(G29="通过",G29="失败"),LEN(TRIM(O29))=0),"缺少执行人",IF(OR(G29="通过",G29="失败",G29="受阻",G29="依据待确认"),G29,"结果待填写")))))))))))</x:f>
        <x:v>未纳入本批</x:v>
      </x:c>
      <x:c r="J29" s="10" t="str">
        <x:v>按本批支持范围检查桌面基准及边界；支持平板或手机时补对应断点。</x:v>
      </x:c>
      <x:c r="K29" s="10" t="str">
        <x:v>桌面设计基准 1440px、范围 ≥1280px；平板 768–1279px；手机 &lt;768px；支持范围需本批确认，无关键操作被截断。</x:v>
      </x:c>
      <x:c r="L29" s="10" t="str">
        <x:v>SPEC §4.5；移动支持按项目确认</x:v>
      </x:c>
      <x:c r="M29" s="86"/>
      <x:c r="N29" s="86"/>
      <x:c r="O29" s="86"/>
      <x:c r="P29" s="14" t="str">
        <x:v>不适用</x:v>
      </x:c>
      <x:c r="Q29" s="14" t="str">
        <x:v>不适用</x:v>
      </x:c>
      <x:c r="R29" s="14" t="str">
        <x:v>规范／检查建议</x:v>
      </x:c>
      <x:c r="S29" s="14" t="str">
        <x:v>按本批分工</x:v>
      </x:c>
      <x:c r="T29" s="10" t="str">
        <x:v>UI核对</x:v>
      </x:c>
      <x:c r="U29" s="86"/>
      <x:c r="V29" s="86"/>
      <x:c r="W29" s="10" t="str">
        <x:v>规范正文／适用条件</x:v>
      </x:c>
      <x:c r="X29" s="14"/>
      <x:c r="Y29" s="14"/>
      <x:c r="Z29" s="14"/>
      <x:c r="AA29" s="14"/>
      <x:c r="AB29" s="14"/>
      <x:c r="AC29" s="14"/>
      <x:c r="AD29" s="10" t="str">
        <x:v>响应式用断点附近验证布局变化，设备范围先确认；不把存在规范断点当已承诺全端交付。</x:v>
      </x:c>
      <x:c r="AE29" s="10" t="str">
        <x:v>依据DEC18支持范围选1280、768附近及1440设计视口，固定缩放；检查内容和操作可用，不自行新增设备覆盖或截图容差。</x:v>
      </x:c>
      <x:c r="AF29" s="10" t="str">
        <x:f>IF(D29="否","不适用",IF(D29&lt;&gt;"是","未纳入本批",IF(OR(LEN(TRIM('本批提测'!$B$10))=0,LEN(TRIM('本批提测'!$B$11))=0,'本批提测'!$B$12&lt;&gt;"已确认",F29&lt;&gt;"已确认",'本批提测'!$H$57&lt;&gt;"已确认",AND('本批提测'!$H$40&lt;&gt;"已确认",'本批提测'!$H$40&lt;&gt;"已记录后置")),"待确认","已确认")))</x:f>
        <x:v>未纳入本批</x:v>
      </x:c>
      <x:c r="AG29" s="10" t="str">
        <x:v>保留／按批次选取</x:v>
      </x:c>
      <x:c r="AH29" s="10" t="str">
        <x:v>设计复核后保留；关联DEC18、DEC01确认后方可执行判定。</x:v>
      </x:c>
      <x:c r="AI29" s="10" t="str">
        <x:v>通用规范/网站补充，按本批实际组件和批准基线执行，不列入五色来源分组。</x:v>
      </x:c>
      <x:c r="AJ29" s="10"/>
      <x:c r="AK29" s="10" t="str">
        <x:v>批准通用规范、设备/容差及组件采用方案；网站字段映射按原关联决策。</x:v>
      </x:c>
      <x:c r="AL29" s="10" t="str">
        <x:v>规范或网站补充；没有直接飞书Review记录，不擅自设颜色层级。</x:v>
      </x:c>
    </x:row>
    <x:row r="30" ht="63" customHeight="1">
      <x:c r="A30" s="10" t="str">
        <x:v>UI25</x:v>
      </x:c>
      <x:c r="B30" s="10" t="str">
        <x:v>表单交互</x:v>
      </x:c>
      <x:c r="C30" s="10" t="str">
        <x:v>可操作的控件状态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AF30&lt;&gt;"已确认","依据待确认",IF('本批提测'!$B$6&lt;&gt;"已就绪","批次未就绪",IF(OR(H30&lt;&gt;'本批提测'!$B$8,G30="",G30="未执行"),"未执行",IF(V30&lt;&gt;'本批提测'!$B$18,"基线已变，需复测",IF(LEN(TRIM(U30))=0,"交付未映射",IF(AND(OR(G30="通过",G30="失败"),LEN(TRIM(M30))=0),"缺少证据",IF(AND(OR(G30="通过",G30="失败"),LEN(TRIM(O30))=0),"缺少执行人",IF(OR(G30="通过",G30="失败",G30="受阻",G30="依据待确认"),G30,"结果待填写")))))))))))</x:f>
        <x:v>未纳入本批</x:v>
      </x:c>
      <x:c r="J30" s="10" t="str">
        <x:v>检查必填、错误、禁用、加载及键盘焦点等本批适用状态。</x:v>
      </x:c>
      <x:c r="K30" s="10" t="str">
        <x:v>状态与可操作性一致；错误对应字段；关键按钮可见、可达；具体样式采用确认基线。</x:v>
      </x:c>
      <x:c r="L30" s="10" t="str">
        <x:v>SPEC §5.7、§7；操作矩阵为建议补充</x:v>
      </x:c>
      <x:c r="M30" s="86"/>
      <x:c r="N30" s="86"/>
      <x:c r="O30" s="86"/>
      <x:c r="P30" s="14" t="str">
        <x:v>不适用</x:v>
      </x:c>
      <x:c r="Q30" s="14" t="str">
        <x:v>不适用</x:v>
      </x:c>
      <x:c r="R30" s="14" t="str">
        <x:v>规范／检查建议</x:v>
      </x:c>
      <x:c r="S30" s="14" t="str">
        <x:v>按本批分工</x:v>
      </x:c>
      <x:c r="T30" s="10" t="str">
        <x:v>UI核对</x:v>
      </x:c>
      <x:c r="U30" s="86"/>
      <x:c r="V30" s="86"/>
      <x:c r="W30" s="10" t="str">
        <x:v>规范正文／适用条件</x:v>
      </x:c>
      <x:c r="X30" s="14"/>
      <x:c r="Y30" s="14"/>
      <x:c r="Z30" s="14"/>
      <x:c r="AA30" s="14"/>
      <x:c r="AB30" s="14"/>
      <x:c r="AC30" s="14"/>
      <x:c r="AD30" s="10" t="str">
        <x:v>表单以空／合法／非法、禁用／加载及键盘聚焦状态检查，关联业务必填规则和通用组件。</x:v>
      </x:c>
      <x:c r="AE30" s="10" t="str">
        <x:v>每次只触发一个已定义字段错误，核对提示、焦点和操作状态；引用SM09/10/19等证据，未定义格式不自行加校验。</x:v>
      </x:c>
      <x:c r="AF30" s="10" t="str">
        <x:f>IF(D30="否","不适用",IF(D30&lt;&gt;"是","未纳入本批",IF(OR(LEN(TRIM('本批提测'!$B$10))=0,LEN(TRIM('本批提测'!$B$11))=0,'本批提测'!$B$12&lt;&gt;"已确认",F30&lt;&gt;"已确认",'本批提测'!$H$57&lt;&gt;"已确认",AND('本批提测'!$H$40&lt;&gt;"已确认",'本批提测'!$H$40&lt;&gt;"已记录后置")),"待确认","已确认")))</x:f>
        <x:v>未纳入本批</x:v>
      </x:c>
      <x:c r="AG30" s="10" t="str">
        <x:v>保留／按批次选取</x:v>
      </x:c>
      <x:c r="AH30" s="10" t="str">
        <x:v>设计复核后保留；关联DEC18、DEC01确认后方可执行判定。</x:v>
      </x:c>
      <x:c r="AI30" s="10" t="str">
        <x:v>通用规范/网站补充，按本批实际组件和批准基线执行，不列入五色来源分组。</x:v>
      </x:c>
      <x:c r="AJ30" s="10"/>
      <x:c r="AK30" s="10" t="str">
        <x:v>批准通用规范、设备/容差及组件采用方案；网站字段映射按原关联决策。</x:v>
      </x:c>
      <x:c r="AL30" s="10" t="str">
        <x:v>规范或网站补充；没有直接飞书Review记录，不擅自设颜色层级。</x:v>
      </x:c>
    </x:row>
    <x:row r="31" ht="129" customHeight="1">
      <x:c r="A31" s="10" t="str">
        <x:v>UI26</x:v>
      </x:c>
      <x:c r="B31" s="10" t="str">
        <x:v>长内容</x:v>
      </x:c>
      <x:c r="C31" s="10" t="str">
        <x:v>长文本与内容滚动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AF31&lt;&gt;"已确认","依据待确认",IF('本批提测'!$B$6&lt;&gt;"已就绪","批次未就绪",IF(OR(H31&lt;&gt;'本批提测'!$B$8,G31="",G31="未执行"),"未执行",IF(V31&lt;&gt;'本批提测'!$B$18,"基线已变，需复测",IF(LEN(TRIM(U31))=0,"交付未映射",IF(AND(OR(G31="通过",G31="失败"),LEN(TRIM(M31))=0),"缺少证据",IF(AND(OR(G31="通过",G31="失败"),LEN(TRIM(O31))=0),"缺少执行人",IF(OR(G31="通过",G31="失败",G31="受阻",G31="依据待确认"),G31,"结果待填写")))))))))))</x:f>
        <x:v>未纳入本批</x:v>
      </x:c>
      <x:c r="J31" s="10" t="str">
        <x:v>网站长文本场景补货物类型说明、Zone备注、航线区域/Zone详情普通字段与关联成员展示；编辑textarea的0/500计数属输入提示，详情普通字段3行、备注/描述2行及列表1行分别取证。
原需求验收分支（按映射后入口执行）：
分别准备表格长字段、列表标题、详情普通字段值及备注/描述；核对截断、Tooltip、折叠/展开和内容滚动，完整内容可读且关键操作不遮挡。</x:v>
      </x:c>
      <x:c r="K31" s="10" t="str">
        <x:v>原场景行数/展开规则保留；计数器不替代截断或服务端限长验证。详情内容滚动及关闭、成员操作不遮挡，先定位实际容器。
原需求预期（仍须保留）：
表格单元格及列表标题类字段单行省略，hover Tooltip显示完整；详情普通字段值最多3行，超出折叠并能展开。备注/描述类字段最多2行，超出折叠，不能一概套详情3行。所有本批适用展示类型分别留证，容器滚动时关键操作可达；仅在支持hover的端使用Tooltip。</x:v>
      </x:c>
      <x:c r="L31" s="10" t="str">
        <x:v>SPEC §9.4；REVIEW 第10、18项；长内容数据为测试建议
网站只读对照 WEB04、WEB09、WEB10，2026-10-12；具体URL及未验证范围见「网站详情对照」。当前实现不替代批准需求。</x:v>
      </x:c>
      <x:c r="M31" s="86"/>
      <x:c r="N31" s="86"/>
      <x:c r="O31" s="86"/>
      <x:c r="P31" s="14" t="str">
        <x:v>不适用</x:v>
      </x:c>
      <x:c r="Q31" s="14" t="str">
        <x:v>不适用</x:v>
      </x:c>
      <x:c r="R31" s="14" t="str">
        <x:v>规范／检查建议</x:v>
      </x:c>
      <x:c r="S31" s="14" t="str">
        <x:v>按本批分工</x:v>
      </x:c>
      <x:c r="T31" s="10" t="str">
        <x:v>UI核对</x:v>
      </x:c>
      <x:c r="U31" s="86"/>
      <x:c r="V31" s="86"/>
      <x:c r="W31" s="10" t="str">
        <x:v>规范正文／适用条件</x:v>
      </x:c>
      <x:c r="X31" s="14"/>
      <x:c r="Y31" s="14"/>
      <x:c r="Z31" s="14"/>
      <x:c r="AA31" s="14"/>
      <x:c r="AB31" s="14"/>
      <x:c r="AC31" s="14" t="str">
        <x:v>网站对照修订：补真实说明/备注/成员内容场景，不混输入长度与展示行数。</x:v>
      </x:c>
      <x:c r="AD31" s="10" t="str">
        <x:v>按字段展示场景分别核对1/2/3行上限及完整内容访问，不能用一条通用长文本规则代替不同容器。</x:v>
      </x:c>
      <x:c r="AE31" s="10" t="str">
        <x:v>分别留列表标题/表格单行、普通详情3行、备注描述2行的截断及展开证据；支持hover端测Tooltip，其他端按批准替代交互。
增加网站证据：记录group/resource、对象名称、主/子列表作用域及字段回显；写入/权限/持久化另取本批执行证据。</x:v>
      </x:c>
      <x:c r="AF31" s="10" t="str">
        <x:f>IF(D31="否","不适用",IF(D31&lt;&gt;"是","未纳入本批",IF(OR(LEN(TRIM('本批提测'!$B$10))=0,LEN(TRIM('本批提测'!$B$11))=0,'本批提测'!$B$12&lt;&gt;"已确认",F31&lt;&gt;"已确认",'本批提测'!$H$57&lt;&gt;"已确认",AND('本批提测'!$H$40&lt;&gt;"已确认",'本批提测'!$H$40&lt;&gt;"已记录后置")),"待确认","已确认")))</x:f>
        <x:v>未纳入本批</x:v>
      </x:c>
      <x:c r="AG31" s="10" t="str">
        <x:v>网站对照修订</x:v>
      </x:c>
      <x:c r="AH31" s="10" t="str">
        <x:v>补真实说明/备注/成员内容场景，不混输入长度与展示行数。</x:v>
      </x:c>
      <x:c r="AI31" s="10" t="str">
        <x:v>通用规范/网站补充，按本批实际组件和批准基线执行，不列入五色来源分组。</x:v>
      </x:c>
      <x:c r="AJ31" s="10"/>
      <x:c r="AK31" s="10" t="str">
        <x:v>批准通用规范、设备/容差及组件采用方案；网站字段映射按原关联决策。</x:v>
      </x:c>
      <x:c r="AL31" s="10" t="str">
        <x:v>规范或网站补充；没有直接飞书Review记录，不擅自设颜色层级。</x:v>
      </x:c>
    </x:row>
    <x:row r="32" ht="63" customHeight="1">
      <x:c r="A32" s="10" t="str">
        <x:v>UI27</x:v>
      </x:c>
      <x:c r="B32" s="10" t="str">
        <x:v>通用间距</x:v>
      </x:c>
      <x:c r="C32" s="10" t="str">
        <x:v>间距Token与页面留白</x:v>
      </x:c>
      <x:c r="D32" s="85" t="str">
        <x:v>待选择</x:v>
      </x:c>
      <x:c r="E32" s="85" t="str">
        <x:v>否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AF32&lt;&gt;"已确认","依据待确认",IF('本批提测'!$B$6&lt;&gt;"已就绪","批次未就绪",IF(OR(H32&lt;&gt;'本批提测'!$B$8,G32="",G32="未执行"),"未执行",IF(V32&lt;&gt;'本批提测'!$B$18,"基线已变，需复测",IF(LEN(TRIM(U32))=0,"交付未映射",IF(AND(OR(G32="通过",G32="失败"),LEN(TRIM(M32))=0),"缺少证据",IF(AND(OR(G32="通过",G32="失败"),LEN(TRIM(O32))=0),"缺少执行人",IF(OR(G32="通过",G32="失败",G32="受阻",G32="依据待确认"),G32,"结果待填写")))))))))))</x:f>
        <x:v>未纳入本批</x:v>
      </x:c>
      <x:c r="J32" s="10" t="str">
        <x:v>测量图标文字、表单、模块及页面内边距，并记录CSS像素。</x:v>
      </x:c>
      <x:c r="K32" s="10" t="str">
        <x:v>基础单位4px；Token4/8/16/24/32/48px；图标文字4px、页面内容及模块间距24px；组件专用值优先使用对应章节。</x:v>
      </x:c>
      <x:c r="L32" s="10" t="str">
        <x:v>SPEC §3.3；项目例外须确认</x:v>
      </x:c>
      <x:c r="M32" s="86"/>
      <x:c r="N32" s="86"/>
      <x:c r="O32" s="86"/>
      <x:c r="P32" s="14" t="str">
        <x:v>不适用</x:v>
      </x:c>
      <x:c r="Q32" s="14" t="str">
        <x:v>不适用</x:v>
      </x:c>
      <x:c r="R32" s="14" t="str">
        <x:v>规范／检查建议</x:v>
      </x:c>
      <x:c r="S32" s="14" t="str">
        <x:v>按本批分工</x:v>
      </x:c>
      <x:c r="T32" s="10" t="str">
        <x:v>UI核对</x:v>
      </x:c>
      <x:c r="U32" s="86"/>
      <x:c r="V32" s="86"/>
      <x:c r="W32" s="10" t="str">
        <x:v>规范正文／适用条件</x:v>
      </x:c>
      <x:c r="X32" s="14"/>
      <x:c r="Y32" s="14"/>
      <x:c r="Z32" s="14"/>
      <x:c r="AA32" s="14"/>
      <x:c r="AB32" s="14"/>
      <x:c r="AC32" s="14"/>
      <x:c r="AD32" s="10" t="str">
        <x:v>间距采用规范token与组件特例核对，区分页面级和控件级，避免全页一刀切。</x:v>
      </x:c>
      <x:c r="AE32" s="10" t="str">
        <x:v>在相同缩放下测页面Padding及组件间距；按4/8/16/24/32/48和明确组件例外对照，测量误差由DEC18确认。</x:v>
      </x:c>
      <x:c r="AF32" s="10" t="str">
        <x:f>IF(D32="否","不适用",IF(D32&lt;&gt;"是","未纳入本批",IF(OR(LEN(TRIM('本批提测'!$B$10))=0,LEN(TRIM('本批提测'!$B$11))=0,'本批提测'!$B$12&lt;&gt;"已确认",F32&lt;&gt;"已确认",'本批提测'!$H$57&lt;&gt;"已确认",AND('本批提测'!$H$40&lt;&gt;"已确认",'本批提测'!$H$40&lt;&gt;"已记录后置")),"待确认","已确认")))</x:f>
        <x:v>未纳入本批</x:v>
      </x:c>
      <x:c r="AG32" s="10" t="str">
        <x:v>保留／按批次选取</x:v>
      </x:c>
      <x:c r="AH32" s="10" t="str">
        <x:v>设计复核后保留；关联DEC18、DEC01确认后方可执行判定。</x:v>
      </x:c>
      <x:c r="AI32" s="10" t="str">
        <x:v>通用规范/网站补充，按本批实际组件和批准基线执行，不列入五色来源分组。</x:v>
      </x:c>
      <x:c r="AJ32" s="10"/>
      <x:c r="AK32" s="10" t="str">
        <x:v>批准通用规范、设备/容差及组件采用方案；网站字段映射按原关联决策。</x:v>
      </x:c>
      <x:c r="AL32" s="10" t="str">
        <x:v>规范或网站补充；没有直接飞书Review记录，不擅自设颜色层级。</x:v>
      </x:c>
    </x:row>
    <x:row r="33" ht="63" customHeight="1">
      <x:c r="A33" s="10" t="str">
        <x:v>UI28</x:v>
      </x:c>
      <x:c r="B33" s="10" t="str">
        <x:v>按钮</x:v>
      </x:c>
      <x:c r="C33" s="10" t="str">
        <x:v>主次、危险和状态语义</x:v>
      </x:c>
      <x:c r="D33" s="85" t="str">
        <x:v>待选择</x:v>
      </x:c>
      <x:c r="E33" s="85" t="str">
        <x:v>否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AF33&lt;&gt;"已确认","依据待确认",IF('本批提测'!$B$6&lt;&gt;"已就绪","批次未就绪",IF(OR(H33&lt;&gt;'本批提测'!$B$8,G33="",G33="未执行"),"未执行",IF(V33&lt;&gt;'本批提测'!$B$18,"基线已变，需复测",IF(LEN(TRIM(U33))=0,"交付未映射",IF(AND(OR(G33="通过",G33="失败"),LEN(TRIM(M33))=0),"缺少证据",IF(AND(OR(G33="通过",G33="失败"),LEN(TRIM(O33))=0),"缺少执行人",IF(OR(G33="通过",G33="失败",G33="受阻",G33="依据待确认"),G33,"结果待填写")))))))))))</x:f>
        <x:v>未纳入本批</x:v>
      </x:c>
      <x:c r="J33" s="10" t="str">
        <x:v>检查一个区域内主按钮数量、颜色和提交中重复点击。</x:v>
      </x:c>
      <x:c r="K33" s="10" t="str">
        <x:v>区域最多1主按钮；主色#046EFC、危险#E24B4A；表格行内文字按钮；实际交互状态沿用规范，提交中禁止重复触发。</x:v>
      </x:c>
      <x:c r="L33" s="10" t="str">
        <x:v>SPEC §5.1.1／§7.1；业务成功须读回</x:v>
      </x:c>
      <x:c r="M33" s="86"/>
      <x:c r="N33" s="86"/>
      <x:c r="O33" s="86"/>
      <x:c r="P33" s="14" t="str">
        <x:v>不适用</x:v>
      </x:c>
      <x:c r="Q33" s="14" t="str">
        <x:v>不适用</x:v>
      </x:c>
      <x:c r="R33" s="14" t="str">
        <x:v>规范／检查建议</x:v>
      </x:c>
      <x:c r="S33" s="14" t="str">
        <x:v>按本批分工</x:v>
      </x:c>
      <x:c r="T33" s="10" t="str">
        <x:v>UI核对</x:v>
      </x:c>
      <x:c r="U33" s="86"/>
      <x:c r="V33" s="86"/>
      <x:c r="W33" s="10" t="str">
        <x:v>规范正文／适用条件</x:v>
      </x:c>
      <x:c r="X33" s="14"/>
      <x:c r="Y33" s="14"/>
      <x:c r="Z33" s="14"/>
      <x:c r="AA33" s="14"/>
      <x:c r="AB33" s="14"/>
      <x:c r="AC33" s="14"/>
      <x:c r="AD33" s="10" t="str">
        <x:v>按钮按页面主任务和风险语义检查，再覆盖默认／hover／disabled／loading，兼顾可用行为。</x:v>
      </x:c>
      <x:c r="AE33" s="10" t="str">
        <x:v>核对主要操作数量及批准色值、危险操作语义；实际触发按钮防重复和禁用状态。不能只凭颜色判断业务动作成功。</x:v>
      </x:c>
      <x:c r="AF33" s="10" t="str">
        <x:f>IF(D33="否","不适用",IF(D33&lt;&gt;"是","未纳入本批",IF(OR(LEN(TRIM('本批提测'!$B$10))=0,LEN(TRIM('本批提测'!$B$11))=0,'本批提测'!$B$12&lt;&gt;"已确认",F33&lt;&gt;"已确认",'本批提测'!$H$57&lt;&gt;"已确认",AND('本批提测'!$H$40&lt;&gt;"已确认",'本批提测'!$H$40&lt;&gt;"已记录后置")),"待确认","已确认")))</x:f>
        <x:v>未纳入本批</x:v>
      </x:c>
      <x:c r="AG33" s="10" t="str">
        <x:v>保留／按批次选取</x:v>
      </x:c>
      <x:c r="AH33" s="10" t="str">
        <x:v>设计复核后保留；关联DEC18、DEC01确认后方可执行判定。</x:v>
      </x:c>
      <x:c r="AI33" s="10" t="str">
        <x:v>通用规范/网站补充，按本批实际组件和批准基线执行，不列入五色来源分组。</x:v>
      </x:c>
      <x:c r="AJ33" s="10"/>
      <x:c r="AK33" s="10" t="str">
        <x:v>批准通用规范、设备/容差及组件采用方案；网站字段映射按原关联决策。</x:v>
      </x:c>
      <x:c r="AL33" s="10" t="str">
        <x:v>规范或网站补充；没有直接飞书Review记录，不擅自设颜色层级。</x:v>
      </x:c>
    </x:row>
    <x:row r="34" ht="112.5" customHeight="1">
      <x:c r="A34" s="10" t="str">
        <x:v>UI29</x:v>
      </x:c>
      <x:c r="B34" s="10" t="str">
        <x:v>数据展示</x:v>
      </x:c>
      <x:c r="C34" s="10" t="str">
        <x:v>缺失值与真实零值</x:v>
      </x:c>
      <x:c r="D34" s="85" t="str">
        <x:v>待选择</x:v>
      </x:c>
      <x:c r="E34" s="85" t="str">
        <x:v>否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AF34&lt;&gt;"已确认","依据待确认",IF('本批提测'!$B$6&lt;&gt;"已就绪","批次未就绪",IF(OR(H34&lt;&gt;'本批提测'!$B$8,G34="",G34="未执行"),"未执行",IF(V34&lt;&gt;'本批提测'!$B$18,"基线已变，需复测",IF(LEN(TRIM(U34))=0,"交付未映射",IF(AND(OR(G34="通过",G34="失败"),LEN(TRIM(M34))=0),"缺少证据",IF(AND(OR(G34="通过",G34="失败"),LEN(TRIM(O34))=0),"缺少执行人",IF(OR(G34="通过",G34="失败",G34="受阻",G34="依据待确认"),G34,"结果待填写")))))))))))</x:f>
        <x:v>未纳入本批</x:v>
      </x:c>
      <x:c r="J34" s="10" t="str">
        <x:v>分别准备无值、真实0、金额、重量、件数、百分比和体积字段；核对小数位、千分位、符号/单位及同列格式，不改变原始计算值。</x:v>
      </x:c>
      <x:c r="K34" s="10" t="str">
        <x:v>无值用—，不能以0替代；真实0正常显示；金额口径见 DEC10，重量保留3位小数并带单位；件数整数与千分位。
规范数字类型另核：百分比保留2位小数并带%，体积保留4位小数并带单位；只检查本批实际展示字段，不增加业务计算输入精度约束。</x:v>
      </x:c>
      <x:c r="L34" s="10" t="str">
        <x:v>SPEC §9.1—9.2；REQ §6.2 服务组合列表</x:v>
      </x:c>
      <x:c r="M34" s="86"/>
      <x:c r="N34" s="86"/>
      <x:c r="O34" s="86"/>
      <x:c r="P34" s="14" t="str">
        <x:v>不适用</x:v>
      </x:c>
      <x:c r="Q34" s="14" t="str">
        <x:v>不适用</x:v>
      </x:c>
      <x:c r="R34" s="14" t="str">
        <x:v>规范／检查建议</x:v>
      </x:c>
      <x:c r="S34" s="14" t="str">
        <x:v>按本批分工</x:v>
      </x:c>
      <x:c r="T34" s="10" t="str">
        <x:v>UI核对</x:v>
      </x:c>
      <x:c r="U34" s="86"/>
      <x:c r="V34" s="86"/>
      <x:c r="W34" s="10" t="str">
        <x:v>规范正文／适用条件</x:v>
      </x:c>
      <x:c r="X34" s="14"/>
      <x:c r="Y34" s="14"/>
      <x:c r="Z34" s="14"/>
      <x:c r="AA34" s="14"/>
      <x:c r="AB34" s="14"/>
      <x:c r="AC34" s="14" t="str">
        <x:v>补百分比2位、体积4位及单位；展示精度与输入/计算精度分别判断。</x:v>
      </x:c>
      <x:c r="AD34" s="10" t="str">
        <x:v>将缺失值/真实零与数字展示格式分开核对；覆盖本批实际用到的每种数字类型，显示舍入不代表计算舍入。</x:v>
      </x:c>
      <x:c r="AE34" s="10" t="str">
        <x:v>逐项记录金额批准位数、重量3位、数量整数、百分比2位及体积4位，核对应符号/单位和原始值；无值不能变成0。</x:v>
      </x:c>
      <x:c r="AF34" s="10" t="str">
        <x:f>IF(D34="否","不适用",IF(D34&lt;&gt;"是","未纳入本批",IF(OR(LEN(TRIM('本批提测'!$B$10))=0,LEN(TRIM('本批提测'!$B$11))=0,'本批提测'!$B$12&lt;&gt;"已确认",F34&lt;&gt;"已确认",'本批提测'!$H$49&lt;&gt;"已确认",'本批提测'!$H$57&lt;&gt;"已确认",AND('本批提测'!$H$40&lt;&gt;"已确认",'本批提测'!$H$40&lt;&gt;"已记录后置")),"待确认","已确认")))</x:f>
        <x:v>未纳入本批</x:v>
      </x:c>
      <x:c r="AG34" s="10" t="str">
        <x:v>二次复核修正</x:v>
      </x:c>
      <x:c r="AH34" s="10" t="str">
        <x:v>补来源适用范围和量值；不把一类字段或局部Review扩展至全站。</x:v>
      </x:c>
      <x:c r="AI34" s="10" t="str">
        <x:v>通用规范/网站补充，按本批实际组件和批准基线执行，不列入五色来源分组。</x:v>
      </x:c>
      <x:c r="AJ34" s="10"/>
      <x:c r="AK34" s="10" t="str">
        <x:v>批准通用规范、设备/容差及组件采用方案；网站字段映射按原关联决策。</x:v>
      </x:c>
      <x:c r="AL34" s="10" t="str">
        <x:v>规范或网站补充；没有直接飞书Review记录，不擅自设颜色层级。</x:v>
      </x:c>
    </x:row>
    <x:row r="35" ht="63" customHeight="1">
      <x:c r="A35" s="10" t="str">
        <x:v>UI30</x:v>
      </x:c>
      <x:c r="B35" s="10" t="str">
        <x:v>时间展示</x:v>
      </x:c>
      <x:c r="C35" s="10" t="str">
        <x:v>日期、分钟与秒格式</x:v>
      </x:c>
      <x:c r="D35" s="85" t="str">
        <x:v>待选择</x:v>
      </x:c>
      <x:c r="E35" s="85" t="str">
        <x:v>否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AF35&lt;&gt;"已确认","依据待确认",IF('本批提测'!$B$6&lt;&gt;"已就绪","批次未就绪",IF(OR(H35&lt;&gt;'本批提测'!$B$8,G35="",G35="未执行"),"未执行",IF(V35&lt;&gt;'本批提测'!$B$18,"基线已变，需复测",IF(LEN(TRIM(U35))=0,"交付未映射",IF(AND(OR(G35="通过",G35="失败"),LEN(TRIM(M35))=0),"缺少证据",IF(AND(OR(G35="通过",G35="失败"),LEN(TRIM(O35))=0),"缺少执行人",IF(OR(G35="通过",G35="失败",G35="受阻",G35="依据待确认"),G35,"结果待填写")))))))))))</x:f>
        <x:v>未纳入本批</x:v>
      </x:c>
      <x:c r="J35" s="10" t="str">
        <x:v>检查列表和详情同一时间列，区分日期和需要秒的记录。</x:v>
      </x:c>
      <x:c r="K35" s="10" t="str">
        <x:v>默认YYYY-MM-DD HH:mm；需秒用HH:mm:ss；日期YYYY-MM-DD；不使用斜线和12小时制；同列格式一致；时区由业务基线确认。</x:v>
      </x:c>
      <x:c r="L35" s="10" t="str">
        <x:v>SPEC §9.3；时区不能凭截图猜测</x:v>
      </x:c>
      <x:c r="M35" s="86"/>
      <x:c r="N35" s="86"/>
      <x:c r="O35" s="86"/>
      <x:c r="P35" s="14" t="str">
        <x:v>不适用</x:v>
      </x:c>
      <x:c r="Q35" s="14" t="str">
        <x:v>不适用</x:v>
      </x:c>
      <x:c r="R35" s="14" t="str">
        <x:v>规范／检查建议</x:v>
      </x:c>
      <x:c r="S35" s="14" t="str">
        <x:v>按本批分工</x:v>
      </x:c>
      <x:c r="T35" s="10" t="str">
        <x:v>UI核对</x:v>
      </x:c>
      <x:c r="U35" s="86"/>
      <x:c r="V35" s="86"/>
      <x:c r="W35" s="10" t="str">
        <x:v>规范正文／适用条件</x:v>
      </x:c>
      <x:c r="X35" s="14"/>
      <x:c r="Y35" s="14"/>
      <x:c r="Z35" s="14"/>
      <x:c r="AA35" s="14"/>
      <x:c r="AB35" s="14"/>
      <x:c r="AC35" s="14"/>
      <x:c r="AD35" s="10" t="str">
        <x:v>日期格式与时间精度按字段语义检查；历史秒级要求是业务规则，不能被一般分钟格式抹掉。</x:v>
      </x:c>
      <x:c r="AE35" s="10" t="str">
        <x:v>对照日期、普通时间、OMS下单秒级字段及必要时区；使用YYYY-MM-DD格式，计算日历口径另按DEC14/19确认。</x:v>
      </x:c>
      <x:c r="AF35" s="10" t="str">
        <x:f>IF(D35="否","不适用",IF(D35&lt;&gt;"是","未纳入本批",IF(OR(LEN(TRIM('本批提测'!$B$10))=0,LEN(TRIM('本批提测'!$B$11))=0,'本批提测'!$B$12&lt;&gt;"已确认",F35&lt;&gt;"已确认",'本批提测'!$H$57&lt;&gt;"已确认",AND('本批提测'!$H$40&lt;&gt;"已确认",'本批提测'!$H$40&lt;&gt;"已记录后置")),"待确认","已确认")))</x:f>
        <x:v>未纳入本批</x:v>
      </x:c>
      <x:c r="AG35" s="10" t="str">
        <x:v>保留／按批次选取</x:v>
      </x:c>
      <x:c r="AH35" s="10" t="str">
        <x:v>设计复核后保留；关联DEC18、DEC01确认后方可执行判定。</x:v>
      </x:c>
      <x:c r="AI35" s="10" t="str">
        <x:v>通用规范/网站补充，按本批实际组件和批准基线执行，不列入五色来源分组。</x:v>
      </x:c>
      <x:c r="AJ35" s="10"/>
      <x:c r="AK35" s="10" t="str">
        <x:v>批准通用规范、设备/容差及组件采用方案；网站字段映射按原关联决策。</x:v>
      </x:c>
      <x:c r="AL35" s="10" t="str">
        <x:v>规范或网站补充；没有直接飞书Review记录，不擅自设颜色层级。</x:v>
      </x:c>
    </x:row>
    <x:row r="36" ht="63" customHeight="1">
      <x:c r="A36" s="10" t="str">
        <x:v>UI31</x:v>
      </x:c>
      <x:c r="B36" s="10" t="str">
        <x:v>表单布局</x:v>
      </x:c>
      <x:c r="C36" s="10" t="str">
        <x:v>字段上下排与宽度</x:v>
      </x:c>
      <x:c r="D36" s="85" t="str">
        <x:v>待选择</x:v>
      </x:c>
      <x:c r="E36" s="85" t="str">
        <x:v>否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AF36&lt;&gt;"已确认","依据待确认",IF('本批提测'!$B$6&lt;&gt;"已就绪","批次未就绪",IF(OR(H36&lt;&gt;'本批提测'!$B$8,G36="",G36="未执行"),"未执行",IF(V36&lt;&gt;'本批提测'!$B$18,"基线已变，需复测",IF(LEN(TRIM(U36))=0,"交付未映射",IF(AND(OR(G36="通过",G36="失败"),LEN(TRIM(M36))=0),"缺少证据",IF(AND(OR(G36="通过",G36="失败"),LEN(TRIM(O36))=0),"缺少执行人",IF(OR(G36="通过",G36="失败",G36="受阻",G36="依据待确认"),G36,"结果待填写")))))))))))</x:f>
        <x:v>未纳入本批</x:v>
      </x:c>
      <x:c r="J36" s="10" t="str">
        <x:v>在确认视口检查新增／编辑表单及双列表单。</x:v>
      </x:c>
      <x:c r="K36" s="10" t="str">
        <x:v>字段名在上、输入框在下；表单区域最大720px；字段名到输入框8px，表单项24px；≥1440px双列内部仍上下排，列间24px，长字段可跨列。</x:v>
      </x:c>
      <x:c r="L36" s="10" t="str">
        <x:v>SPEC §5.7；仅适用所选表单模板</x:v>
      </x:c>
      <x:c r="M36" s="86"/>
      <x:c r="N36" s="86"/>
      <x:c r="O36" s="86"/>
      <x:c r="P36" s="14" t="str">
        <x:v>不适用</x:v>
      </x:c>
      <x:c r="Q36" s="14" t="str">
        <x:v>不适用</x:v>
      </x:c>
      <x:c r="R36" s="14" t="str">
        <x:v>规范／检查建议</x:v>
      </x:c>
      <x:c r="S36" s="14" t="str">
        <x:v>按本批分工</x:v>
      </x:c>
      <x:c r="T36" s="10" t="str">
        <x:v>UI核对</x:v>
      </x:c>
      <x:c r="U36" s="86"/>
      <x:c r="V36" s="86"/>
      <x:c r="W36" s="10" t="str">
        <x:v>规范正文／适用条件</x:v>
      </x:c>
      <x:c r="X36" s="14"/>
      <x:c r="Y36" s="14"/>
      <x:c r="Z36" s="14"/>
      <x:c r="AA36" s="14"/>
      <x:c r="AB36" s="14"/>
      <x:c r="AC36" s="14"/>
      <x:c r="AD36" s="10" t="str">
        <x:v>表单布局按宽度和单／双列条件验证，关注字段顺序与错误提示后布局，避免只测空表单。</x:v>
      </x:c>
      <x:c r="AE36" s="10" t="str">
        <x:v>按批准视口核对label、最大宽720、8／24间距及≥1440双列条件；填长内容／报错后复查，不适用的复杂页面按专项稿。</x:v>
      </x:c>
      <x:c r="AF36" s="10" t="str">
        <x:f>IF(D36="否","不适用",IF(D36&lt;&gt;"是","未纳入本批",IF(OR(LEN(TRIM('本批提测'!$B$10))=0,LEN(TRIM('本批提测'!$B$11))=0,'本批提测'!$B$12&lt;&gt;"已确认",F36&lt;&gt;"已确认",'本批提测'!$H$57&lt;&gt;"已确认",AND('本批提测'!$H$40&lt;&gt;"已确认",'本批提测'!$H$40&lt;&gt;"已记录后置")),"待确认","已确认")))</x:f>
        <x:v>未纳入本批</x:v>
      </x:c>
      <x:c r="AG36" s="10" t="str">
        <x:v>保留／按批次选取</x:v>
      </x:c>
      <x:c r="AH36" s="10" t="str">
        <x:v>设计复核后保留；关联DEC18、DEC01确认后方可执行判定。</x:v>
      </x:c>
      <x:c r="AI36" s="10" t="str">
        <x:v>通用规范/网站补充，按本批实际组件和批准基线执行，不列入五色来源分组。</x:v>
      </x:c>
      <x:c r="AJ36" s="10"/>
      <x:c r="AK36" s="10" t="str">
        <x:v>批准通用规范、设备/容差及组件采用方案；网站字段映射按原关联决策。</x:v>
      </x:c>
      <x:c r="AL36" s="10" t="str">
        <x:v>规范或网站补充；没有直接飞书Review记录，不擅自设颜色层级。</x:v>
      </x:c>
    </x:row>
    <x:row r="37" ht="63" customHeight="1">
      <x:c r="A37" s="10" t="str">
        <x:v>UI32</x:v>
      </x:c>
      <x:c r="B37" s="10" t="str">
        <x:v>比对方法</x:v>
      </x:c>
      <x:c r="C37" s="10" t="str">
        <x:v>可复现的UI证据</x:v>
      </x:c>
      <x:c r="D37" s="85" t="str">
        <x:v>待选择</x:v>
      </x:c>
      <x:c r="E37" s="85" t="str">
        <x:v>否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AF37&lt;&gt;"已确认","依据待确认",IF('本批提测'!$B$6&lt;&gt;"已就绪","批次未就绪",IF(OR(H37&lt;&gt;'本批提测'!$B$8,G37="",G37="未执行"),"未执行",IF(V37&lt;&gt;'本批提测'!$B$18,"基线已变，需复测",IF(LEN(TRIM(U37))=0,"交付未映射",IF(AND(OR(G37="通过",G37="失败"),LEN(TRIM(M37))=0),"缺少证据",IF(AND(OR(G37="通过",G37="失败"),LEN(TRIM(O37))=0),"缺少执行人",IF(OR(G37="通过",G37="失败",G37="受阻",G37="依据待确认"),G37,"结果待填写")))))))))))</x:f>
        <x:v>未纳入本批</x:v>
      </x:c>
      <x:c r="J37" s="10" t="str">
        <x:v>同URL、账号角色、数据、视口、缩放、字体和状态截图；记录规范／设计版本；必要时读取computed style。</x:v>
      </x:c>
      <x:c r="K37" s="10" t="str">
        <x:v>证据能复现；动态时间等仅按批准遮罩；逐项量值和交互判定。未批准像素容差／截图差异阈值时，不自行以像素相似度作为提测门槛。</x:v>
      </x:c>
      <x:c r="L37" s="10" t="str">
        <x:v>测试方法建议；规范无统一整页拟合百分比，见 DEC18</x:v>
      </x:c>
      <x:c r="M37" s="86"/>
      <x:c r="N37" s="86"/>
      <x:c r="O37" s="86"/>
      <x:c r="P37" s="14" t="str">
        <x:v>不适用</x:v>
      </x:c>
      <x:c r="Q37" s="14" t="str">
        <x:v>不适用</x:v>
      </x:c>
      <x:c r="R37" s="14" t="str">
        <x:v>规范／检查建议</x:v>
      </x:c>
      <x:c r="S37" s="14" t="str">
        <x:v>按本批分工</x:v>
      </x:c>
      <x:c r="T37" s="10" t="str">
        <x:v>UI核对</x:v>
      </x:c>
      <x:c r="U37" s="86"/>
      <x:c r="V37" s="86"/>
      <x:c r="W37" s="10" t="str">
        <x:v>测试方法建议</x:v>
      </x:c>
      <x:c r="X37" s="14"/>
      <x:c r="Y37" s="14"/>
      <x:c r="Z37" s="14"/>
      <x:c r="AA37" s="14"/>
      <x:c r="AB37" s="14"/>
      <x:c r="AC37" s="14"/>
      <x:c r="AD37" s="10" t="str">
        <x:v>截图对比需可重复条件及批准容差；逐项符合、依据确认覆盖率、未完成状态分别报告，避免未知项被过滤造成虚高。</x:v>
      </x:c>
      <x:c r="AE37" s="10" t="str">
        <x:v>固定Build、基线、视口、缩放、数据／状态；按批准遮罩。已确认且未执行／受阻仍留符合度分母，未确认单列并计确认覆盖率；口径阈值DEC18。</x:v>
      </x:c>
      <x:c r="AF37" s="10" t="str">
        <x:f>IF(D37="否","不适用",IF(D37&lt;&gt;"是","未纳入本批",IF(OR(LEN(TRIM('本批提测'!$B$10))=0,LEN(TRIM('本批提测'!$B$11))=0,'本批提测'!$B$12&lt;&gt;"已确认",F37&lt;&gt;"已确认",'本批提测'!$H$57&lt;&gt;"已确认",AND('本批提测'!$H$40&lt;&gt;"已确认",'本批提测'!$H$40&lt;&gt;"已记录后置")),"待确认","已确认")))</x:f>
        <x:v>未纳入本批</x:v>
      </x:c>
      <x:c r="AG37" s="10" t="str">
        <x:v>保留／按批次选取</x:v>
      </x:c>
      <x:c r="AH37" s="10" t="str">
        <x:v>设计复核后保留；关联DEC18、DEC01确认后方可执行判定。</x:v>
      </x:c>
      <x:c r="AI37" s="10" t="str">
        <x:v>通用规范/网站补充，按本批实际组件和批准基线执行，不列入五色来源分组。</x:v>
      </x:c>
      <x:c r="AJ37" s="10"/>
      <x:c r="AK37" s="10" t="str">
        <x:v>批准通用规范、设备/容差及组件采用方案；网站字段映射按原关联决策。</x:v>
      </x:c>
      <x:c r="AL37" s="10" t="str">
        <x:v>规范或网站补充；没有直接飞书Review记录，不擅自设颜色层级。</x:v>
      </x:c>
    </x:row>
    <x:row r="38" ht="88.5" customHeight="1">
      <x:c r="A38" s="10" t="str">
        <x:v>UI33</x:v>
      </x:c>
      <x:c r="B38" s="10" t="str">
        <x:v>页签Tabs</x:v>
      </x:c>
      <x:c r="C38" s="10" t="str">
        <x:v>适用范围、结构与密度</x:v>
      </x:c>
      <x:c r="D38" s="85" t="str">
        <x:v>待选择</x:v>
      </x:c>
      <x:c r="E38" s="85" t="str">
        <x:v>否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AF38&lt;&gt;"已确认","依据待确认",IF('本批提测'!$B$6&lt;&gt;"已就绪","批次未就绪",IF(OR(H38&lt;&gt;'本批提测'!$B$8,G38="",G38="未执行"),"未执行",IF(V38&lt;&gt;'本批提测'!$B$18,"基线已变，需复测",IF(LEN(TRIM(U38))=0,"交付未映射",IF(AND(OR(G38="通过",G38="失败"),LEN(TRIM(M38))=0),"缺少证据",IF(AND(OR(G38="通过",G38="失败"),LEN(TRIM(O38))=0),"缺少执行人",IF(OR(G38="通过",G38="失败",G38="受阻",G38="依据待确认"),G38,"结果待填写")))))))))))</x:f>
        <x:v>未纳入本批</x:v>
      </x:c>
      <x:c r="J38" s="10" t="str">
        <x:v>仅页面采用Tabs时，核对同级视图、数量、页头／列表变体、hover与选中态；核对Review基础配置层级方案。</x:v>
      </x:c>
      <x:c r="K38" s="10" t="str"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L38" s="10" t="str">
        <x:v>SPEC V1.2 §5.17；REVIEW第1项采纳见DEC01；密度与触达矛盾见DEC18</x:v>
      </x:c>
      <x:c r="M38" s="86"/>
      <x:c r="N38" s="86"/>
      <x:c r="O38" s="86"/>
      <x:c r="P38" s="14" t="str">
        <x:v>不适用</x:v>
      </x:c>
      <x:c r="Q38" s="14" t="str">
        <x:v>不适用</x:v>
      </x:c>
      <x:c r="R38" s="14" t="str">
        <x:v>规范／检查建议</x:v>
      </x:c>
      <x:c r="S38" s="14" t="str">
        <x:v>按本批分工</x:v>
      </x:c>
      <x:c r="T38" s="10" t="str">
        <x:v>UI核对</x:v>
      </x:c>
      <x:c r="U38" s="86"/>
      <x:c r="V38" s="86"/>
      <x:c r="W38" s="10" t="str">
        <x:v>规范正文／适用条件</x:v>
      </x:c>
      <x:c r="X38" s="14"/>
      <x:c r="Y38" s="14"/>
      <x:c r="Z38" s="14"/>
      <x:c r="AA38" s="14"/>
      <x:c r="AB38" s="14"/>
      <x:c r="AC38" s="14"/>
      <x:c r="AD38" s="10" t="str">
        <x:v>Tabs以同层同上下文选择验证结构，再测默认／选中样式；父子承载依专项稿，避免嵌套误用。</x:v>
      </x:c>
      <x:c r="AE38" s="10" t="str">
        <x:v>核对数量、页头48px／列表40px等规范值；40px与触达44px冲突经DEC18。基础配置父子结构先DEC01，不先行统一改布局。</x:v>
      </x:c>
      <x:c r="AF38" s="10" t="str">
        <x:f>IF(D38="否","不适用",IF(D38&lt;&gt;"是","未纳入本批",IF(OR(LEN(TRIM('本批提测'!$B$10))=0,LEN(TRIM('本批提测'!$B$11))=0,'本批提测'!$B$12&lt;&gt;"已确认",F38&lt;&gt;"已确认",'本批提测'!$H$57&lt;&gt;"已确认",AND('本批提测'!$H$40&lt;&gt;"已确认",'本批提测'!$H$40&lt;&gt;"已记录后置")),"待确认","已确认")))</x:f>
        <x:v>未纳入本批</x:v>
      </x:c>
      <x:c r="AG38" s="10" t="str">
        <x:v>保留／按批次选取</x:v>
      </x:c>
      <x:c r="AH38" s="10" t="str">
        <x:v>设计复核后保留；关联DEC18、DEC01确认后方可执行判定。</x:v>
      </x:c>
      <x:c r="AI38" s="10" t="str">
        <x:v>通用规范/网站补充，按本批实际组件和批准基线执行，不列入五色来源分组。</x:v>
      </x:c>
      <x:c r="AJ38" s="10"/>
      <x:c r="AK38" s="10" t="str">
        <x:v>批准通用规范、设备/容差及组件采用方案；网站字段映射按原关联决策。</x:v>
      </x:c>
      <x:c r="AL38" s="10" t="str">
        <x:v>规范或网站补充；没有直接飞书Review记录，不擅自设颜色层级。</x:v>
      </x:c>
    </x:row>
    <x:row r="39" ht="75" customHeight="1">
      <x:c r="A39" s="10" t="str">
        <x:v>UI34</x:v>
      </x:c>
      <x:c r="B39" s="10" t="str">
        <x:v>页签Tabs</x:v>
      </x:c>
      <x:c r="C39" s="10" t="str">
        <x:v>内容切换、键盘与响应式</x:v>
      </x:c>
      <x:c r="D39" s="85" t="str">
        <x:v>待选择</x:v>
      </x:c>
      <x:c r="E39" s="85" t="str">
        <x:v>否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AF39&lt;&gt;"已确认","依据待确认",IF('本批提测'!$B$6&lt;&gt;"已就绪","批次未就绪",IF(OR(H39&lt;&gt;'本批提测'!$B$8,G39="",G39="未执行"),"未执行",IF(V39&lt;&gt;'本批提测'!$B$18,"基线已变，需复测",IF(LEN(TRIM(U39))=0,"交付未映射",IF(AND(OR(G39="通过",G39="失败"),LEN(TRIM(M39))=0),"缺少证据",IF(AND(OR(G39="通过",G39="失败"),LEN(TRIM(O39))=0),"缺少执行人",IF(OR(G39="通过",G39="失败",G39="受阻",G39="依据待确认"),G39,"结果待填写")))))))))))</x:f>
        <x:v>未纳入本批</x:v>
      </x:c>
      <x:c r="J39" s="10" t="str">
        <x:v>点击、Tab进入、左右键及Home/End；缩窄已确认支持的视口，并观察加载中的选中状态和长标签。</x:v>
      </x:c>
      <x:c r="K39" s="10" t="str"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L39" s="10" t="str">
        <x:v>SPEC V1.2 §5.17交互／响应式／禁止项；采纳范围及触达见DEC18</x:v>
      </x:c>
      <x:c r="M39" s="86"/>
      <x:c r="N39" s="86"/>
      <x:c r="O39" s="86"/>
      <x:c r="P39" s="14" t="str">
        <x:v>不适用</x:v>
      </x:c>
      <x:c r="Q39" s="14" t="str">
        <x:v>不适用</x:v>
      </x:c>
      <x:c r="R39" s="14" t="str">
        <x:v>规范／检查建议</x:v>
      </x:c>
      <x:c r="S39" s="14" t="str">
        <x:v>按本批分工</x:v>
      </x:c>
      <x:c r="T39" s="10" t="str">
        <x:v>UI核对</x:v>
      </x:c>
      <x:c r="U39" s="86"/>
      <x:c r="V39" s="86"/>
      <x:c r="W39" s="10" t="str">
        <x:v>规范正文／适用条件</x:v>
      </x:c>
      <x:c r="X39" s="14"/>
      <x:c r="Y39" s="14"/>
      <x:c r="Z39" s="14"/>
      <x:c r="AA39" s="14"/>
      <x:c r="AB39" s="14"/>
      <x:c r="AC39" s="14"/>
      <x:c r="AD39" s="10" t="str">
        <x:v>键盘、辅助语义、换行及加载保留选择构成交互矩阵，补足静态样式无法覆盖的可用性。</x:v>
      </x:c>
      <x:c r="AE39" s="10" t="str">
        <x:v>实际操作Tab、方向键、Home/End；核对role／aria-selected和内容、长标签换行、加载后选择及999+。触达和设备依DEC18。</x:v>
      </x:c>
      <x:c r="AF39" s="10" t="str">
        <x:f>IF(D39="否","不适用",IF(D39&lt;&gt;"是","未纳入本批",IF(OR(LEN(TRIM('本批提测'!$B$10))=0,LEN(TRIM('本批提测'!$B$11))=0,'本批提测'!$B$12&lt;&gt;"已确认",F39&lt;&gt;"已确认",'本批提测'!$H$57&lt;&gt;"已确认",AND('本批提测'!$H$40&lt;&gt;"已确认",'本批提测'!$H$40&lt;&gt;"已记录后置")),"待确认","已确认")))</x:f>
        <x:v>未纳入本批</x:v>
      </x:c>
      <x:c r="AG39" s="10" t="str">
        <x:v>保留／按批次选取</x:v>
      </x:c>
      <x:c r="AH39" s="10" t="str">
        <x:v>设计复核后保留；关联DEC18、DEC01确认后方可执行判定。</x:v>
      </x:c>
      <x:c r="AI39" s="10" t="str">
        <x:v>通用规范/网站补充，按本批实际组件和批准基线执行，不列入五色来源分组。</x:v>
      </x:c>
      <x:c r="AJ39" s="10"/>
      <x:c r="AK39" s="10" t="str">
        <x:v>批准通用规范、设备/容差及组件采用方案；网站字段映射按原关联决策。</x:v>
      </x:c>
      <x:c r="AL39" s="10" t="str">
        <x:v>规范或网站补充；没有直接飞书Review记录，不擅自设颜色层级。</x:v>
      </x:c>
    </x:row>
    <x:row r="40" ht="129" customHeight="1">
      <x:c r="A40" s="191" t="str">
        <x:v>UI35</x:v>
      </x:c>
      <x:c r="B40" s="191" t="str">
        <x:v>服务单元</x:v>
      </x:c>
      <x:c r="C40" s="191" t="str">
        <x:v>新建独立表单页与返回上下文</x:v>
      </x:c>
      <x:c r="D40" s="162" t="str">
        <x:v>待选择</x:v>
      </x:c>
      <x:c r="E40" s="162" t="str">
        <x:v>否</x:v>
      </x:c>
      <x:c r="F40" s="162" t="str">
        <x:v>待确认</x:v>
      </x:c>
      <x:c r="G40" s="162" t="str">
        <x:v>未执行</x:v>
      </x:c>
      <x:c r="H40" s="162"/>
      <x:c r="I40" s="10" t="str">
        <x:f>IF(D40="否","不适用",IF(D40&lt;&gt;"是","未纳入本批",IF(AND(E40&lt;&gt;"是",E40&lt;&gt;"否"),"关键项待分类",IF(AF40&lt;&gt;"已确认","依据待确认",IF('本批提测'!$B$6&lt;&gt;"已就绪","批次未就绪",IF(OR(H40&lt;&gt;'本批提测'!$B$8,G40="",G40="未执行"),"未执行",IF(V40&lt;&gt;'本批提测'!$B$18,"基线已变，需复测",IF(LEN(TRIM(U40))=0,"交付未映射",IF(AND(OR(G40="通过",G40="失败"),LEN(TRIM(M40))=0),"缺少证据",IF(AND(OR(G40="通过",G40="失败"),LEN(TRIM(O40))=0),"缺少执行人",IF(OR(G40="通过",G40="失败",G40="受阻",G40="依据待确认"),G40,"结果待填写")))))))))))</x:f>
        <x:v>未纳入本批</x:v>
      </x:c>
      <x:c r="J40" s="10" t="str">
        <x:v>前置：DEC23批准新建页面及编辑是否同改、本批现行可测方案；取得专项布局。
1.从列表点击新建服务单元，核对独立表单页、标题及当前URL。
2.填写合法数据并保存待生效／保存并启用，核对返回对象与SM21读回证据。
3.长内容滚动、返回／取消、刷新；未保存数据行为按批准方案。</x:v>
      </x:c>
      <x:c r="K40" s="10" t="str">
        <x:v>采纳后新建用新页面承载，整体采用新建表单页模板，多组信息完整可达。保存与原业务状态／自动价卡规则一致，返回不误定位其他对象。新建方式与PRD编辑弹窗有差异，须DEC23记录批准稿；Review没有定义编辑必定同时改页、固定新路由或自动保存，不能自行增加。源状态修改中不等于已交付。</x:v>
      </x:c>
      <x:c r="L40" s="10" t="str">
        <x:v>REVIEW review-de7057751b；2026-10-12读取当前视图rev637；REQ §6.2新建弹窗冲突DEC23。
颜色层级按飞书框架适配字段对应；批准需求与本批实测结果分别记录。</x:v>
      </x:c>
      <x:c r="M40" s="162"/>
      <x:c r="N40" s="162"/>
      <x:c r="O40" s="162"/>
      <x:c r="P40" s="10" t="str">
        <x:v>P1</x:v>
      </x:c>
      <x:c r="Q40" s="10" t="str">
        <x:v>修改中</x:v>
      </x:c>
      <x:c r="R40" s="207" t="str">
        <x:v>组合复用</x:v>
      </x:c>
      <x:c r="S40" s="10" t="str">
        <x:v>开发</x:v>
      </x:c>
      <x:c r="T40" s="10" t="str">
        <x:v>UI核对</x:v>
      </x:c>
      <x:c r="U40" s="162"/>
      <x:c r="V40" s="162"/>
      <x:c r="W40" s="10" t="str">
        <x:v>未批准Review建议</x:v>
      </x:c>
      <x:c r="X40" s="10" t="str">
        <x:v>组件使用、信息层级</x:v>
      </x:c>
      <x:c r="Y40" s="10" t="str">
        <x:v>当前新建服务单元信息量较大，包含多组基础信息、关联关系及规则配置，使用弹窗承载后纵向内容较长，内部滚动明显，且弹窗空间限制较大，不利于后续字段扩展及连续查看。</x:v>
      </x:c>
      <x:c r="Z40" s="10" t="str">
        <x:v>替换为新页面承载</x:v>
      </x:c>
      <x:c r="AA40" s="10" t="str">
        <x:v>UI 补充布局设计，开发组合实现，整体框架使用新建表单页模板</x:v>
      </x:c>
      <x:c r="AB40" s="10" t="str">
        <x:v>review-de7057751b</x:v>
      </x:c>
      <x:c r="AC40" s="10" t="str">
        <x:v>本轮补充；来源采纳、交付范围与实测分别记录。</x:v>
      </x:c>
      <x:c r="AD40" s="10" t="str">
        <x:v>以任务容器、独立访问、长内容及保存返回对照；将承载变化与业务数据闭环分别取证。</x:v>
      </x:c>
      <x:c r="AE40" s="10" t="str">
        <x:v>批准稿/现行方案、新建和返回URL、长表单截图、两保存分支读回；取消/刷新未保存行为需基线。</x:v>
      </x:c>
      <x:c r="AF40" s="10" t="str">
        <x:f>IF(D40="否","不适用",IF(D40&lt;&gt;"是","未纳入本批",IF(OR(LEN(TRIM('本批提测'!$B$10))=0,LEN(TRIM('本批提测'!$B$11))=0,'本批提测'!$B$12&lt;&gt;"已确认",F40&lt;&gt;"已确认",AND('本批提测'!$H$115&lt;&gt;"已确认",'本批提测'!$H$115&lt;&gt;"已记录后置"),'本批提测'!$H$57&lt;&gt;"已确认"),"待确认","已确认")))</x:f>
        <x:v>未纳入本批</x:v>
      </x:c>
      <x:c r="AG40" s="10" t="str">
        <x:v>颜色层级对应</x:v>
      </x:c>
      <x:c r="AH40" s="10" t="str">
        <x:v>补具体步骤、预期与分支证据；待本批确认并执行。
对应蓝色组合复用：核现有标准组件组合后的布局、状态联动与完整流程，重点检查选中反馈、返回、跨页/未保存数据保护。</x:v>
      </x:c>
      <x:c r="AI40" s="10" t="str">
        <x:v>核现有标准组件组合后的布局、状态联动与完整流程，重点检查选中反馈、返回、跨页/未保存数据保护。</x:v>
      </x:c>
      <x:c r="AJ40" s="10" t="str">
        <x:v>SM21、SM29</x:v>
      </x:c>
      <x:c r="AK40" s="10" t="str">
        <x:v>批准组合布局与适用组件；业务冲突DEC22或页面承载DEC23已确定；组合交互证据。</x:v>
      </x:c>
      <x:c r="AL40" s="10" t="str">
        <x:v>飞书直接映射：review-de7057751b，rev637；蓝色。</x:v>
      </x:c>
    </x:row>
    <x:row r="41" ht="112.5" customHeight="1">
      <x:c r="A41" s="189" t="str">
        <x:v>UI36</x:v>
      </x:c>
      <x:c r="B41" s="189" t="str">
        <x:v>服务单元列表</x:v>
      </x:c>
      <x:c r="C41" s="189" t="str">
        <x:v>创建入口位置与重复标题</x:v>
      </x:c>
      <x:c r="D41" s="162" t="str">
        <x:v>待选择</x:v>
      </x:c>
      <x:c r="E41" s="162" t="str">
        <x:v>否</x:v>
      </x:c>
      <x:c r="F41" s="162" t="str">
        <x:v>待确认</x:v>
      </x:c>
      <x:c r="G41" s="162" t="str">
        <x:v>未执行</x:v>
      </x:c>
      <x:c r="H41" s="162"/>
      <x:c r="I41" s="10" t="str">
        <x:f>IF(D41="否","不适用",IF(D41&lt;&gt;"是","未纳入本批",IF(AND(E41&lt;&gt;"是",E41&lt;&gt;"否"),"关键项待分类",IF(AF41&lt;&gt;"已确认","依据待确认",IF('本批提测'!$B$6&lt;&gt;"已就绪","批次未就绪",IF(OR(H41&lt;&gt;'本批提测'!$B$8,G41="",G41="未执行"),"未执行",IF(V41&lt;&gt;'本批提测'!$B$18,"基线已变，需复测",IF(LEN(TRIM(U41))=0,"交付未映射",IF(AND(OR(G41="通过",G41="失败"),LEN(TRIM(M41))=0),"缺少证据",IF(AND(OR(G41="通过",G41="失败"),LEN(TRIM(O41))=0),"缺少执行人",IF(OR(G41="通过",G41="失败",G41="受阻",G41="依据待确认"),G41,"结果待填写")))))))))))</x:f>
        <x:v>未纳入本批</x:v>
      </x:c>
      <x:c r="J41" s="10" t="str">
        <x:v>前置：批准本批页头布局和入口角色权限。
1.核对AI文档建档、新建服务单元两个入口位于页头右侧。
2.核对列表卡片内额外“服务单元列表”标题按采纳方案取消，页头定位仍清楚。
3.分别点击两个入口并返回；窄支持视口与无数据态复查入口。</x:v>
      </x:c>
      <x:c r="K41" s="10" t="str">
        <x:v>采纳后两创建入口统一移至页头栏右侧；取消列表卡片重复标题。AI与人工创建入口指向各自正确流程，已交付入口在本批支持视口可见可达。P0为原型Review优先级，是否阻塞提测依据操作影响和本批关键项决定，不自动认定严重缺陷。</x:v>
      </x:c>
      <x:c r="L41" s="10" t="str">
        <x:v>REVIEW review-b8b8e36a2b；2026-10-12新增于旧表之外；SPEC列表页/页头框架。
颜色层级按飞书框架适配字段对应；批准需求与本批实测结果分别记录。</x:v>
      </x:c>
      <x:c r="M41" s="162"/>
      <x:c r="N41" s="162"/>
      <x:c r="O41" s="162"/>
      <x:c r="P41" s="10" t="str">
        <x:v>P0</x:v>
      </x:c>
      <x:c r="Q41" s="10" t="str">
        <x:v>待确认</x:v>
      </x:c>
      <x:c r="R41" s="209" t="str">
        <x:v>直接复用</x:v>
      </x:c>
      <x:c r="S41" s="10" t="str">
        <x:v>开发</x:v>
      </x:c>
      <x:c r="T41" s="10" t="str">
        <x:v>UI核对</x:v>
      </x:c>
      <x:c r="U41" s="162"/>
      <x:c r="V41" s="162"/>
      <x:c r="W41" s="10" t="str">
        <x:v>未批准Review建议</x:v>
      </x:c>
      <x:c r="X41" s="10" t="str">
        <x:v>信息层级</x:v>
      </x:c>
      <x:c r="Y41" s="10" t="str">
        <x:v>1、AI文档建档、新建服务单元位置不合适，
2、当前列表卡片内额外设置 服务单元列表 标题</x:v>
      </x:c>
      <x:c r="Z41" s="10" t="str">
        <x:v>1、参照通用框架，将两个创建入口统一调整至页头栏右侧。
2、参照通用框架，取消 服务单元列表 标题</x:v>
      </x:c>
      <x:c r="AA41" s="10" t="str">
        <x:v>使用通用列表页框架开发</x:v>
      </x:c>
      <x:c r="AB41" s="10" t="str">
        <x:v>review-b8b8e36a2b</x:v>
      </x:c>
      <x:c r="AC41" s="10" t="str">
        <x:v>本轮补充；来源采纳、交付范围与实测分别记录。</x:v>
      </x:c>
      <x:c r="AD41" s="10" t="str">
        <x:v>在默认、无数据及窄视口核对入口位置和可达性；通过实际点击区分只有视觉按钮与真实入口。</x:v>
      </x:c>
      <x:c r="AE41" s="10" t="str">
        <x:v>基线截图、两入口URL/返回路径、角色、视口和空态截图；承载分别关联UI16、UI35。</x:v>
      </x:c>
      <x:c r="AF41" s="10" t="str">
        <x:f>IF(D41="否","不适用",IF(D41&lt;&gt;"是","未纳入本批",IF(OR(LEN(TRIM('本批提测'!$B$10))=0,LEN(TRIM('本批提测'!$B$11))=0,'本批提测'!$B$12&lt;&gt;"已确认",F41&lt;&gt;"已确认",'本批提测'!$H$57&lt;&gt;"已确认"),"待确认","已确认")))</x:f>
        <x:v>未纳入本批</x:v>
      </x:c>
      <x:c r="AG41" s="10" t="str">
        <x:v>颜色层级对应</x:v>
      </x:c>
      <x:c r="AH41" s="10" t="str">
        <x:v>补具体步骤、预期与分支证据；待本批确认并执行。
对应绿色直接复用：对照批准通用框架组件、Token与交互核一致性，保留实际字段/数据/权限差异；复用标签不代表实现已通过。</x:v>
      </x:c>
      <x:c r="AI41" s="10" t="str">
        <x:v>对照批准通用框架组件、Token与交互核一致性，保留实际字段/数据/权限差异；复用标签不代表实现已通过。</x:v>
      </x:c>
      <x:c r="AJ41" s="10" t="str">
        <x:v>SM21、SM27</x:v>
      </x:c>
      <x:c r="AK41" s="10" t="str">
        <x:v>框架/规范版本、业务配置及批准例外；无需另行UI出稿的通用项仍须开发与测试证据。</x:v>
      </x:c>
      <x:c r="AL41" s="10" t="str">
        <x:v>飞书直接映射：review-b8b8e36a2b，rev637；绿色。</x:v>
      </x:c>
    </x:row>
    <x:row r="42" ht="115.5" customHeight="1">
      <x:c r="A42" s="10" t="str">
        <x:v>UI37</x:v>
      </x:c>
      <x:c r="B42" s="10" t="str">
        <x:v>AI 建档</x:v>
      </x:c>
      <x:c r="C42" s="10" t="str">
        <x:v>生成、待确认与执行状态分层</x:v>
      </x:c>
      <x:c r="D42" s="162" t="str">
        <x:v>待选择</x:v>
      </x:c>
      <x:c r="E42" s="162" t="str">
        <x:v>是</x:v>
      </x:c>
      <x:c r="F42" s="162" t="str">
        <x:v>待确认</x:v>
      </x:c>
      <x:c r="G42" s="162" t="str">
        <x:v>未执行</x:v>
      </x:c>
      <x:c r="H42" s="162"/>
      <x:c r="I42" s="10" t="str">
        <x:f>IF(D42="否","不适用",IF(D42&lt;&gt;"是","未纳入本批",IF(AND(E42&lt;&gt;"是",E42&lt;&gt;"否"),"关键项待分类",IF(AF42&lt;&gt;"已确认","依据待确认",IF('本批提测'!$B$6&lt;&gt;"已就绪","批次未就绪",IF(OR(H42&lt;&gt;'本批提测'!$B$8,G42="",G42="未执行"),"未执行",IF(V42&lt;&gt;'本批提测'!$B$18,"基线已变，需复测",IF(LEN(TRIM(U42))=0,"交付未映射",IF(AND(OR(G42="通过",G42="失败"),LEN(TRIM(M42))=0),"缺少证据",IF(AND(OR(G42="通过",G42="失败"),LEN(TRIM(O42))=0),"缺少执行人",IF(OR(G42="通过",G42="失败",G42="受阻",G42="依据待确认"),G42,"结果待填写")))))))))))</x:f>
        <x:v>未纳入本批</x:v>
      </x:c>
      <x:c r="J42" s="10" t="str">
        <x:v>前置：本批确实交付AI建档，授权测试材料与受控成功/失败结果；仅检查已交付状态，不发起未授权模型调用。
1.生成中核对过程说明，完成后核对待确认结果与原材料分层。
2.用户修改／忽略／采纳后分别查看标识，确认前后检查是否写入正式数据。
3.失败／重试及暂停／取消仅按已交付流程检查，不增加Agent工作台需求。</x:v>
      </x:c>
      <x:c r="K42" s="10" t="str">
        <x:v>AI产出与原数据可区分；生成中能识别当前过程，待确认有明确标识，采纳后回到普通业务内容样式。建议→用户确认→执行完整，确认前不得写入正式数据；不以持续动效冒充进度。具体可用状态与恢复入口由DEC17确认，不将概念阶段模块示例当本批交付。</x:v>
      </x:c>
      <x:c r="L42" s="10" t="str">
        <x:v>SPEC §2.1 AI辅助透明、§2.2.2生成/确认/执行；REQ §6.1 AI建档；流程分支DEC17。</x:v>
      </x:c>
      <x:c r="M42" s="162"/>
      <x:c r="N42" s="162"/>
      <x:c r="O42" s="162"/>
      <x:c r="P42" s="10" t="str">
        <x:v>不适用</x:v>
      </x:c>
      <x:c r="Q42" s="10" t="str">
        <x:v>不适用</x:v>
      </x:c>
      <x:c r="R42" s="10" t="str">
        <x:v>规范／检查建议</x:v>
      </x:c>
      <x:c r="S42" s="10" t="str">
        <x:v>产品、UI、开发</x:v>
      </x:c>
      <x:c r="T42" s="10" t="str">
        <x:v>UI核对</x:v>
      </x:c>
      <x:c r="U42" s="162"/>
      <x:c r="V42" s="162"/>
      <x:c r="W42" s="10" t="str">
        <x:v>规范正文／适用条件</x:v>
      </x:c>
      <x:c r="X42" s="10"/>
      <x:c r="Y42" s="10"/>
      <x:c r="Z42" s="10"/>
      <x:c r="AA42" s="10"/>
      <x:c r="AB42" s="10"/>
      <x:c r="AC42" s="10" t="str">
        <x:v>本轮补充；来源采纳、交付范围与实测分别记录。</x:v>
      </x:c>
      <x:c r="AD42" s="10" t="str">
        <x:v>状态迁移与确认前后写入对照；重点验证用户能辨认生成内容及确认动作是否真实控制执行。</x:v>
      </x:c>
      <x:c r="AE42" s="10" t="str">
        <x:v>生成中、待确认、确认后/忽略/失败截图和数据读回；模型/上传结果使用已批准样本或桩并标明证据类别。</x:v>
      </x:c>
      <x:c r="AF42" s="10" t="str">
        <x:f>IF(D42="否","不适用",IF(D42&lt;&gt;"是","未纳入本批",IF(OR(LEN(TRIM('本批提测'!$B$10))=0,LEN(TRIM('本批提测'!$B$11))=0,'本批提测'!$B$12&lt;&gt;"已确认",F42&lt;&gt;"已确认",'本批提测'!$H$56&lt;&gt;"已确认",'本批提测'!$H$57&lt;&gt;"已确认"),"待确认","已确认")))</x:f>
        <x:v>未纳入本批</x:v>
      </x:c>
      <x:c r="AG42" s="10" t="str">
        <x:v>本轮补充</x:v>
      </x:c>
      <x:c r="AH42" s="10" t="str">
        <x:v>补具体步骤、预期与分支证据；待本批确认并执行。</x:v>
      </x:c>
      <x:c r="AI42" s="10" t="str">
        <x:v>通用规范/网站补充，按本批实际组件和批准基线执行，不列入五色来源分组。</x:v>
      </x:c>
      <x:c r="AJ42" s="10"/>
      <x:c r="AK42" s="10" t="str">
        <x:v>批准通用规范、设备/容差及组件采用方案；网站字段映射按原关联决策。</x:v>
      </x:c>
      <x:c r="AL42" s="10" t="str">
        <x:v>规范或网站补充；没有直接飞书Review记录，不擅自设颜色层级。</x:v>
      </x:c>
    </x:row>
    <x:row r="43" ht="115.5" customHeight="1">
      <x:c r="A43" s="10" t="str">
        <x:v>UI38</x:v>
      </x:c>
      <x:c r="B43" s="10" t="str">
        <x:v>上传材料</x:v>
      </x:c>
      <x:c r="C43" s="10" t="str">
        <x:v>格式大小、进度、取消与重试</x:v>
      </x:c>
      <x:c r="D43" s="162" t="str">
        <x:v>待选择</x:v>
      </x:c>
      <x:c r="E43" s="162" t="str">
        <x:v>是</x:v>
      </x:c>
      <x:c r="F43" s="162" t="str">
        <x:v>待确认</x:v>
      </x:c>
      <x:c r="G43" s="162" t="str">
        <x:v>未执行</x:v>
      </x:c>
      <x:c r="H43" s="162"/>
      <x:c r="I43" s="10" t="str">
        <x:f>IF(D43="否","不适用",IF(D43&lt;&gt;"是","未纳入本批",IF(AND(E43&lt;&gt;"是",E43&lt;&gt;"否"),"关键项待分类",IF(AF43&lt;&gt;"已确认","依据待确认",IF('本批提测'!$B$6&lt;&gt;"已就绪","批次未就绪",IF(OR(H43&lt;&gt;'本批提测'!$B$8,G43="",G43="未执行"),"未执行",IF(V43&lt;&gt;'本批提测'!$B$18,"基线已变，需复测",IF(LEN(TRIM(U43))=0,"交付未映射",IF(AND(OR(G43="通过",G43="失败"),LEN(TRIM(M43))=0),"缺少证据",IF(AND(OR(G43="通过",G43="失败"),LEN(TRIM(O43))=0),"缺少执行人",IF(OR(G43="通过",G43="失败",G43="受阻",G43="依据待确认"),G43,"结果待填写")))))))))))</x:f>
        <x:v>未纳入本批</x:v>
      </x:c>
      <x:c r="J43" s="10" t="str">
        <x:v>前置：批准格式白名单、大小上限L及多文件规则，确定最小计量单位ε；专用合法/非法格式、L−ε/L/L+ε样本。
1.上传前核对格式及大小说明。
2.上传合法和非法/超限材料，检查进度、错误原因、取消与失败重试。
3.上传后核对文件名、状态和实际材料；删除已提交重要附件时检查二次确认。</x:v>
      </x:c>
      <x:c r="K43" s="10" t="str">
        <x:v>限制提前说明；合法上传有进度并可取消，失败有明确原因及可重试入口；非法/超限不能静默丢弃。图片缩略图、非图片文件列表按规范；附件与实际上传对象对应，重要已提交附件删除有确认。L及上限是否包含以DEC17为准，不把规范示例10MB作为项目默认；只执行本批已交付的附件操作。</x:v>
      </x:c>
      <x:c r="L43" s="10" t="str">
        <x:v>SPEC §5.6 Upload交互规则／禁止项；项目材料格式大小仍由DEC17确认。</x:v>
      </x:c>
      <x:c r="M43" s="162"/>
      <x:c r="N43" s="162"/>
      <x:c r="O43" s="162"/>
      <x:c r="P43" s="10" t="str">
        <x:v>不适用</x:v>
      </x:c>
      <x:c r="Q43" s="10" t="str">
        <x:v>不适用</x:v>
      </x:c>
      <x:c r="R43" s="10" t="str">
        <x:v>规范／检查建议</x:v>
      </x:c>
      <x:c r="S43" s="10" t="str">
        <x:v>产品、UI、开发</x:v>
      </x:c>
      <x:c r="T43" s="10" t="str">
        <x:v>UI核对</x:v>
      </x:c>
      <x:c r="U43" s="162"/>
      <x:c r="V43" s="162"/>
      <x:c r="W43" s="10" t="str">
        <x:v>规范正文／适用条件</x:v>
      </x:c>
      <x:c r="X43" s="10"/>
      <x:c r="Y43" s="10"/>
      <x:c r="Z43" s="10"/>
      <x:c r="AA43" s="10"/>
      <x:c r="AB43" s="10"/>
      <x:c r="AC43" s="10" t="str">
        <x:v>本轮补充；来源采纳、交付范围与实测分别记录。</x:v>
      </x:c>
      <x:c r="AD43" s="10" t="str">
        <x:v>用批准L两侧边界和中断/重试状态矩阵；核对界面反馈与实际文件状态，取消不能误计成功。</x:v>
      </x:c>
      <x:c r="AE43" s="10" t="str">
        <x:v>上传前限制、样本尺寸/格式、请求与文件身份、进度/取消/重试截图及确认弹窗；不记录真实敏感材料内容。</x:v>
      </x:c>
      <x:c r="AF43" s="10" t="str">
        <x:f>IF(D43="否","不适用",IF(D43&lt;&gt;"是","未纳入本批",IF(OR(LEN(TRIM('本批提测'!$B$10))=0,LEN(TRIM('本批提测'!$B$11))=0,'本批提测'!$B$12&lt;&gt;"已确认",F43&lt;&gt;"已确认",'本批提测'!$H$56&lt;&gt;"已确认",'本批提测'!$H$57&lt;&gt;"已确认"),"待确认","已确认")))</x:f>
        <x:v>未纳入本批</x:v>
      </x:c>
      <x:c r="AG43" s="10" t="str">
        <x:v>本轮补充</x:v>
      </x:c>
      <x:c r="AH43" s="10" t="str">
        <x:v>补具体步骤、预期与分支证据；待本批确认并执行。</x:v>
      </x:c>
      <x:c r="AI43" s="10" t="str">
        <x:v>通用规范/网站补充，按本批实际组件和批准基线执行，不列入五色来源分组。</x:v>
      </x:c>
      <x:c r="AJ43" s="10"/>
      <x:c r="AK43" s="10" t="str">
        <x:v>批准通用规范、设备/容差及组件采用方案；网站字段映射按原关联决策。</x:v>
      </x:c>
      <x:c r="AL43" s="10" t="str">
        <x:v>规范或网站补充；没有直接飞书Review记录，不擅自设颜色层级。</x:v>
      </x:c>
    </x:row>
    <x:row r="44" ht="156" customHeight="1">
      <x:c r="A44" s="10" t="str">
        <x:v>UI39</x:v>
      </x:c>
      <x:c r="B44" s="10" t="str">
        <x:v>通用色彩与图标</x:v>
      </x:c>
      <x:c r="C44" s="10" t="str">
        <x:v>背景、语义色、圆角与图标</x:v>
      </x:c>
      <x:c r="D44" s="162" t="str">
        <x:v>待选择</x:v>
      </x:c>
      <x:c r="E44" s="162" t="str">
        <x:v>否</x:v>
      </x:c>
      <x:c r="F44" s="162" t="str">
        <x:v>待确认</x:v>
      </x:c>
      <x:c r="G44" s="162" t="str">
        <x:v>未执行</x:v>
      </x:c>
      <x:c r="H44" s="162"/>
      <x:c r="I44" s="10" t="str">
        <x:f>IF(D44="否","不适用",IF(D44&lt;&gt;"是","未纳入本批",IF(AND(E44&lt;&gt;"是",E44&lt;&gt;"否"),"关键项待分类",IF(AF44&lt;&gt;"已确认","依据待确认",IF('本批提测'!$B$6&lt;&gt;"已就绪","批次未就绪",IF(OR(H44&lt;&gt;'本批提测'!$B$8,G44="",G44="未执行"),"未执行",IF(V44&lt;&gt;'本批提测'!$B$18,"基线已变，需复测",IF(LEN(TRIM(U44))=0,"交付未映射",IF(AND(OR(G44="通过",G44="失败"),LEN(TRIM(M44))=0),"缺少证据",IF(AND(OR(G44="通过",G44="失败"),LEN(TRIM(O44))=0),"缺少执行人",IF(OR(G44="通过",G44="失败",G44="受阻",G44="依据待确认"),G44,"结果待填写")))))))))))</x:f>
        <x:v>未纳入本批</x:v>
      </x:c>
      <x:c r="J44" s="10" t="str">
        <x:v>前置：固定Build、视口、缩放、状态与规范例外清单。
1.用computed style核对页面/卡片/表头背景和正文/标题色。
2.核对成功、警告、错误和信息提示的文字及语义色，业务类型Tag另对照。
3.核对行内、独立按钮图标尺寸及禁用色，复查禁用编排Warning。
4.核对默认控件8px、卡片/面板12px、弹窗/抽屉16px圆角；图标库按本批批准范围，服务单元详情emoji要求另按UI18采纳方案。</x:v>
      </x:c>
      <x:c r="K44" s="10" t="str">
        <x:v>页面#EFF2F7；卡片/面板/弹窗/抽屉主体#FFFFFF，辅助表面#F7F7F7；正文#4B5564、标题#1A2130。语义主色成功#18A058、警告#E87D13、错误#E24B4A、信息#046EFC；状态同时有颜色和文字，业务类型色不冒充状态含义。行内图标16px、独立操作图标20px，禁用#9DA3AE；图标取批准库，服务单元详情不使用emoji的要求按UI18采纳方案，不泛化为全部AI或说明内容禁止emoji。hover/active取相应规格，项目例外先记录，不从截图凭目测猜色值。
默认按钮/输入/Tag圆角8px，卡片/面板12px，弹窗/抽屉16px，适用组件和项目例外按本批批准基线。</x:v>
      </x:c>
      <x:c r="L44" s="10" t="str">
        <x:v>SPEC §3.1/3.4/3.7/5.12；语义/中性/图标表及圆角表jYqjvY已只读复核；详情emoji为Review UI18局部采纳项。</x:v>
      </x:c>
      <x:c r="M44" s="162"/>
      <x:c r="N44" s="162"/>
      <x:c r="O44" s="162"/>
      <x:c r="P44" s="10" t="str">
        <x:v>不适用</x:v>
      </x:c>
      <x:c r="Q44" s="10" t="str">
        <x:v>不适用</x:v>
      </x:c>
      <x:c r="R44" s="10" t="str">
        <x:v>规范／检查建议</x:v>
      </x:c>
      <x:c r="S44" s="10" t="str">
        <x:v>UI、开发</x:v>
      </x:c>
      <x:c r="T44" s="10" t="str">
        <x:v>UI核对</x:v>
      </x:c>
      <x:c r="U44" s="162"/>
      <x:c r="V44" s="162"/>
      <x:c r="W44" s="10" t="str">
        <x:v>规范正文／适用条件</x:v>
      </x:c>
      <x:c r="X44" s="10"/>
      <x:c r="Y44" s="10"/>
      <x:c r="Z44" s="10"/>
      <x:c r="AA44" s="10"/>
      <x:c r="AB44" s="10"/>
      <x:c r="AC44" s="10" t="str">
        <x:v>本轮补充；来源采纳、交付范围与实测分别记录。</x:v>
      </x:c>
      <x:c r="AD44" s="10" t="str">
        <x:v>区分容器基础色、语义状态色和业务标识色；DOM/CSS量值加真实状态操作，防止只有截图相似但语义错误。</x:v>
      </x:c>
      <x:c r="AE44" s="10" t="str">
        <x:v>CSS属性、状态文字和同状态截图；引用规范Token/适用例外，不自定像素相似度或颜色容差。</x:v>
      </x:c>
      <x:c r="AF44" s="10" t="str">
        <x:f>IF(D44="否","不适用",IF(D44&lt;&gt;"是","未纳入本批",IF(OR(LEN(TRIM('本批提测'!$B$10))=0,LEN(TRIM('本批提测'!$B$11))=0,'本批提测'!$B$12&lt;&gt;"已确认",F44&lt;&gt;"已确认",'本批提测'!$H$57&lt;&gt;"已确认"),"待确认","已确认")))</x:f>
        <x:v>未纳入本批</x:v>
      </x:c>
      <x:c r="AG44" s="10" t="str">
        <x:v>二次复核修正</x:v>
      </x:c>
      <x:c r="AH44" s="10" t="str">
        <x:v>补来源适用范围和量值；不把一类字段或局部Review扩展至全站。</x:v>
      </x:c>
      <x:c r="AI44" s="10" t="str">
        <x:v>通用规范/网站补充，按本批实际组件和批准基线执行，不列入五色来源分组。</x:v>
      </x:c>
      <x:c r="AJ44" s="10"/>
      <x:c r="AK44" s="10" t="str">
        <x:v>批准通用规范、设备/容差及组件采用方案；网站字段映射按原关联决策。</x:v>
      </x:c>
      <x:c r="AL44" s="10" t="str">
        <x:v>规范或网站补充；没有直接飞书Review记录，不擅自设颜色层级。</x:v>
      </x:c>
    </x:row>
    <x:row r="45" ht="129" customHeight="1">
      <x:c r="A45" s="10" t="str">
        <x:v>UI40</x:v>
      </x:c>
      <x:c r="B45" s="10" t="str">
        <x:v>布局与表单规格</x:v>
      </x:c>
      <x:c r="C45" s="10" t="str">
        <x:v>页头类型、输入高度与错误定位</x:v>
      </x:c>
      <x:c r="D45" s="162" t="str">
        <x:v>待选择</x:v>
      </x:c>
      <x:c r="E45" s="162" t="str">
        <x:v>否</x:v>
      </x:c>
      <x:c r="F45" s="162" t="str">
        <x:v>待确认</x:v>
      </x:c>
      <x:c r="G45" s="162" t="str">
        <x:v>未执行</x:v>
      </x:c>
      <x:c r="H45" s="162"/>
      <x:c r="I45" s="10" t="str">
        <x:f>IF(D45="否","不适用",IF(D45&lt;&gt;"是","未纳入本批",IF(AND(E45&lt;&gt;"是",E45&lt;&gt;"否"),"关键项待分类",IF(AF45&lt;&gt;"已确认","依据待确认",IF('本批提测'!$B$6&lt;&gt;"已就绪","批次未就绪",IF(OR(H45&lt;&gt;'本批提测'!$B$8,G45="",G45="未执行"),"未执行",IF(V45&lt;&gt;'本批提测'!$B$18,"基线已变，需复测",IF(LEN(TRIM(U45))=0,"交付未映射",IF(AND(OR(G45="通过",G45="失败"),LEN(TRIM(M45))=0),"缺少证据",IF(AND(OR(G45="通过",G45="失败"),LEN(TRIM(O45))=0),"缺少执行人",IF(OR(G45="通过",G45="失败",G45="受阻",G45="依据待确认"),G45,"结果待填写")))))))))))</x:f>
        <x:v>未纳入本批</x:v>
      </x:c>
      <x:c r="J45" s="10" t="str">
        <x:v>前置：DEC18确认支持端、页头类型及表单模板；在批准桌面/平板/手机视口测量。
1.核对顶部Header、侧栏展开/折叠和页头所含元素。
2.核对默认输入高度、字段名/必填星号/错误文字落位。
3.触发一个必填错误并移动焦点，检查输入/错误提示及关键按钮仍可见。</x:v>
      </x:c>
      <x:c r="K45" s="10" t="str">
        <x:v>桌面展开结构Header56px、侧栏220px/折叠56px、内容Padding24px；页头按完整/标准/简洁模板120/94/68px，不强制所有页面同高。规范表同时说总高度为4的倍数，但94px与之矛盾：先DEC18批准，不自行改为92/96。输入高度Desktop32px、Tablet36px、Mobile44px，仅支持端执行；默认输入圆角8px，必填红*在字段名左，非必填不加额外标记。错误在输入下方12px/#E24B4A；焦点和禁用样式按组件状态，不把通用44px触达直接改成全站输入44px。</x:v>
      </x:c>
      <x:c r="L45" s="10" t="str">
        <x:v>SPEC §4.1/4.2/4.5/5.7；内嵌0rCax8、rMn4wf、UXf6DG。页头94px与4倍数说明冲突纳入DEC18。</x:v>
      </x:c>
      <x:c r="M45" s="162"/>
      <x:c r="N45" s="162"/>
      <x:c r="O45" s="162"/>
      <x:c r="P45" s="10" t="str">
        <x:v>不适用</x:v>
      </x:c>
      <x:c r="Q45" s="10" t="str">
        <x:v>不适用</x:v>
      </x:c>
      <x:c r="R45" s="10" t="str">
        <x:v>规范／检查建议</x:v>
      </x:c>
      <x:c r="S45" s="10" t="str">
        <x:v>UI、开发</x:v>
      </x:c>
      <x:c r="T45" s="10" t="str">
        <x:v>UI核对</x:v>
      </x:c>
      <x:c r="U45" s="162"/>
      <x:c r="V45" s="162"/>
      <x:c r="W45" s="10" t="str">
        <x:v>规范正文＋待决策</x:v>
      </x:c>
      <x:c r="X45" s="10"/>
      <x:c r="Y45" s="10"/>
      <x:c r="Z45" s="10"/>
      <x:c r="AA45" s="10"/>
      <x:c r="AB45" s="10"/>
      <x:c r="AC45" s="10" t="str">
        <x:v>本轮补充；来源采纳、交付范围与实测分别记录。</x:v>
      </x:c>
      <x:c r="AD45" s="10" t="str">
        <x:v>按页面类型和设备状态测量，结合一个真实字段错误；优先对应组件专用值，显式保留规范自身数值冲突。</x:v>
      </x:c>
      <x:c r="AE45" s="10" t="str">
        <x:v>视口/缩放、模板类型、CSS高度/圆角/错误样式及焦点截图；94px口径批准证据另记DEC18。</x:v>
      </x:c>
      <x:c r="AF45" s="10" t="str">
        <x:f>IF(D45="否","不适用",IF(D45&lt;&gt;"是","未纳入本批",IF(OR(LEN(TRIM('本批提测'!$B$10))=0,LEN(TRIM('本批提测'!$B$11))=0,'本批提测'!$B$12&lt;&gt;"已确认",F45&lt;&gt;"已确认",'本批提测'!$H$57&lt;&gt;"已确认"),"待确认","已确认")))</x:f>
        <x:v>未纳入本批</x:v>
      </x:c>
      <x:c r="AG45" s="10" t="str">
        <x:v>本轮补充</x:v>
      </x:c>
      <x:c r="AH45" s="10" t="str">
        <x:v>补具体步骤、预期与分支证据；待本批确认并执行。</x:v>
      </x:c>
      <x:c r="AI45" s="10" t="str">
        <x:v>通用规范/网站补充，按本批实际组件和批准基线执行，不列入五色来源分组。</x:v>
      </x:c>
      <x:c r="AJ45" s="10"/>
      <x:c r="AK45" s="10" t="str">
        <x:v>批准通用规范、设备/容差及组件采用方案；网站字段映射按原关联决策。</x:v>
      </x:c>
      <x:c r="AL45" s="10" t="str">
        <x:v>规范或网站补充；没有直接飞书Review记录，不擅自设颜色层级。</x:v>
      </x:c>
    </x:row>
    <x:row r="46" ht="120" customHeight="1">
      <x:c r="A46" s="10" t="str">
        <x:v>UI41</x:v>
      </x:c>
      <x:c r="B46" s="10" t="str">
        <x:v>关联字段展示</x:v>
      </x:c>
      <x:c r="C46" s="10" t="str">
        <x:v>关联ID、名称与编码跨视图一致性</x:v>
      </x:c>
      <x:c r="D46" s="11" t="str">
        <x:v>待选择</x:v>
      </x:c>
      <x:c r="E46" s="11" t="str">
        <x:v>是</x:v>
      </x:c>
      <x:c r="F46" s="11" t="str">
        <x:v>待确认</x:v>
      </x:c>
      <x:c r="G46" s="11" t="str">
        <x:v>未执行</x:v>
      </x:c>
      <x:c r="H46" s="11"/>
      <x:c r="I46" s="10" t="str">
        <x:f>IF(D46="否","不适用",IF(D46&lt;&gt;"是","未纳入本批",IF(AND(E46&lt;&gt;"是",E46&lt;&gt;"否"),"关键项待分类",IF(AF46&lt;&gt;"已确认","依据待确认",IF('本批提测'!$B$6&lt;&gt;"已就绪","批次未就绪",IF(OR(H46&lt;&gt;'本批提测'!$B$8,G46="",G46="未执行"),"未执行",IF(V46&lt;&gt;'本批提测'!$B$18,"基线已变，需复测",IF(LEN(TRIM(U46))=0,"交付未映射",IF(AND(OR(G46="通过",G46="失败"),LEN(TRIM(M46))=0),"缺少证据",IF(AND(OR(G46="通过",G46="失败"),LEN(TRIM(O46))=0),"缺少执行人",IF(OR(G46="通过",G46="失败",G46="受阻",G46="依据待确认"),G46,"结果待填写")))))))))))</x:f>
        <x:v>未纳入本批</x:v>
      </x:c>
      <x:c r="J46" s="10" t="str"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</x:v>
      </x:c>
      <x:c r="K46" s="10" t="str"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</x:v>
      </x:c>
      <x:c r="L46" s="10" t="str">
        <x:v>网站WEB08—10，2026-10-12；SPEC字段可读性/空值；具体批准标签映射依DEC18；URL见网站详情对照。</x:v>
      </x:c>
      <x:c r="M46" s="11"/>
      <x:c r="N46" s="11"/>
      <x:c r="O46" s="11"/>
      <x:c r="P46" s="10" t="str">
        <x:v>待确认</x:v>
      </x:c>
      <x:c r="Q46" s="10" t="str">
        <x:v>待确认</x:v>
      </x:c>
      <x:c r="R46" s="10" t="str">
        <x:v>按批准组件</x:v>
      </x:c>
      <x:c r="S46" s="10" t="str">
        <x:v>UI、产品、开发</x:v>
      </x:c>
      <x:c r="T46" s="10" t="str">
        <x:v>UI核对</x:v>
      </x:c>
      <x:c r="U46" s="11"/>
      <x:c r="V46" s="11"/>
      <x:c r="W46" s="10" t="str">
        <x:v>网站观察＋批准UI基线</x:v>
      </x:c>
      <x:c r="X46" s="10"/>
      <x:c r="Y46" s="10"/>
      <x:c r="Z46" s="10"/>
      <x:c r="AA46" s="10"/>
      <x:c r="AB46" s="10"/>
      <x:c r="AC46" s="10" t="str">
        <x:v>网站补充；关联显示值与真实对象分开核对。</x:v>
      </x:c>
      <x:c r="AD46" s="10" t="str">
        <x:v>比较相同关联字段的ID/编码/名称及枚举标签，不仅比较字符串。</x:v>
      </x:c>
      <x:c r="AE46" s="10" t="str">
        <x:v>记录关联对象证据、批准字段标题和标签映射、三个视图截图/值及空值方案。</x:v>
      </x:c>
      <x:c r="AF46" s="10" t="str">
        <x:f>IF(D46="否","不适用",IF(D46&lt;&gt;"是","未纳入本批",IF(OR(LEN(TRIM('本批提测'!$B$10))=0,LEN(TRIM('本批提测'!$B$11))=0,'本批提测'!$B$12&lt;&gt;"已确认",F46&lt;&gt;"已确认",'本批提测'!$H$57&lt;&gt;"已确认"),"待确认","已确认")))</x:f>
        <x:v>未纳入本批</x:v>
      </x:c>
      <x:c r="AG46" s="10" t="str">
        <x:v>网站对照补充</x:v>
      </x:c>
      <x:c r="AH46" s="10" t="str">
        <x:v>当前已观察显示差异；未执行批准后的UI验收，来源状态和测试结果独立。</x:v>
      </x:c>
      <x:c r="AI46" s="10" t="str">
        <x:v>通用规范/网站补充，按本批实际组件和批准基线执行，不列入五色来源分组。</x:v>
      </x:c>
      <x:c r="AJ46" s="10"/>
      <x:c r="AK46" s="10" t="str">
        <x:v>批准通用规范、设备/容差及组件采用方案；网站字段映射按原关联决策。</x:v>
      </x:c>
      <x:c r="AL46" s="10" t="str">
        <x:v>规范或网站补充；没有直接飞书Review记录，不擅自设颜色层级。</x:v>
      </x:c>
    </x:row>
    <x:row r="47" ht="183" customHeight="1">
      <x:c r="A47" s="188" t="str">
        <x:v>UI42</x:v>
      </x:c>
      <x:c r="B47" s="188" t="str">
        <x:v>全局行内编辑</x:v>
      </x:c>
      <x:c r="C47" s="188" t="str">
        <x:v>行内编辑组件、状态与数据保护</x:v>
      </x:c>
      <x:c r="D47" s="11" t="str">
        <x:v>待选择</x:v>
      </x:c>
      <x:c r="E47" s="11" t="str">
        <x:v>是</x:v>
      </x:c>
      <x:c r="F47" s="11" t="str">
        <x:v>待确认</x:v>
      </x:c>
      <x:c r="G47" s="11" t="str">
        <x:v>未执行</x:v>
      </x:c>
      <x:c r="H47" s="11"/>
      <x:c r="I47" s="10" t="str">
        <x:f>IF(D47="否","不适用",IF(D47&lt;&gt;"是","未纳入本批",IF(AND(E47&lt;&gt;"是",E47&lt;&gt;"否"),"关键项待分类",IF(AF47&lt;&gt;"已确认","依据待确认",IF('本批提测'!$B$6&lt;&gt;"已就绪","批次未就绪",IF(OR(H47&lt;&gt;'本批提测'!$B$8,G47="",G47="未执行"),"未执行",IF(V47&lt;&gt;'本批提测'!$B$18,"基线已变，需复测",IF(LEN(TRIM(U47))=0,"交付未映射",IF(AND(OR(G47="通过",G47="失败"),LEN(TRIM(M47))=0),"缺少证据",IF(AND(OR(G47="通过",G47="失败"),LEN(TRIM(O47))=0),"缺少执行人",IF(OR(G47="通过",G47="失败",G47="受阻",G47="依据待确认"),G47,"结果待填写")))))))))))</x:f>
        <x:v>未纳入本批</x:v>
      </x:c>
      <x:c r="J47" s="10" t="str">
        <x:v>前置：DEC30取得批准的行内编辑组件规范，明确适用页面/表格/字段、进入编辑方式、可编辑权限、保存/取消、加载/错误、键盘/失焦、未保存保护及返回焦点规则。本条为基于来源“产出行内编辑组件规范”的测试设计；来源未列明具体交互，不自行规定双击、失焦自动保存或尺寸。
1.在批准的专用测试行进入编辑，核仅目标字段/行改变状态、值完整回显。
2.合法变更后按批准方式保存，重新查询/刷新读回；取消另一变更后重开核原值。
3.按批准规则测受限权限、无效值、保存失败/加载及键盘/失焦/切行；确认不误保存其他行、错误可定位、失败不报成功且未保存值按方案保留。</x:v>
      </x:c>
      <x:c r="K47" s="10" t="str">
        <x:v>各状态、交互与量值符合批准行内编辑组件规范；仅有权限且批准的字段可编辑；成功保存与读回一致，取消不写入，无效/失败无错误成功反馈或串行写入。未知键盘/失焦、是否即时提交、尺寸与数据恢复按DEC30确认，不把测试设计自动当成产品契约。未取得规范时依据待确认；“修改中”是来源状态，不能代表测试通过。</x:v>
      </x:c>
      <x:c r="L47" s="10" t="str">
        <x:v>REVIEW review-294de09d51；2026-10-12视图rev637；当前仅后续建议为UI产出行内编辑组件规范，原型问题及Review建议为空；待DEC30确认具体范围。
颜色层级按飞书框架适配字段对应；批准需求与本批实测结果分别记录。</x:v>
      </x:c>
      <x:c r="M47" s="11"/>
      <x:c r="N47" s="11"/>
      <x:c r="O47" s="11"/>
      <x:c r="P47" s="10" t="str">
        <x:v>P1</x:v>
      </x:c>
      <x:c r="Q47" s="10" t="str">
        <x:v>修改中</x:v>
      </x:c>
      <x:c r="R47" s="205" t="str">
        <x:v>无法覆盖</x:v>
      </x:c>
      <x:c r="S47" s="10" t="str">
        <x:v>UI</x:v>
      </x:c>
      <x:c r="T47" s="10" t="str">
        <x:v>UI核对</x:v>
      </x:c>
      <x:c r="U47" s="11"/>
      <x:c r="V47" s="11"/>
      <x:c r="W47" s="10" t="str">
        <x:v>未批准Review方向＋测试设计</x:v>
      </x:c>
      <x:c r="X47" s="10" t="str">
        <x:v>组件使用</x:v>
      </x:c>
      <x:c r="Y47" s="10"/>
      <x:c r="Z47" s="10"/>
      <x:c r="AA47" s="10" t="str">
        <x:v>UI 产出行内编辑组件规范</x:v>
      </x:c>
      <x:c r="AB47" s="10" t="str">
        <x:v>review-294de09d51</x:v>
      </x:c>
      <x:c r="AC47" s="10" t="str">
        <x:v>补最新红色行内编辑记录；无具体规范时不编造固定交互。</x:v>
      </x:c>
      <x:c r="AD47" s="10" t="str">
        <x:v>从查看/编辑/保存/取消/加载/失败状态覆盖组件及真实数据读回，受限权限和未保存保护需产品/UI批准。</x:v>
      </x:c>
      <x:c r="AE47" s="10" t="str">
        <x:v>记录专项规范版本、适用字段、前后数据、各状态截图与交互/读回证据；配套功能结果不能由UI截图代替。</x:v>
      </x:c>
      <x:c r="AF47" s="10" t="str">
        <x:f>IF(D47="否","不适用",IF(D47&lt;&gt;"是","未纳入本批",IF(OR(LEN(TRIM('本批提测'!$B$10))=0,LEN(TRIM('本批提测'!$B$11))=0,'本批提测'!$B$12&lt;&gt;"已确认",F47&lt;&gt;"已确认",'本批提测'!$H$57&lt;&gt;"已确认",'本批提测'!$H$160&lt;&gt;"已确认"),"待确认","已确认")))</x:f>
        <x:v>未纳入本批</x:v>
      </x:c>
      <x:c r="AG47" s="10" t="str">
        <x:v>颜色层级补充</x:v>
      </x:c>
      <x:c r="AH47" s="10" t="str">
        <x:v>新增来源仅有后续处理建议，具体组件规则和适用范围仍待确认。
对应红色无法覆盖：对照批准专项设计稿/组件规范，逐结构、状态、交互验证；现有框架本身不能作为该专项的完整验收依据。</x:v>
      </x:c>
      <x:c r="AI47" s="10" t="str">
        <x:v>对照批准专项设计稿/组件规范，逐结构、状态、交互验证；现有框架本身不能作为该专项的完整验收依据。</x:v>
      </x:c>
      <x:c r="AJ47" s="10" t="str">
        <x:v>SM02、SM05、SM12、SM13</x:v>
      </x:c>
      <x:c r="AK47" s="10" t="str">
        <x:v>UI专项稿/组件规范及版本；产品确认业务边界；开发实现与测试截图/交互证据。</x:v>
      </x:c>
      <x:c r="AL47" s="10" t="str">
        <x:v>飞书直接映射：review-294de09d51，rev637；红色。</x:v>
      </x:c>
    </x:row>
  </x:sheetData>
  <x:conditionalFormatting sqref="G6:G39">
    <x:cfRule type="containsText" dxfId="78" priority="37" operator="containsText" text="失败"/>
    <x:cfRule type="containsText" dxfId="79" priority="38" operator="containsText" text="受阻"/>
    <x:cfRule type="containsText" dxfId="80" priority="39" operator="containsText" text="待确认"/>
  </x:conditionalFormatting>
  <x:conditionalFormatting sqref="I6:I39">
    <x:cfRule type="containsText" dxfId="81" priority="40" operator="containsText" text="失败"/>
    <x:cfRule type="containsText" dxfId="82" priority="41" operator="containsText" text="受阻"/>
    <x:cfRule type="containsText" dxfId="83" priority="42" operator="containsText" text="待确认"/>
  </x:conditionalFormatting>
  <x:conditionalFormatting sqref="G40:G45">
    <x:cfRule type="containsText" dxfId="102" priority="43" operator="containsText" text="失败"/>
    <x:cfRule type="containsText" dxfId="103" priority="44" operator="containsText" text="待确认"/>
  </x:conditionalFormatting>
  <x:conditionalFormatting sqref="I40:I45">
    <x:cfRule type="containsText" dxfId="104" priority="45" operator="containsText" text="失败"/>
    <x:cfRule type="containsText" dxfId="105" priority="46" operator="containsText" text="待确认"/>
  </x:conditionalFormatting>
  <x:conditionalFormatting sqref="AF40:AF45">
    <x:cfRule type="containsText" dxfId="106" priority="47" operator="containsText" text="失败"/>
    <x:cfRule type="containsText" dxfId="107" priority="48" operator="containsText" text="待确认"/>
  </x:conditionalFormatting>
  <x:conditionalFormatting sqref="R6:R47">
    <x:cfRule type="cellIs" dxfId="109" priority="49" operator="equal">
      <x:formula>"无法覆盖"</x:formula>
    </x:cfRule>
    <x:cfRule type="cellIs" dxfId="111" priority="51" operator="equal">
      <x:formula>"业务交互、信息待明确"</x:formula>
    </x:cfRule>
    <x:cfRule type="cellIs" dxfId="113" priority="53" operator="equal">
      <x:formula>"组合复用"</x:formula>
    </x:cfRule>
    <x:cfRule type="cellIs" dxfId="115" priority="55" operator="equal">
      <x:formula>"调整后复用"</x:formula>
    </x:cfRule>
    <x:cfRule type="cellIs" dxfId="117" priority="57" operator="equal">
      <x:formula>"直接复用"</x:formula>
    </x:cfRule>
  </x:conditionalFormatting>
  <x:conditionalFormatting sqref="A6:C47">
    <x:cfRule type="expression" dxfId="110" priority="50">
      <x:formula>$R6="无法覆盖"</x:formula>
    </x:cfRule>
    <x:cfRule type="expression" dxfId="112" priority="52">
      <x:formula>$R6="业务交互、信息待明确"</x:formula>
    </x:cfRule>
    <x:cfRule type="expression" dxfId="114" priority="54">
      <x:formula>$R6="组合复用"</x:formula>
    </x:cfRule>
    <x:cfRule type="expression" dxfId="116" priority="56">
      <x:formula>$R6="调整后复用"</x:formula>
    </x:cfRule>
    <x:cfRule type="expression" dxfId="118" priority="58">
      <x:formula>$R6="直接复用"</x:formula>
    </x:cfRule>
  </x:conditionalFormatting>
  <x:conditionalFormatting sqref="G47:G47">
    <x:cfRule type="containsText" dxfId="119" priority="59" operator="containsText" text="失败"/>
    <x:cfRule type="containsText" dxfId="120" priority="60" operator="containsText" text="待确认"/>
  </x:conditionalFormatting>
  <x:conditionalFormatting sqref="I47:I47">
    <x:cfRule type="containsText" dxfId="121" priority="61" operator="containsText" text="失败"/>
    <x:cfRule type="containsText" dxfId="122" priority="62" operator="containsText" text="待确认"/>
  </x:conditionalFormatting>
  <x:conditionalFormatting sqref="AF47:AF47">
    <x:cfRule type="containsText" dxfId="123" priority="63" operator="containsText" text="失败"/>
    <x:cfRule type="containsText" dxfId="124" priority="64" operator="containsText" text="待确认"/>
  </x:conditionalFormatting>
  <x:dataValidations count="16">
    <x:dataValidation type="list" sqref="D6:D39">
      <x:formula1>"待选择,是,否"</x:formula1>
    </x:dataValidation>
    <x:dataValidation type="list" sqref="E6:E39">
      <x:formula1>"是,否"</x:formula1>
    </x:dataValidation>
    <x:dataValidation type="list" sqref="F6:F39">
      <x:formula1>"待确认,已确认"</x:formula1>
    </x:dataValidation>
    <x:dataValidation type="list" sqref="G6:G39">
      <x:formula1>"未执行,通过,失败,受阻,依据待确认"</x:formula1>
    </x:dataValidation>
    <x:dataValidation type="list" sqref="D40:D45">
      <x:formula1>"待选择,是,否"</x:formula1>
    </x:dataValidation>
    <x:dataValidation type="list" sqref="E40:E45">
      <x:formula1>"是,否"</x:formula1>
    </x:dataValidation>
    <x:dataValidation type="list" sqref="F40:F45">
      <x:formula1>"待确认,已确认"</x:formula1>
    </x:dataValidation>
    <x:dataValidation type="list" sqref="G40:G45">
      <x:formula1>"未执行,通过,失败,受阻,依据待确认"</x:formula1>
    </x:dataValidation>
    <x:dataValidation type="list" sqref="D46">
      <x:formula1>"待选择,是,否"</x:formula1>
    </x:dataValidation>
    <x:dataValidation type="list" sqref="E46">
      <x:formula1>"是,否"</x:formula1>
    </x:dataValidation>
    <x:dataValidation type="list" sqref="F46">
      <x:formula1>"待确认,已确认"</x:formula1>
    </x:dataValidation>
    <x:dataValidation type="list" sqref="G46">
      <x:formula1>"未执行,通过,失败,受阻,依据待确认"</x:formula1>
    </x:dataValidation>
    <x:dataValidation type="list" sqref="D47">
      <x:formula1>"待选择,是,否"</x:formula1>
    </x:dataValidation>
    <x:dataValidation type="list" sqref="E47">
      <x:formula1>"是,否"</x:formula1>
    </x:dataValidation>
    <x:dataValidation type="list" sqref="F47">
      <x:formula1>"待确认,已确认"</x:formula1>
    </x:dataValidation>
    <x:dataValidation type="list" sqref="G47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3cfe5d06894272"/>
  </x:tableParts>
</x:worksheet>
</file>

<file path=xl/worksheets/sheet4.xml><?xml version="1.0" encoding="utf-8"?>
<x:worksheet xmlns:x="http://schemas.openxmlformats.org/spreadsheetml/2006/main">
  <x:sheetPr>
    <x:tabColor rgb="FF64748B"/>
  </x:sheetPr>
  <x:sheetViews>
    <x:sheetView workbookViewId="0">
      <x:pane xSplit="2" ySplit="5" topLeftCell="C6" activePane="bottomRight" state="frozen"/>
    </x:sheetView>
  </x:sheetViews>
  <x:sheetFormatPr defaultRowHeight="15"/>
  <x:cols>
    <x:col min="1" max="1" width="9.75" hidden="0" customWidth="1"/>
    <x:col min="2" max="2" width="45" hidden="0" customWidth="1"/>
    <x:col min="3" max="3" width="31.25" hidden="0" customWidth="1"/>
    <x:col min="4" max="4" width="43.75" hidden="0" customWidth="1"/>
    <x:col min="5" max="5" width="12.5" hidden="0" customWidth="1"/>
    <x:col min="6" max="6" width="22.5" hidden="0" customWidth="1"/>
    <x:col min="7" max="7" width="38.75" hidden="0" customWidth="1"/>
    <x:col min="8" max="8" width="4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</x:row>
    <x:row r="2" ht="33" customHeight="1">
      <x:c r="A2" s="147" t="str">
        <x:v>SN318 需求条款与用例覆盖复核</x:v>
      </x:c>
      <x:c r="B2" s="147"/>
      <x:c r="C2" s="147"/>
      <x:c r="D2" s="147"/>
      <x:c r="E2" s="147"/>
      <x:c r="F2" s="147"/>
      <x:c r="G2" s="147"/>
      <x:c r="H2" s="147"/>
    </x:row>
    <x:row r="3" ht="34.5" customHeight="1">
      <x:c r="A3" s="10" t="str">
        <x:v>2026-10-12用例设计复核｜原102条款组保留，补12映射至114；设计覆盖不等于已执行，所有128检查点未执行。</x:v>
      </x:c>
      <x:c r="B3" s="10"/>
      <x:c r="C3" s="10"/>
      <x:c r="D3" s="10"/>
      <x:c r="E3" s="10"/>
      <x:c r="F3" s="10"/>
      <x:c r="G3" s="10"/>
      <x:c r="H3" s="10"/>
    </x:row>
    <x:row r="4" ht="34.5" customHeight="1">
      <x:c r="A4" s="10" t="str">
        <x:v>新增TR103—114映射配置校验、20条Review补漏及AI/上传/量值检查。原有待决及引用边界继续保留；本表用于追溯，不驱动业务测试结论。</x:v>
      </x:c>
      <x:c r="B4" s="10"/>
      <x:c r="C4" s="10"/>
      <x:c r="D4" s="10"/>
      <x:c r="E4" s="10"/>
      <x:c r="F4" s="10"/>
      <x:c r="G4" s="10"/>
      <x:c r="H4" s="10"/>
    </x:row>
    <x:row r="5" ht="31.5" customHeight="1">
      <x:c r="A5" s="158" t="str">
        <x:v>条款组ID</x:v>
      </x:c>
      <x:c r="B5" s="158" t="str">
        <x:v>需求条款／出处</x:v>
      </x:c>
      <x:c r="C5" s="158" t="str">
        <x:v>对应检查ID</x:v>
      </x:c>
      <x:c r="D5" s="158" t="str">
        <x:v>边界／异常核对点</x:v>
      </x:c>
      <x:c r="E5" s="158" t="str">
        <x:v>本轮处理</x:v>
      </x:c>
      <x:c r="F5" s="158" t="str">
        <x:v>依据属性</x:v>
      </x:c>
      <x:c r="G5" s="158" t="str">
        <x:v>未决口径／适用条件</x:v>
      </x:c>
      <x:c r="H5" s="158" t="str">
        <x:v>需求原文链接</x:v>
      </x:c>
    </x:row>
    <x:row r="6" ht="81" customHeight="1">
      <x:c r="A6" s="156" t="str">
        <x:v>TR001</x:v>
      </x:c>
      <x:c r="B6" s="156" t="str">
        <x:v>§6.1 无工单／审批；保存态、提交发布和启用生效条件分别检查</x:v>
      </x:c>
      <x:c r="C6" s="156" t="str">
        <x:v>SM21、SM24、SM25、SM26</x:v>
      </x:c>
      <x:c r="D6" s="156" t="str">
        <x:v>保存成功≠发布；启用仍受报价时点／有效期与状态约束</x:v>
      </x:c>
      <x:c r="E6" s="156" t="str">
        <x:v>本轮修正</x:v>
      </x:c>
      <x:c r="F6" s="156" t="str">
        <x:v>需求正文</x:v>
      </x:c>
      <x:c r="G6" s="156" t="str">
        <x:v>DEC11产品保存态冲突</x:v>
      </x:c>
      <x:c r="H6" s="156" t="str">
        <x:v>https://example.invalid/source/a6ce84f7a5</x:v>
      </x:c>
    </x:row>
    <x:row r="7" ht="81" customHeight="1">
      <x:c r="A7" s="154" t="str">
        <x:v>TR002</x:v>
      </x:c>
      <x:c r="B7" s="154" t="str">
        <x:v>§6.1 服务单元／AI、价格、产品、计价需求清单</x:v>
      </x:c>
      <x:c r="C7" s="154" t="str">
        <x:v>SM21–27、SM29–82</x:v>
      </x:c>
      <x:c r="D7" s="154" t="str">
        <x:v>按分批清单逐交付映射，不把P0整个模块自动纳入</x:v>
      </x:c>
      <x:c r="E7" s="154" t="str">
        <x:v>范围待确认</x:v>
      </x:c>
      <x:c r="F7" s="154" t="str">
        <x:v>需求正文</x:v>
      </x:c>
      <x:c r="G7" s="154" t="str">
        <x:v>实际交付清单尚未填写</x:v>
      </x:c>
      <x:c r="H7" s="154" t="str">
        <x:v>https://example.invalid/source/a6ce84f7a5</x:v>
      </x:c>
    </x:row>
    <x:row r="8" ht="81" customHeight="1">
      <x:c r="A8" s="156" t="str">
        <x:v>TR003</x:v>
      </x:c>
      <x:c r="B8" s="156" t="str">
        <x:v>§6.1 P1百运接口与agent工作台</x:v>
      </x:c>
      <x:c r="C8" s="156" t="str">
        <x:v>—</x:v>
      </x:c>
      <x:c r="D8" s="156" t="str">
        <x:v>不以AI建档用例替代修改时间／价格／组合／限制的agent验收</x:v>
      </x:c>
      <x:c r="E8" s="156" t="str">
        <x:v>仅范围条目</x:v>
      </x:c>
      <x:c r="F8" s="156" t="str">
        <x:v>需求正文</x:v>
      </x:c>
      <x:c r="G8" s="156" t="str">
        <x:v>如纳入本批需补接口及agent专项契约与用例</x:v>
      </x:c>
      <x:c r="H8" s="156" t="str">
        <x:v>https://example.invalid/source/a6ce84f7a5</x:v>
      </x:c>
    </x:row>
    <x:row r="9" ht="81" customHeight="1">
      <x:c r="A9" s="154" t="str">
        <x:v>TR004</x:v>
      </x:c>
      <x:c r="B9" s="154" t="str">
        <x:v>§6.2 单元列表实体／价卡状态、字段及查询</x:v>
      </x:c>
      <x:c r="C9" s="154" t="str">
        <x:v>SM22、SM29、SM63、SM82</x:v>
      </x:c>
      <x:c r="D9" s="154" t="str">
        <x:v>实体启用与价卡生效中不同；默认全部，字段来源</x:v>
      </x:c>
      <x:c r="E9" s="154" t="str">
        <x:v>前轮补充</x:v>
      </x:c>
      <x:c r="F9" s="154" t="str">
        <x:v>需求正文</x:v>
      </x:c>
      <x:c r="G9" s="154" t="str">
        <x:v>—</x:v>
      </x:c>
      <x:c r="H9" s="154" t="str">
        <x:v>https://example.invalid/source/de955c6992</x:v>
      </x:c>
    </x:row>
    <x:row r="10" ht="81" customHeight="1">
      <x:c r="A10" s="156" t="str">
        <x:v>TR005</x:v>
      </x:c>
      <x:c r="B10" s="156" t="str">
        <x:v>§6.2 单元创建自动卡及两种保存状态</x:v>
      </x:c>
      <x:c r="C10" s="156" t="str">
        <x:v>SM21、SM39、SM40</x:v>
      </x:c>
      <x:c r="D10" s="156" t="str">
        <x:v>待生效同步；保存启用不必然在时间期内</x:v>
      </x:c>
      <x:c r="E10" s="156" t="str">
        <x:v>已覆盖</x:v>
      </x:c>
      <x:c r="F10" s="156" t="str">
        <x:v>需求正文</x:v>
      </x:c>
      <x:c r="G10" s="156" t="str">
        <x:v>DEC13同步／初始卡行</x:v>
      </x:c>
      <x:c r="H10" s="156" t="str">
        <x:v>https://example.invalid/source/de955c6992</x:v>
      </x:c>
    </x:row>
    <x:row r="11" ht="81" customHeight="1">
      <x:c r="A11" s="154" t="str">
        <x:v>TR006</x:v>
      </x:c>
      <x:c r="B11" s="154" t="str">
        <x:v>§6.2 单元名称三段、允许字符和历史名豁免</x:v>
      </x:c>
      <x:c r="C11" s="154" t="str">
        <x:v>SM29</x:v>
      </x:c>
      <x:c r="D11" s="154" t="str">
        <x:v>两段／非法字符／旧名未改与已改</x:v>
      </x:c>
      <x:c r="E11" s="154" t="str">
        <x:v>前轮修正</x:v>
      </x:c>
      <x:c r="F11" s="154" t="str">
        <x:v>需求正文</x:v>
      </x:c>
      <x:c r="G11" s="154" t="str">
        <x:v>DEC15空格及特殊字符计数／归一</x:v>
      </x:c>
      <x:c r="H11" s="154" t="str">
        <x:v>https://example.invalid/source/de955c6992</x:v>
      </x:c>
    </x:row>
    <x:row r="12" ht="81" customHeight="1">
      <x:c r="A12" s="156" t="str">
        <x:v>TR007</x:v>
      </x:c>
      <x:c r="B12" s="156" t="str">
        <x:v>§6.2 单元编码前缀+8位自增、只读</x:v>
      </x:c>
      <x:c r="C12" s="156" t="str">
        <x:v>SM29</x:v>
      </x:c>
      <x:c r="D12" s="156" t="str">
        <x:v>单范围生成、不可改；多范围前缀未定义</x:v>
      </x:c>
      <x:c r="E12" s="156" t="str">
        <x:v>已覆盖</x:v>
      </x:c>
      <x:c r="F12" s="156" t="str">
        <x:v>需求正文</x:v>
      </x:c>
      <x:c r="G12" s="156" t="str">
        <x:v>DEC15多范围前缀</x:v>
      </x:c>
      <x:c r="H12" s="156" t="str">
        <x:v>https://example.invalid/source/de955c6992</x:v>
      </x:c>
    </x:row>
    <x:row r="13" ht="81" customHeight="1">
      <x:c r="A13" s="154" t="str">
        <x:v>TR008</x:v>
      </x:c>
      <x:c r="B13" s="154" t="str">
        <x:v>§6.2 覆盖范围、启用服务商来源及必填</x:v>
      </x:c>
      <x:c r="C13" s="154" t="str">
        <x:v>SM21、SM29</x:v>
      </x:c>
      <x:c r="D13" s="154" t="str">
        <x:v>空范围／空商、启用供应商、单／多范围</x:v>
      </x:c>
      <x:c r="E13" s="154" t="str">
        <x:v>已覆盖</x:v>
      </x:c>
      <x:c r="F13" s="154" t="str">
        <x:v>需求正文</x:v>
      </x:c>
      <x:c r="G13" s="154" t="str">
        <x:v>—</x:v>
      </x:c>
      <x:c r="H13" s="154" t="str">
        <x:v>https://example.invalid/source/de955c6992</x:v>
      </x:c>
    </x:row>
    <x:row r="14" ht="81" customHeight="1">
      <x:c r="A14" s="156" t="str">
        <x:v>TR009</x:v>
      </x:c>
      <x:c r="B14" s="156" t="str">
        <x:v>§6.2 整数抛比及KG/CBM自动换算</x:v>
      </x:c>
      <x:c r="C14" s="156" t="str">
        <x:v>SM29</x:v>
      </x:c>
      <x:c r="D14" s="156" t="str">
        <x:v>空、整数、小数、非数；除零边界待决</x:v>
      </x:c>
      <x:c r="E14" s="156" t="str">
        <x:v>前轮修正</x:v>
      </x:c>
      <x:c r="F14" s="156" t="str">
        <x:v>需求正文</x:v>
      </x:c>
      <x:c r="G14" s="156" t="str">
        <x:v>DEC15零负与显示精度</x:v>
      </x:c>
      <x:c r="H14" s="156" t="str">
        <x:v>https://example.invalid/source/de955c6992</x:v>
      </x:c>
    </x:row>
    <x:row r="15" ht="81" customHeight="1">
      <x:c r="A15" s="154" t="str">
        <x:v>TR010</x:v>
      </x:c>
      <x:c r="B15" s="154" t="str">
        <x:v>§6.2 选填容量／时间和货型未选全部</x:v>
      </x:c>
      <x:c r="C15" s="154" t="str">
        <x:v>SM63</x:v>
      </x:c>
      <x:c r="D15" s="154" t="str">
        <x:v>容量空／0／小数；货型空／选；日期与时间控件冲突</x:v>
      </x:c>
      <x:c r="E15" s="154" t="str">
        <x:v>前轮补充</x:v>
      </x:c>
      <x:c r="F15" s="154" t="str">
        <x:v>需求正文</x:v>
      </x:c>
      <x:c r="G15" s="154" t="str">
        <x:v>DEC15时间及容量零负</x:v>
      </x:c>
      <x:c r="H15" s="154" t="str">
        <x:v>https://example.invalid/source/de955c6992</x:v>
      </x:c>
    </x:row>
    <x:row r="16" ht="81" customHeight="1">
      <x:c r="A16" s="156" t="str">
        <x:v>TR011</x:v>
      </x:c>
      <x:c r="B16" s="156" t="str">
        <x:v>§6.2 操作内容选填最多2000字符</x:v>
      </x:c>
      <x:c r="C16" s="156" t="str">
        <x:v>SM29</x:v>
      </x:c>
      <x:c r="D16" s="156" t="str">
        <x:v>空／2000／2001与保存读回</x:v>
      </x:c>
      <x:c r="E16" s="156" t="str">
        <x:v>已覆盖</x:v>
      </x:c>
      <x:c r="F16" s="156" t="str">
        <x:v>需求正文</x:v>
      </x:c>
      <x:c r="G16" s="156" t="str">
        <x:v>字符计数及截断交互需本批批准</x:v>
      </x:c>
      <x:c r="H16" s="156" t="str">
        <x:v>https://example.invalid/source/de955c6992</x:v>
      </x:c>
    </x:row>
    <x:row r="17" ht="81" customHeight="1">
      <x:c r="A17" s="154" t="str">
        <x:v>TR012</x:v>
      </x:c>
      <x:c r="B17" s="154" t="str">
        <x:v>§6.2 下单限制搜索、多选、跨页和数量</x:v>
      </x:c>
      <x:c r="C17" s="154" t="str">
        <x:v>SM57、SM63、UI03</x:v>
      </x:c>
      <x:c r="D17" s="154" t="str">
        <x:v>选择跨页不丢失；计数Review冲突</x:v>
      </x:c>
      <x:c r="E17" s="154" t="str">
        <x:v>前轮补充</x:v>
      </x:c>
      <x:c r="F17" s="154" t="str">
        <x:v>需求正文</x:v>
      </x:c>
      <x:c r="G17" s="154" t="str">
        <x:v>DEC22正文数量提示与Review去汇总</x:v>
      </x:c>
      <x:c r="H17" s="154" t="str">
        <x:v>https://example.invalid/source/de955c6992</x:v>
      </x:c>
    </x:row>
    <x:row r="18" ht="81" customHeight="1">
      <x:c r="A18" s="156" t="str">
        <x:v>TR013</x:v>
      </x:c>
      <x:c r="B18" s="156" t="str">
        <x:v>§6.2 单元无删除；停用新编排及保留旧链路</x:v>
      </x:c>
      <x:c r="C18" s="156" t="str">
        <x:v>SM22、SM30</x:v>
      </x:c>
      <x:c r="D18" s="156" t="str">
        <x:v>关系保留不代表停用仍正常执行</x:v>
      </x:c>
      <x:c r="E18" s="156" t="str">
        <x:v>已覆盖</x:v>
      </x:c>
      <x:c r="F18" s="156" t="str">
        <x:v>需求正文</x:v>
      </x:c>
      <x:c r="G18" s="156" t="str">
        <x:v>—</x:v>
      </x:c>
      <x:c r="H18" s="156" t="str">
        <x:v>https://example.invalid/source/de955c6992</x:v>
      </x:c>
    </x:row>
    <x:row r="19" ht="81" customHeight="1">
      <x:c r="A19" s="154" t="str">
        <x:v>TR014</x:v>
      </x:c>
      <x:c r="B19" s="154" t="str">
        <x:v>§6.2 编辑被引用单元直接保存及历史快照</x:v>
      </x:c>
      <x:c r="C19" s="154" t="str">
        <x:v>SM30</x:v>
      </x:c>
      <x:c r="D19" s="154" t="str">
        <x:v>不改产品已发布、不要求重发、历史不改</x:v>
      </x:c>
      <x:c r="E19" s="154" t="str">
        <x:v>已覆盖</x:v>
      </x:c>
      <x:c r="F19" s="154" t="str">
        <x:v>需求正文</x:v>
      </x:c>
      <x:c r="G19" s="154" t="str">
        <x:v>DEC13同步边界</x:v>
      </x:c>
      <x:c r="H19" s="154" t="str">
        <x:v>https://example.invalid/source/de955c6992</x:v>
      </x:c>
    </x:row>
    <x:row r="20" ht="81" customHeight="1">
      <x:c r="A20" s="156" t="str">
        <x:v>TR015</x:v>
      </x:c>
      <x:c r="B20" s="156" t="str">
        <x:v>§6.2 组合筛选包含、交集、搜索／Enter及回第一页</x:v>
      </x:c>
      <x:c r="C20" s="156" t="str">
        <x:v>SM64</x:v>
      </x:c>
      <x:c r="D20" s="156" t="str">
        <x:v>101数据、范围包含、多条件交集</x:v>
      </x:c>
      <x:c r="E20" s="156" t="str">
        <x:v>前轮补充</x:v>
      </x:c>
      <x:c r="F20" s="156" t="str">
        <x:v>需求正文</x:v>
      </x:c>
      <x:c r="G20" s="156" t="str">
        <x:v>—</x:v>
      </x:c>
      <x:c r="H20" s="156" t="str">
        <x:v>https://example.invalid/source/de955c6992</x:v>
      </x:c>
    </x:row>
    <x:row r="21" ht="81" customHeight="1">
      <x:c r="A21" s="154" t="str">
        <x:v>TR016</x:v>
      </x:c>
      <x:c r="B21" s="154" t="str">
        <x:v>§6.2 组合分页10/50/100、两类空态、空值0</x:v>
      </x:c>
      <x:c r="C21" s="154" t="str">
        <x:v>SM64</x:v>
      </x:c>
      <x:c r="D21" s="154" t="str">
        <x:v>末页不足整页、无数据／无匹配、空—和0</x:v>
      </x:c>
      <x:c r="E21" s="154" t="str">
        <x:v>前轮补充</x:v>
      </x:c>
      <x:c r="F21" s="154" t="str">
        <x:v>需求正文</x:v>
      </x:c>
      <x:c r="G21" s="154" t="str">
        <x:v>—</x:v>
      </x:c>
      <x:c r="H21" s="154" t="str">
        <x:v>https://example.invalid/source/de955c6992</x:v>
      </x:c>
    </x:row>
    <x:row r="22" ht="81" customHeight="1">
      <x:c r="A22" s="156" t="str">
        <x:v>TR017</x:v>
      </x:c>
      <x:c r="B22" s="156" t="str">
        <x:v>§6.2 组合编码打开详情、编辑当前、历史只读</x:v>
      </x:c>
      <x:c r="C22" s="156" t="str">
        <x:v>SM31、SM54、SM82</x:v>
      </x:c>
      <x:c r="D22" s="156" t="str">
        <x:v>错对象／空白新建／历史误开放动作</x:v>
      </x:c>
      <x:c r="E22" s="156" t="str">
        <x:v>前轮补充</x:v>
      </x:c>
      <x:c r="F22" s="156" t="str">
        <x:v>需求正文</x:v>
      </x:c>
      <x:c r="G22" s="156" t="str">
        <x:v>—</x:v>
      </x:c>
      <x:c r="H22" s="156" t="str">
        <x:v>https://example.invalid/source/de955c6992</x:v>
      </x:c>
    </x:row>
    <x:row r="23" ht="81" customHeight="1">
      <x:c r="A23" s="154" t="str">
        <x:v>TR018</x:v>
      </x:c>
      <x:c r="B23" s="154" t="str">
        <x:v>§6.2 组合覆盖去重A–F、成员数／类型自动</x:v>
      </x:c>
      <x:c r="C23" s="154" t="str">
        <x:v>SM32、SM65</x:v>
      </x:c>
      <x:c r="D23" s="154" t="str">
        <x:v>0/1/多成员、重复范围、单／多段转换</x:v>
      </x:c>
      <x:c r="E23" s="154" t="str">
        <x:v>前轮补充</x:v>
      </x:c>
      <x:c r="F23" s="154" t="str">
        <x:v>需求正文</x:v>
      </x:c>
      <x:c r="G23" s="154" t="str">
        <x:v>—</x:v>
      </x:c>
      <x:c r="H23" s="154" t="str">
        <x:v>https://example.invalid/source/de955c6992</x:v>
      </x:c>
    </x:row>
    <x:row r="24" ht="81" customHeight="1">
      <x:c r="A24" s="156" t="str">
        <x:v>TR019</x:v>
      </x:c>
      <x:c r="B24" s="156" t="str">
        <x:v>§6.2 组合X/Y直接引用及产品编码去重</x:v>
      </x:c>
      <x:c r="C24" s="156" t="str">
        <x:v>SM61</x:v>
      </x:c>
      <x:c r="D24" s="156" t="str">
        <x:v>4/6、0/0、历史／间接引用不累加、移除／启停</x:v>
      </x:c>
      <x:c r="E24" s="156" t="str">
        <x:v>已覆盖</x:v>
      </x:c>
      <x:c r="F24" s="156" t="str">
        <x:v>需求正文</x:v>
      </x:c>
      <x:c r="G24" s="156" t="str">
        <x:v>—</x:v>
      </x:c>
      <x:c r="H24" s="156" t="str">
        <x:v>https://example.invalid/source/de955c6992</x:v>
      </x:c>
    </x:row>
    <x:row r="25" ht="81" customHeight="1">
      <x:c r="A25" s="154" t="str">
        <x:v>TR020</x:v>
      </x:c>
      <x:c r="B25" s="154" t="str">
        <x:v>§6.2 组合停用、引用保护、删除留历史日志</x:v>
      </x:c>
      <x:c r="C25" s="154" t="str">
        <x:v>SM33</x:v>
      </x:c>
      <x:c r="D25" s="154" t="str">
        <x:v>画布／产品引用、取消、无引用删除</x:v>
      </x:c>
      <x:c r="E25" s="154" t="str">
        <x:v>前轮修正</x:v>
      </x:c>
      <x:c r="F25" s="154" t="str">
        <x:v>需求正文</x:v>
      </x:c>
      <x:c r="G25" s="154" t="str">
        <x:v>—</x:v>
      </x:c>
      <x:c r="H25" s="154" t="str">
        <x:v>https://example.invalid/source/de955c6992</x:v>
      </x:c>
    </x:row>
    <x:row r="26" ht="81" customHeight="1">
      <x:c r="A26" s="156" t="str">
        <x:v>TR021</x:v>
      </x:c>
      <x:c r="B26" s="156" t="str">
        <x:v>§6.2 组合批量混状态、跳过、确认和清选择</x:v>
      </x:c>
      <x:c r="C26" s="156" t="str">
        <x:v>SM28、SM33、SM64</x:v>
      </x:c>
      <x:c r="D26" s="156" t="str">
        <x:v>0选／全跳过／部分成功／全部成功</x:v>
      </x:c>
      <x:c r="E26" s="156" t="str">
        <x:v>前轮修正</x:v>
      </x:c>
      <x:c r="F26" s="156" t="str">
        <x:v>需求正文</x:v>
      </x:c>
      <x:c r="G26" s="156" t="str">
        <x:v>—</x:v>
      </x:c>
      <x:c r="H26" s="156" t="str">
        <x:v>https://example.invalid/source/de955c6992</x:v>
      </x:c>
    </x:row>
    <x:row r="27" ht="81" customHeight="1">
      <x:c r="A27" s="154" t="str">
        <x:v>TR022</x:v>
      </x:c>
      <x:c r="B27" s="154" t="str">
        <x:v>§6.2 服务单元／组合导出真实文件</x:v>
      </x:c>
      <x:c r="C27" s="154" t="str">
        <x:v>SM55</x:v>
      </x:c>
      <x:c r="D27" s="154" t="str">
        <x:v>文件内容／范围／格式，演示提示非通过</x:v>
      </x:c>
      <x:c r="E27" s="154" t="str">
        <x:v>已覆盖</x:v>
      </x:c>
      <x:c r="F27" s="154" t="str">
        <x:v>需求正文</x:v>
      </x:c>
      <x:c r="G27" s="154" t="str">
        <x:v>DEC08格式及范围；需真实交付</x:v>
      </x:c>
      <x:c r="H27" s="154" t="str">
        <x:v>https://example.invalid/source/de955c6992</x:v>
      </x:c>
    </x:row>
    <x:row r="28" ht="81" customHeight="1">
      <x:c r="A28" s="156" t="str">
        <x:v>TR023</x:v>
      </x:c>
      <x:c r="B28" s="156" t="str">
        <x:v>§6.2 组合名trim必填、编码可空分配及稳定</x:v>
      </x:c>
      <x:c r="C28" s="156" t="str">
        <x:v>SM31、SM66</x:v>
      </x:c>
      <x:c r="D28" s="156" t="str">
        <x:v>首尾空／纯空白；无重复编码分配／版本稳定</x:v>
      </x:c>
      <x:c r="E28" s="156" t="str">
        <x:v>已覆盖</x:v>
      </x:c>
      <x:c r="F28" s="156" t="str">
        <x:v>需求正文</x:v>
      </x:c>
      <x:c r="G28" s="156" t="str">
        <x:v>编码自定义合法格式未定义</x:v>
      </x:c>
      <x:c r="H28" s="156" t="str">
        <x:v>https://example.invalid/source/de955c6992</x:v>
      </x:c>
    </x:row>
    <x:row r="29" ht="81" customHeight="1">
      <x:c r="A29" s="154" t="str">
        <x:v>TR024</x:v>
      </x:c>
      <x:c r="B29" s="154" t="str">
        <x:v>§6.2 策略必填默认优先级、仅可执行普通算法</x:v>
      </x:c>
      <x:c r="C29" s="154" t="str">
        <x:v>SM31、SM62、SM66</x:v>
      </x:c>
      <x:c r="D29" s="154" t="str">
        <x:v>失去执行资格后提交必须重校验</x:v>
      </x:c>
      <x:c r="E29" s="154" t="str">
        <x:v>前轮补充</x:v>
      </x:c>
      <x:c r="F29" s="154" t="str">
        <x:v>需求正文</x:v>
      </x:c>
      <x:c r="G29" s="154" t="str">
        <x:v>—</x:v>
      </x:c>
      <x:c r="H29" s="154" t="str">
        <x:v>https://example.invalid/source/de955c6992</x:v>
      </x:c>
    </x:row>
    <x:row r="30" ht="81" customHeight="1">
      <x:c r="A30" s="156" t="str">
        <x:v>TR025</x:v>
      </x:c>
      <x:c r="B30" s="156" t="str">
        <x:v>§6.2 成员至少1、不重复、不嵌套、搜索保留</x:v>
      </x:c>
      <x:c r="C30" s="156" t="str">
        <x:v>SM32、SM65</x:v>
      </x:c>
      <x:c r="D30" s="156" t="str">
        <x:v>0/1、重复／嵌套、搜索取消</x:v>
      </x:c>
      <x:c r="E30" s="156" t="str">
        <x:v>前轮修正</x:v>
      </x:c>
      <x:c r="F30" s="156" t="str">
        <x:v>需求正文</x:v>
      </x:c>
      <x:c r="G30" s="156" t="str">
        <x:v>—</x:v>
      </x:c>
      <x:c r="H30" s="156" t="str">
        <x:v>https://example.invalid/source/de955c6992</x:v>
      </x:c>
    </x:row>
    <x:row r="31" ht="81" customHeight="1">
      <x:c r="A31" s="154" t="str">
        <x:v>TR026</x:v>
      </x:c>
      <x:c r="B31" s="154" t="str">
        <x:v>§6.2 新选停用排除、旧停用保留、角色优先级不重置</x:v>
      </x:c>
      <x:c r="C31" s="154" t="str">
        <x:v>SM32、SM65</x:v>
      </x:c>
      <x:c r="D31" s="154" t="str">
        <x:v>成员增减、停用旧成员、保存回显</x:v>
      </x:c>
      <x:c r="E31" s="154" t="str">
        <x:v>前轮补充</x:v>
      </x:c>
      <x:c r="F31" s="154" t="str">
        <x:v>需求正文</x:v>
      </x:c>
      <x:c r="G31" s="154" t="str">
        <x:v>—</x:v>
      </x:c>
      <x:c r="H31" s="154" t="str">
        <x:v>https://example.invalid/source/de955c6992</x:v>
      </x:c>
    </x:row>
    <x:row r="32" ht="81" customHeight="1">
      <x:c r="A32" s="156" t="str">
        <x:v>TR027</x:v>
      </x:c>
      <x:c r="B32" s="156" t="str">
        <x:v>§6.2 同服务商每范围最多1；不同商范围约束</x:v>
      </x:c>
      <x:c r="C32" s="156" t="str">
        <x:v>SM32、SM65</x:v>
      </x:c>
      <x:c r="D32" s="156" t="str">
        <x:v>同商同范围第2个拒绝；不同商不擅推规则</x:v>
      </x:c>
      <x:c r="E32" s="156" t="str">
        <x:v>前轮修正</x:v>
      </x:c>
      <x:c r="F32" s="156" t="str">
        <x:v>需求正文</x:v>
      </x:c>
      <x:c r="G32" s="156" t="str">
        <x:v>DEC14不同服务商约束</x:v>
      </x:c>
      <x:c r="H32" s="156" t="str">
        <x:v>https://example.invalid/source/de955c6992</x:v>
      </x:c>
    </x:row>
    <x:row r="33" ht="81" customHeight="1">
      <x:c r="A33" s="154" t="str">
        <x:v>TR028</x:v>
      </x:c>
      <x:c r="B33" s="154" t="str">
        <x:v>§6.2 恰1主用、其他后备、全局唯一正整数优先级</x:v>
      </x:c>
      <x:c r="C33" s="154" t="str">
        <x:v>SM32</x:v>
      </x:c>
      <x:c r="D33" s="154" t="str">
        <x:v>0/1/2主用；0/-1/1.5/重复优先级</x:v>
      </x:c>
      <x:c r="E33" s="154" t="str">
        <x:v>前轮修正</x:v>
      </x:c>
      <x:c r="F33" s="154" t="str">
        <x:v>需求正文</x:v>
      </x:c>
      <x:c r="G33" s="154" t="str">
        <x:v>—</x:v>
      </x:c>
      <x:c r="H33" s="154" t="str">
        <x:v>https://example.invalid/source/de955c6992</x:v>
      </x:c>
    </x:row>
    <x:row r="34" ht="81" customHeight="1">
      <x:c r="A34" s="156" t="str">
        <x:v>TR029</x:v>
      </x:c>
      <x:c r="B34" s="156" t="str">
        <x:v>§6.2 容量只读当前KG、空—及0 KG</x:v>
      </x:c>
      <x:c r="C34" s="156" t="str">
        <x:v>SM32、SM63、SM65</x:v>
      </x:c>
      <x:c r="D34" s="156" t="str">
        <x:v>不能保存独立容量，来源变更读当前</x:v>
      </x:c>
      <x:c r="E34" s="156" t="str">
        <x:v>前轮补充</x:v>
      </x:c>
      <x:c r="F34" s="156" t="str">
        <x:v>需求正文</x:v>
      </x:c>
      <x:c r="G34" s="156" t="str">
        <x:v>—</x:v>
      </x:c>
      <x:c r="H34" s="156" t="str">
        <x:v>https://example.invalid/source/de955c6992</x:v>
      </x:c>
    </x:row>
    <x:row r="35" ht="81" customHeight="1">
      <x:c r="A35" s="154" t="str">
        <x:v>TR030</x:v>
      </x:c>
      <x:c r="B35" s="154" t="str">
        <x:v>§6.2 保存重读资源、新增V1默认启用、编辑原状态</x:v>
      </x:c>
      <x:c r="C35" s="154" t="str">
        <x:v>SM31、SM66</x:v>
      </x:c>
      <x:c r="D35" s="154" t="str">
        <x:v>引用失效／失败、输入及旧版本保留</x:v>
      </x:c>
      <x:c r="E35" s="154" t="str">
        <x:v>前轮补充</x:v>
      </x:c>
      <x:c r="F35" s="154" t="str">
        <x:v>需求正文</x:v>
      </x:c>
      <x:c r="G35" s="154" t="str">
        <x:v>—</x:v>
      </x:c>
      <x:c r="H35" s="154" t="str">
        <x:v>https://example.invalid/source/de955c6992</x:v>
      </x:c>
    </x:row>
    <x:row r="36" ht="81" customHeight="1">
      <x:c r="A36" s="156" t="str">
        <x:v>TR031</x:v>
      </x:c>
      <x:c r="B36" s="156" t="str">
        <x:v>§6.2 无变化／启停不增配置V，成员改变不增组合V</x:v>
      </x:c>
      <x:c r="C36" s="156" t="str">
        <x:v>SM30、SM31</x:v>
      </x:c>
      <x:c r="D36" s="156" t="str">
        <x:v>真实配置与状态、层级版本隔离</x:v>
      </x:c>
      <x:c r="E36" s="156" t="str">
        <x:v>已覆盖</x:v>
      </x:c>
      <x:c r="F36" s="156" t="str">
        <x:v>需求正文</x:v>
      </x:c>
      <x:c r="G36" s="156" t="str">
        <x:v>—</x:v>
      </x:c>
      <x:c r="H36" s="156" t="str">
        <x:v>https://example.invalid/source/de955c6992</x:v>
      </x:c>
    </x:row>
    <x:row r="37" ht="81" customHeight="1">
      <x:c r="A37" s="154" t="str">
        <x:v>TR032</x:v>
      </x:c>
      <x:c r="B37" s="154" t="str">
        <x:v>§6.2 并发读取版本保护、保存历史指针原子性／缓存</x:v>
      </x:c>
      <x:c r="C37" s="154" t="str">
        <x:v>SM54、SM66</x:v>
      </x:c>
      <x:c r="D37" s="154" t="str">
        <x:v>陈旧保存被拒、故障不半保存、成功读新</x:v>
      </x:c>
      <x:c r="E37" s="154" t="str">
        <x:v>前轮补充</x:v>
      </x:c>
      <x:c r="F37" s="154" t="str">
        <x:v>需求正文</x:v>
      </x:c>
      <x:c r="G37" s="154" t="str">
        <x:v>—</x:v>
      </x:c>
      <x:c r="H37" s="154" t="str">
        <x:v>https://example.invalid/source/de955c6992</x:v>
      </x:c>
    </x:row>
    <x:row r="38" ht="81" customHeight="1">
      <x:c r="A38" s="156" t="str">
        <x:v>TR033</x:v>
      </x:c>
      <x:c r="B38" s="156" t="str">
        <x:v>§6.2 预置五策略、删除新建、详情和当前引用去重</x:v>
      </x:c>
      <x:c r="C38" s="156" t="str">
        <x:v>SM62</x:v>
      </x:c>
      <x:c r="D38" s="156" t="str">
        <x:v>0/2引用、停用组合仍计、历史不累加</x:v>
      </x:c>
      <x:c r="E38" s="156" t="str">
        <x:v>已覆盖</x:v>
      </x:c>
      <x:c r="F38" s="156" t="str">
        <x:v>需求正文</x:v>
      </x:c>
      <x:c r="G38" s="156" t="str">
        <x:v>新建为划线删除，编码为原型示例</x:v>
      </x:c>
      <x:c r="H38" s="156" t="str">
        <x:v>https://example.invalid/source/de955c6992</x:v>
      </x:c>
    </x:row>
    <x:row r="39" ht="81" customHeight="1">
      <x:c r="A39" s="154" t="str">
        <x:v>TR034</x:v>
      </x:c>
      <x:c r="B39" s="154" t="str">
        <x:v>§6.2 优先级P-01及全不可用原因</x:v>
      </x:c>
      <x:c r="C39" s="154" t="str">
        <x:v>SM34</x:v>
      </x:c>
      <x:c r="D39" s="154" t="str">
        <x:v>主用／后备准入逐一排除</x:v>
      </x:c>
      <x:c r="E39" s="154" t="str">
        <x:v>已覆盖</x:v>
      </x:c>
      <x:c r="F39" s="154" t="str">
        <x:v>需求建议待批准</x:v>
      </x:c>
      <x:c r="G39" s="154" t="str">
        <x:v>DEC14批准建议规则</x:v>
      </x:c>
      <x:c r="H39" s="154" t="str">
        <x:v>https://example.invalid/source/de955c6992</x:v>
      </x:c>
    </x:row>
    <x:row r="40" ht="81" customHeight="1">
      <x:c r="A40" s="156" t="str">
        <x:v>TR035</x:v>
      </x:c>
      <x:c r="B40" s="156" t="str">
        <x:v>§6.2 抛比P-02A、单位统一、同分及缺参数</x:v>
      </x:c>
      <x:c r="C40" s="156" t="str">
        <x:v>SM37</x:v>
      </x:c>
      <x:c r="D40" s="156" t="str">
        <x:v>0实重／缺体积／缺D；CBM转换、并列</x:v>
      </x:c>
      <x:c r="E40" s="156" t="str">
        <x:v>已覆盖</x:v>
      </x:c>
      <x:c r="F40" s="156" t="str">
        <x:v>需求正文含待决标识</x:v>
      </x:c>
      <x:c r="G40" s="156" t="str">
        <x:v>DEC14／DR-01精确算法</x:v>
      </x:c>
      <x:c r="H40" s="156" t="str">
        <x:v>https://example.invalid/source/de955c6992</x:v>
      </x:c>
    </x:row>
    <x:row r="41" ht="81" customHeight="1">
      <x:c r="A41" s="154" t="str">
        <x:v>TR036</x:v>
      </x:c>
      <x:c r="B41" s="154" t="str">
        <x:v>§6.2 容量P-03、实重、阈值及策略隔离</x:v>
      </x:c>
      <x:c r="C41" s="154" t="str">
        <x:v>SM35、SM67</x:v>
      </x:c>
      <x:c r="D41" s="154" t="str">
        <x:v>C小于／等于／大于W，空／0，不累计／拆单</x:v>
      </x:c>
      <x:c r="E41" s="154" t="str">
        <x:v>前轮补充</x:v>
      </x:c>
      <x:c r="F41" s="154" t="str">
        <x:v>需求建议待批准</x:v>
      </x:c>
      <x:c r="G41" s="154" t="str">
        <x:v>DEC14批准建议规则</x:v>
      </x:c>
      <x:c r="H41" s="154" t="str">
        <x:v>https://example.invalid/source/de955c6992</x:v>
      </x:c>
    </x:row>
    <x:row r="42" ht="81" customHeight="1">
      <x:c r="A42" s="156" t="str">
        <x:v>TR037</x:v>
      </x:c>
      <x:c r="B42" s="156" t="str">
        <x:v>§6.2 完整成本P-04、FX、并列和固定比较版本</x:v>
      </x:c>
      <x:c r="C42" s="156" t="str">
        <x:v>SM36、SM68、SM79</x:v>
      </x:c>
      <x:c r="D42" s="156" t="str">
        <x:v>低单价高总价、缺卡不能0、全失败、期间变价</x:v>
      </x:c>
      <x:c r="E42" s="156" t="str">
        <x:v>前轮补充</x:v>
      </x:c>
      <x:c r="F42" s="156" t="str">
        <x:v>需求正文</x:v>
      </x:c>
      <x:c r="G42" s="156" t="str">
        <x:v>DEC14／DEC19金额与费用口径</x:v>
      </x:c>
      <x:c r="H42" s="156" t="str">
        <x:v>https://example.invalid/source/de955c6992</x:v>
      </x:c>
    </x:row>
    <x:row r="43" ht="81" customHeight="1">
      <x:c r="A43" s="154" t="str">
        <x:v>TR038</x:v>
      </x:c>
      <x:c r="B43" s="154" t="str">
        <x:v>§6.2 最快时效P-05、选成员数据前提和日历</x:v>
      </x:c>
      <x:c r="C43" s="154" t="str">
        <x:v>SM38</x:v>
      </x:c>
      <x:c r="D43" s="154" t="str">
        <x:v>缺时间／时效；截单前/点/后、跨日</x:v>
      </x:c>
      <x:c r="E43" s="154" t="str">
        <x:v>前轮修正</x:v>
      </x:c>
      <x:c r="F43" s="154" t="str">
        <x:v>需求正文</x:v>
      </x:c>
      <x:c r="G43" s="154" t="str">
        <x:v>DEC14日历／端点；缺失提示与字段不一致</x:v>
      </x:c>
      <x:c r="H43" s="154" t="str">
        <x:v>https://example.invalid/source/de955c6992</x:v>
      </x:c>
    </x:row>
    <x:row r="44" ht="81" customHeight="1">
      <x:c r="A44" s="156" t="str">
        <x:v>TR039</x:v>
      </x:c>
      <x:c r="B44" s="156" t="str">
        <x:v>§6.3 成本卡三状态、当前列表及版本／历史</x:v>
      </x:c>
      <x:c r="C44" s="156" t="str">
        <x:v>SM23、SM40、SM82</x:v>
      </x:c>
      <x:c r="D44" s="156" t="str">
        <x:v>未来待生效、到期停用，新版未启用不取</x:v>
      </x:c>
      <x:c r="E44" s="156" t="str">
        <x:v>已覆盖</x:v>
      </x:c>
      <x:c r="F44" s="156" t="str">
        <x:v>需求正文</x:v>
      </x:c>
      <x:c r="G44" s="156" t="str">
        <x:v>DEC19时间端点</x:v>
      </x:c>
      <x:c r="H44" s="156" t="str">
        <x:v>https://example.invalid/source/5ea6a04bcc</x:v>
      </x:c>
    </x:row>
    <x:row r="45" ht="81" customHeight="1">
      <x:c r="A45" s="154" t="str">
        <x:v>TR040</x:v>
      </x:c>
      <x:c r="B45" s="154" t="str">
        <x:v>§6.3 静态默认／动态API区、不预置行</x:v>
      </x:c>
      <x:c r="C45" s="154" t="str">
        <x:v>SM42、SM70</x:v>
      </x:c>
      <x:c r="D45" s="154" t="str">
        <x:v>切分支隐藏明细，统一至少1行与动态例外冲突</x:v>
      </x:c>
      <x:c r="E45" s="154" t="str">
        <x:v>已覆盖</x:v>
      </x:c>
      <x:c r="F45" s="154" t="str">
        <x:v>需求正文</x:v>
      </x:c>
      <x:c r="G45" s="154" t="str">
        <x:v>DEC12动态分支／API失败</x:v>
      </x:c>
      <x:c r="H45" s="154" t="str">
        <x:v>https://example.invalid/source/5ea6a04bcc</x:v>
      </x:c>
    </x:row>
    <x:row r="46" ht="81" customHeight="1">
      <x:c r="A46" s="156" t="str">
        <x:v>TR041</x:v>
      </x:c>
      <x:c r="B46" s="156" t="str">
        <x:v>§6.3 编码名必填、同单元一张、唯一／创建后只读</x:v>
      </x:c>
      <x:c r="C46" s="156" t="str">
        <x:v>SM39</x:v>
      </x:c>
      <x:c r="D46" s="156" t="str">
        <x:v>重复编码／绑定／同单元名称；范围别扩大</x:v>
      </x:c>
      <x:c r="E46" s="156" t="str">
        <x:v>前轮修正</x:v>
      </x:c>
      <x:c r="F46" s="156" t="str">
        <x:v>需求正文</x:v>
      </x:c>
      <x:c r="G46" s="156" t="str">
        <x:v>DEC13自动卡新增入口</x:v>
      </x:c>
      <x:c r="H46" s="156" t="str">
        <x:v>https://example.invalid/source/5ea6a04bcc</x:v>
      </x:c>
    </x:row>
    <x:row r="47" ht="81" customHeight="1">
      <x:c r="A47" s="154" t="str">
        <x:v>TR042</x:v>
      </x:c>
      <x:c r="B47" s="154" t="str">
        <x:v>§6.3 开始严格晚于当前，结束空无限或严格晚于开始</x:v>
      </x:c>
      <x:c r="C47" s="154" t="str">
        <x:v>SM69</x:v>
      </x:c>
      <x:c r="D47" s="154" t="str">
        <x:v>T0±ε／相等、无限、旧开始编辑</x:v>
      </x:c>
      <x:c r="E47" s="154" t="str">
        <x:v>前轮补充</x:v>
      </x:c>
      <x:c r="F47" s="154" t="str">
        <x:v>需求正文</x:v>
      </x:c>
      <x:c r="G47" s="154" t="str">
        <x:v>DEC19旧卡编辑及有效期端点</x:v>
      </x:c>
      <x:c r="H47" s="154" t="str">
        <x:v>https://example.invalid/source/5ea6a04bcc</x:v>
      </x:c>
    </x:row>
    <x:row r="48" ht="81" customHeight="1">
      <x:c r="A48" s="156" t="str">
        <x:v>TR043</x:v>
      </x:c>
      <x:c r="B48" s="156" t="str">
        <x:v>§6.3 静态9种方式、要素、币种、分区、条件字段</x:v>
      </x:c>
      <x:c r="C48" s="156" t="str">
        <x:v>SM41、SM70</x:v>
      </x:c>
      <x:c r="D48" s="156" t="str">
        <x:v>逐项缺填、多选分区、均摊切换</x:v>
      </x:c>
      <x:c r="E48" s="156" t="str">
        <x:v>本轮修正</x:v>
      </x:c>
      <x:c r="F48" s="156" t="str">
        <x:v>需求正文</x:v>
      </x:c>
      <x:c r="G48" s="156" t="str">
        <x:v>九种方式明确；公式完整契约未齐，引用场景可参考但须批准算例</x:v>
      </x:c>
      <x:c r="H48" s="156" t="str">
        <x:v>https://example.invalid/source/5ea6a04bcc</x:v>
      </x:c>
    </x:row>
    <x:row r="49" ht="81" customHeight="1">
      <x:c r="A49" s="154" t="str">
        <x:v>TR044</x:v>
      </x:c>
      <x:c r="B49" s="154" t="str">
        <x:v>§6.3 价格／边界非负、终点&gt;起点、步长与固定计费</x:v>
      </x:c>
      <x:c r="C49" s="154" t="str">
        <x:v>SM41、SM70</x:v>
      </x:c>
      <x:c r="D49" s="154" t="str">
        <x:v>0/-0.01/非数；相等／逆序；0.1/0.5步长</x:v>
      </x:c>
      <x:c r="E49" s="154" t="str">
        <x:v>本轮修正</x:v>
      </x:c>
      <x:c r="F49" s="154" t="str">
        <x:v>需求正文</x:v>
      </x:c>
      <x:c r="G49" s="154" t="str">
        <x:v>DEC19静态非法步长／进位方向；不套产品行严格&gt;0</x:v>
      </x:c>
      <x:c r="H49" s="154" t="str">
        <x:v>https://example.invalid/source/5ea6a04bcc</x:v>
      </x:c>
    </x:row>
    <x:row r="50" ht="81" customHeight="1">
      <x:c r="A50" s="156" t="str">
        <x:v>TR045</x:v>
      </x:c>
      <x:c r="B50" s="156" t="str">
        <x:v>§6.3 明细复制删除、至少1有效行、首续成组／重叠</x:v>
      </x:c>
      <x:c r="C50" s="156" t="str">
        <x:v>SM41、SM70</x:v>
      </x:c>
      <x:c r="D50" s="156" t="str">
        <x:v>副本隔离、0/1行、缺续重；同分组真实重叠</x:v>
      </x:c>
      <x:c r="E50" s="156" t="str">
        <x:v>前轮修正</x:v>
      </x:c>
      <x:c r="F50" s="156" t="str">
        <x:v>需求正文</x:v>
      </x:c>
      <x:c r="G50" s="156" t="str">
        <x:v>DEC12动态例外；DEC19相邻端点</x:v>
      </x:c>
      <x:c r="H50" s="156" t="str">
        <x:v>https://example.invalid/source/5ea6a04bcc</x:v>
      </x:c>
    </x:row>
    <x:row r="51" ht="81" customHeight="1">
      <x:c r="A51" s="154" t="str">
        <x:v>TR046</x:v>
      </x:c>
      <x:c r="B51" s="154" t="str">
        <x:v>§6.3 Zone入口返回、查询即时、代码名称唯一及必填</x:v>
      </x:c>
      <x:c r="C51" s="154" t="str">
        <x:v>SM43、SM82</x:v>
      </x:c>
      <x:c r="D51" s="154" t="str">
        <x:v>空字段／重复名码、可用商及默认待生效</x:v>
      </x:c>
      <x:c r="E51" s="154" t="str">
        <x:v>已覆盖</x:v>
      </x:c>
      <x:c r="F51" s="154" t="str">
        <x:v>需求正文</x:v>
      </x:c>
      <x:c r="G51" s="154" t="str">
        <x:v>—</x:v>
      </x:c>
      <x:c r="H51" s="154" t="str">
        <x:v>https://example.invalid/source/5ea6a04bcc</x:v>
      </x:c>
    </x:row>
    <x:row r="52" ht="81" customHeight="1">
      <x:c r="A52" s="156" t="str">
        <x:v>TR047</x:v>
      </x:c>
      <x:c r="B52" s="156" t="str">
        <x:v>§6.3 Zone国家ISO搜索、多选包含/排除及邮编引用</x:v>
      </x:c>
      <x:c r="C52" s="156" t="str">
        <x:v>SM43、SM72</x:v>
      </x:c>
      <x:c r="D52" s="156" t="str">
        <x:v>同国双状态、地点更新、实际命中</x:v>
      </x:c>
      <x:c r="E52" s="156" t="str">
        <x:v>前轮补充</x:v>
      </x:c>
      <x:c r="F52" s="156" t="str">
        <x:v>需求正文</x:v>
      </x:c>
      <x:c r="G52" s="156" t="str">
        <x:v>集合排除与冲突匹配优先级未定义</x:v>
      </x:c>
      <x:c r="H52" s="156" t="str">
        <x:v>https://example.invalid/source/5ea6a04bcc</x:v>
      </x:c>
    </x:row>
    <x:row r="53" ht="81" customHeight="1">
      <x:c r="A53" s="154" t="str">
        <x:v>TR048</x:v>
      </x:c>
      <x:c r="B53" s="154" t="str">
        <x:v>§6.3 Zone V1/递增、详情编辑、仅启用匹配</x:v>
      </x:c>
      <x:c r="C53" s="154" t="str">
        <x:v>SM43、SM72</x:v>
      </x:c>
      <x:c r="D53" s="154" t="str">
        <x:v>待生效／停用不可供选择或匹配、旧快照不变</x:v>
      </x:c>
      <x:c r="E53" s="154" t="str">
        <x:v>前轮补充</x:v>
      </x:c>
      <x:c r="F53" s="154" t="str">
        <x:v>需求正文</x:v>
      </x:c>
      <x:c r="G53" s="154" t="str">
        <x:v>—</x:v>
      </x:c>
      <x:c r="H53" s="154" t="str">
        <x:v>https://example.invalid/source/5ea6a04bcc</x:v>
      </x:c>
    </x:row>
    <x:row r="54" ht="81" customHeight="1">
      <x:c r="A54" s="156" t="str">
        <x:v>TR049</x:v>
      </x:c>
      <x:c r="B54" s="156" t="str">
        <x:v>§6.3 燃油表单必填、静动态URL/API及比例非负</x:v>
      </x:c>
      <x:c r="C54" s="156" t="str">
        <x:v>SM71</x:v>
      </x:c>
      <x:c r="D54" s="156" t="str">
        <x:v>比例0/负/非数；URL-only/API-only/都空</x:v>
      </x:c>
      <x:c r="E54" s="156" t="str">
        <x:v>前轮补充</x:v>
      </x:c>
      <x:c r="F54" s="156" t="str">
        <x:v>需求正文</x:v>
      </x:c>
      <x:c r="G54" s="156" t="str">
        <x:v>—</x:v>
      </x:c>
      <x:c r="H54" s="156" t="str">
        <x:v>https://example.invalid/source/5ea6a04bcc</x:v>
      </x:c>
    </x:row>
    <x:row r="55" ht="81" customHeight="1">
      <x:c r="A55" s="154" t="str">
        <x:v>TR050</x:v>
      </x:c>
      <x:c r="B55" s="154" t="str">
        <x:v>§6.3 燃油基数费用项固定、全局/商/渠道对象</x:v>
      </x:c>
      <x:c r="C55" s="154" t="str">
        <x:v>SM71</x:v>
      </x:c>
      <x:c r="D55" s="154" t="str">
        <x:v>不可编辑费用项、对象0/1/多</x:v>
      </x:c>
      <x:c r="E55" s="154" t="str">
        <x:v>前轮补充</x:v>
      </x:c>
      <x:c r="F55" s="154" t="str">
        <x:v>需求正文</x:v>
      </x:c>
      <x:c r="G55" s="154" t="str">
        <x:v>—</x:v>
      </x:c>
      <x:c r="H55" s="154" t="str">
        <x:v>https://example.invalid/source/5ea6a04bcc</x:v>
      </x:c>
    </x:row>
    <x:row r="56" ht="81" customHeight="1">
      <x:c r="A56" s="156" t="str">
        <x:v>TR051</x:v>
      </x:c>
      <x:c r="B56" s="156" t="str">
        <x:v>§6.3 两类燃油、另计行、优先级、最新时间及不重叠</x:v>
      </x:c>
      <x:c r="C56" s="156" t="str">
        <x:v>SM44、SM76</x:v>
      </x:c>
      <x:c r="D56" s="156" t="str">
        <x:v>含燃油不双计、停高层回落、同对象重叠</x:v>
      </x:c>
      <x:c r="E56" s="156" t="str">
        <x:v>前轮补充</x:v>
      </x:c>
      <x:c r="F56" s="156" t="str">
        <x:v>需求正文</x:v>
      </x:c>
      <x:c r="G56" s="156" t="str">
        <x:v>DEC19时段端点／精度</x:v>
      </x:c>
      <x:c r="H56" s="156" t="str">
        <x:v>https://example.invalid/source/5ea6a04bcc</x:v>
      </x:c>
    </x:row>
    <x:row r="57" ht="81" customHeight="1">
      <x:c r="A57" s="154" t="str">
        <x:v>TR052</x:v>
      </x:c>
      <x:c r="B57" s="154" t="str">
        <x:v>§6.3 燃油启停删除确认／跳过、动态失败保留有效比例</x:v>
      </x:c>
      <x:c r="C57" s="154" t="str">
        <x:v>SM45</x:v>
      </x:c>
      <x:c r="D57" s="154" t="str">
        <x:v>取消、启用不可删、批量非法项、抓取失败</x:v>
      </x:c>
      <x:c r="E57" s="154" t="str">
        <x:v>已覆盖</x:v>
      </x:c>
      <x:c r="F57" s="154" t="str">
        <x:v>需求正文</x:v>
      </x:c>
      <x:c r="G57" s="154" t="str">
        <x:v>首次无有效比例的动态失败需批准</x:v>
      </x:c>
      <x:c r="H57" s="154" t="str">
        <x:v>https://example.invalid/source/5ea6a04bcc</x:v>
      </x:c>
    </x:row>
    <x:row r="58" ht="81" customHeight="1">
      <x:c r="A58" s="156" t="str">
        <x:v>TR053</x:v>
      </x:c>
      <x:c r="B58" s="156" t="str">
        <x:v>§6.4 能力默认单元、模糊查询、覆盖状态候选</x:v>
      </x:c>
      <x:c r="C58" s="156" t="str">
        <x:v>SM46、SM82</x:v>
      </x:c>
      <x:c r="D58" s="156" t="str">
        <x:v>切单元/组合；非停用含待生效</x:v>
      </x:c>
      <x:c r="E58" s="156" t="str">
        <x:v>已覆盖</x:v>
      </x:c>
      <x:c r="F58" s="156" t="str">
        <x:v>需求正文</x:v>
      </x:c>
      <x:c r="G58" s="156" t="str">
        <x:v>—</x:v>
      </x:c>
      <x:c r="H58" s="156" t="str">
        <x:v>https://example.invalid/source/ae81813008</x:v>
      </x:c>
    </x:row>
    <x:row r="59" ht="81" customHeight="1">
      <x:c r="A59" s="154" t="str">
        <x:v>TR054</x:v>
      </x:c>
      <x:c r="B59" s="154" t="str">
        <x:v>§6.4 每范围唯一、双向画布、顺序数及清空确认</x:v>
      </x:c>
      <x:c r="C59" s="154" t="str">
        <x:v>SM46</x:v>
      </x:c>
      <x:c r="D59" s="154" t="str">
        <x:v>同范围重复、移除／重选、取消清空</x:v>
      </x:c>
      <x:c r="E59" s="154" t="str">
        <x:v>已覆盖</x:v>
      </x:c>
      <x:c r="F59" s="154" t="str">
        <x:v>需求正文</x:v>
      </x:c>
      <x:c r="G59" s="154" t="str">
        <x:v>—</x:v>
      </x:c>
      <x:c r="H59" s="154" t="str">
        <x:v>https://example.invalid/source/ae81813008</x:v>
      </x:c>
    </x:row>
    <x:row r="60" ht="81" customHeight="1">
      <x:c r="A60" s="156" t="str">
        <x:v>TR055</x:v>
      </x:c>
      <x:c r="B60" s="156" t="str">
        <x:v>§6.4 30自然日临期标签及续期链接</x:v>
      </x:c>
      <x:c r="C60" s="156" t="str">
        <x:v>SM75</x:v>
      </x:c>
      <x:c r="D60" s="156" t="str">
        <x:v>29/30/31、长期／过期、多成员对象</x:v>
      </x:c>
      <x:c r="E60" s="156" t="str">
        <x:v>前轮补充</x:v>
      </x:c>
      <x:c r="F60" s="156" t="str">
        <x:v>需求正文</x:v>
      </x:c>
      <x:c r="G60" s="156" t="str">
        <x:v>30端点／日期算法和组合对象未定义</x:v>
      </x:c>
      <x:c r="H60" s="156" t="str">
        <x:v>https://example.invalid/source/ae81813008</x:v>
      </x:c>
    </x:row>
    <x:row r="61" ht="81" customHeight="1">
      <x:c r="A61" s="154" t="str">
        <x:v>TR056</x:v>
      </x:c>
      <x:c r="B61" s="154" t="str">
        <x:v>§6.4 产品名称/码/节点/抛比必填及默认信息</x:v>
      </x:c>
      <x:c r="C61" s="154" t="str">
        <x:v>SM24、SM49、SM73</x:v>
      </x:c>
      <x:c r="D61" s="154" t="str">
        <x:v>重复码、默认类型／时效／含税／公开</x:v>
      </x:c>
      <x:c r="E61" s="154" t="str">
        <x:v>前轮补充</x:v>
      </x:c>
      <x:c r="F61" s="154" t="str">
        <x:v>需求正文</x:v>
      </x:c>
      <x:c r="G61" s="154" t="str">
        <x:v>名称唯一性未规定；已删Sheet/产品时间不验收</x:v>
      </x:c>
      <x:c r="H61" s="154" t="str">
        <x:v>https://example.invalid/source/ae81813008</x:v>
      </x:c>
    </x:row>
    <x:row r="62" ht="81" customHeight="1">
      <x:c r="A62" s="156" t="str">
        <x:v>TR057</x:v>
      </x:c>
      <x:c r="B62" s="156" t="str">
        <x:v>§6.4 默认抛比最小值和截单时间交集</x:v>
      </x:c>
      <x:c r="C62" s="156" t="str">
        <x:v>SM73</x:v>
      </x:c>
      <x:c r="D62" s="156" t="str">
        <x:v>5000/6000/7000；文档周四五10–16算例</x:v>
      </x:c>
      <x:c r="E62" s="156" t="str">
        <x:v>前轮补充</x:v>
      </x:c>
      <x:c r="F62" s="156" t="str">
        <x:v>需求正文</x:v>
      </x:c>
      <x:c r="G62" s="156" t="str">
        <x:v>空交集／组合成员默认来源需批准</x:v>
      </x:c>
      <x:c r="H62" s="156" t="str">
        <x:v>https://example.invalid/source/ae81813008</x:v>
      </x:c>
    </x:row>
    <x:row r="63" ht="81" customHeight="1">
      <x:c r="A63" s="154" t="str">
        <x:v>TR058</x:v>
      </x:c>
      <x:c r="B63" s="154" t="str">
        <x:v>§6.4 默认全时、新增／复制名称清时间、页签保留</x:v>
      </x:c>
      <x:c r="C63" s="154" t="str">
        <x:v>SM47、SM74</x:v>
      </x:c>
      <x:c r="D63" s="154" t="str">
        <x:v>切卡编辑、复制原始数据、非当前卡错误定位</x:v>
      </x:c>
      <x:c r="E63" s="154" t="str">
        <x:v>前轮补充</x:v>
      </x:c>
      <x:c r="F63" s="154" t="str">
        <x:v>需求正文</x:v>
      </x:c>
      <x:c r="G63" s="154" t="str">
        <x:v>DEC19默认覆盖例外</x:v>
      </x:c>
      <x:c r="H63" s="154" t="str">
        <x:v>https://example.invalid/source/ae81813008</x:v>
      </x:c>
    </x:row>
    <x:row r="64" ht="81" customHeight="1">
      <x:c r="A64" s="156" t="str">
        <x:v>TR059</x:v>
      </x:c>
      <x:c r="B64" s="156" t="str">
        <x:v>§6.4 非默认卡起止必填不重叠，严格过期删</x:v>
      </x:c>
      <x:c r="C64" s="156" t="str">
        <x:v>SM47</x:v>
      </x:c>
      <x:c r="D64" s="156" t="str">
        <x:v>结束T−ε/T/T+ε，空结束、默认、取消</x:v>
      </x:c>
      <x:c r="E64" s="156" t="str">
        <x:v>前轮修正</x:v>
      </x:c>
      <x:c r="F64" s="156" t="str">
        <x:v>需求正文</x:v>
      </x:c>
      <x:c r="G64" s="156" t="str">
        <x:v>DEC19命中端点，不影响严格删除已明确定义</x:v>
      </x:c>
      <x:c r="H64" s="156" t="str">
        <x:v>https://example.invalid/source/ae81813008</x:v>
      </x:c>
    </x:row>
    <x:row r="65" ht="81" customHeight="1">
      <x:c r="A65" s="154" t="str">
        <x:v>TR060</x:v>
      </x:c>
      <x:c r="B65" s="154" t="str">
        <x:v>§6.4 恢复默认/新增来源、复制来源、组合第一优先级</x:v>
      </x:c>
      <x:c r="C65" s="154" t="str">
        <x:v>SM48、SM77</x:v>
      </x:c>
      <x:c r="D65" s="154" t="str">
        <x:v>三种来源不混、源变化后快照边界</x:v>
      </x:c>
      <x:c r="E65" s="154" t="str">
        <x:v>前轮补充</x:v>
      </x:c>
      <x:c r="F65" s="154" t="str">
        <x:v>需求正文</x:v>
      </x:c>
      <x:c r="G65" s="154" t="str">
        <x:v>DEC19恢复来源快照未定义</x:v>
      </x:c>
      <x:c r="H65" s="154" t="str">
        <x:v>https://example.invalid/source/ae81813008</x:v>
      </x:c>
    </x:row>
    <x:row r="66" ht="81" customHeight="1">
      <x:c r="A66" s="156" t="str">
        <x:v>TR061</x:v>
      </x:c>
      <x:c r="B66" s="156" t="str">
        <x:v>§6.4 费用默认整行、X项、范围来源及&gt;0步长</x:v>
      </x:c>
      <x:c r="C66" s="156" t="str">
        <x:v>SM74</x:v>
      </x:c>
      <x:c r="D66" s="156" t="str">
        <x:v>0/负/正步长、A→D、行删除确认</x:v>
      </x:c>
      <x:c r="E66" s="156" t="str">
        <x:v>前轮补充</x:v>
      </x:c>
      <x:c r="F66" s="156" t="str">
        <x:v>需求正文</x:v>
      </x:c>
      <x:c r="G66" s="156" t="str">
        <x:v>—</x:v>
      </x:c>
      <x:c r="H66" s="156" t="str">
        <x:v>https://example.invalid/source/ae81813008</x:v>
      </x:c>
    </x:row>
    <x:row r="67" ht="81" customHeight="1">
      <x:c r="A67" s="154" t="str">
        <x:v>TR062</x:v>
      </x:c>
      <x:c r="B67" s="154" t="str">
        <x:v>§6.4 燃油预览时点／影响行，与试算报价时间区分</x:v>
      </x:c>
      <x:c r="C67" s="154" t="str">
        <x:v>SM76</x:v>
      </x:c>
      <x:c r="D67" s="154" t="str">
        <x:v>默认当前、非默认开始、0燃油行／未命中</x:v>
      </x:c>
      <x:c r="E67" s="154" t="str">
        <x:v>前轮补充</x:v>
      </x:c>
      <x:c r="F67" s="154" t="str">
        <x:v>需求正文</x:v>
      </x:c>
      <x:c r="G67" s="154" t="str">
        <x:v>—</x:v>
      </x:c>
      <x:c r="H67" s="154" t="str">
        <x:v>https://example.invalid/source/ae81813008</x:v>
      </x:c>
    </x:row>
    <x:row r="68" ht="81" customHeight="1">
      <x:c r="A68" s="156" t="str">
        <x:v>TR063</x:v>
      </x:c>
      <x:c r="B68" s="156" t="str">
        <x:v>§6.4 产品改价／矩阵同步及单元和销售版隔离</x:v>
      </x:c>
      <x:c r="C68" s="156" t="str">
        <x:v>SM48、SM77</x:v>
      </x:c>
      <x:c r="D68" s="156" t="str">
        <x:v>未标主报价/相邻/间隔/重叠、副作用回读</x:v>
      </x:c>
      <x:c r="E68" s="156" t="str">
        <x:v>前轮修正</x:v>
      </x:c>
      <x:c r="F68" s="156" t="str">
        <x:v>需求正文</x:v>
      </x:c>
      <x:c r="G68" s="156" t="str">
        <x:v>DEC19相邻判定评论未决</x:v>
      </x:c>
      <x:c r="H68" s="156" t="str">
        <x:v>https://example.invalid/source/ae81813008</x:v>
      </x:c>
    </x:row>
    <x:row r="69" ht="81" customHeight="1">
      <x:c r="A69" s="154" t="str">
        <x:v>TR064</x:v>
      </x:c>
      <x:c r="B69" s="154" t="str">
        <x:v>§6.4 下单限制只读、同名同式去重和包含上限最大</x:v>
      </x:c>
      <x:c r="C69" s="154" t="str">
        <x:v>SM57</x:v>
      </x:c>
      <x:c r="D69" s="154" t="str">
        <x:v>同名异式/异名同式、刚好及两侧边界</x:v>
      </x:c>
      <x:c r="E69" s="154" t="str">
        <x:v>前轮修正</x:v>
      </x:c>
      <x:c r="F69" s="154" t="str">
        <x:v>需求正文</x:v>
      </x:c>
      <x:c r="G69" s="154" t="str">
        <x:v>非包含矛盾表达式未定义</x:v>
      </x:c>
      <x:c r="H69" s="154" t="str">
        <x:v>https://example.invalid/source/ae81813008</x:v>
      </x:c>
    </x:row>
    <x:row r="70" ht="81" customHeight="1">
      <x:c r="A70" s="156" t="str">
        <x:v>TR065</x:v>
      </x:c>
      <x:c r="B70" s="156" t="str">
        <x:v>§6.4 保存/提交直接发布、继续不清空、当前版本/历史</x:v>
      </x:c>
      <x:c r="C70" s="156" t="str">
        <x:v>SM24、SM49、SM50</x:v>
      </x:c>
      <x:c r="D70" s="156" t="str">
        <x:v>配置变V2／无变化不变／启停不变；全状态编辑和历史入口</x:v>
      </x:c>
      <x:c r="E70" s="156" t="str">
        <x:v>本轮修正</x:v>
      </x:c>
      <x:c r="F70" s="156" t="str">
        <x:v>需求正文</x:v>
      </x:c>
      <x:c r="G70" s="156" t="str">
        <x:v>DEC11草稿／待生效；DEC16删除划线条款</x:v>
      </x:c>
      <x:c r="H70" s="156" t="str">
        <x:v>https://example.invalid/source/ae81813008</x:v>
      </x:c>
    </x:row>
    <x:row r="71" ht="81" customHeight="1">
      <x:c r="A71" s="154" t="str">
        <x:v>TR066</x:v>
      </x:c>
      <x:c r="B71" s="154" t="str">
        <x:v>§6.4 产品列表D渠道、同状态批量及7组最近价卡日期</x:v>
      </x:c>
      <x:c r="C71" s="154" t="str">
        <x:v>SM50、SM56、SM82</x:v>
      </x:c>
      <x:c r="D71" s="154" t="str">
        <x:v>渠道真实D来源，当前日期变化，混状态不可同批</x:v>
      </x:c>
      <x:c r="E71" s="154" t="str">
        <x:v>前轮补充</x:v>
      </x:c>
      <x:c r="F71" s="154" t="str">
        <x:v>需求正文</x:v>
      </x:c>
      <x:c r="G71" s="154" t="str">
        <x:v>DEC19等时端点；列表非报价日期</x:v>
      </x:c>
      <x:c r="H71" s="154" t="str">
        <x:v>https://example.invalid/source/ae81813008</x:v>
      </x:c>
    </x:row>
    <x:row r="72" ht="81" customHeight="1">
      <x:c r="A72" s="156" t="str">
        <x:v>TR067</x:v>
      </x:c>
      <x:c r="B72" s="156" t="str">
        <x:v>§6.4 各状态模拟入口与仅发布未停用执行；初始空结果／CNY</x:v>
      </x:c>
      <x:c r="C72" s="156" t="str">
        <x:v>SM25、SM50、SM51、SM78、SM80</x:v>
      </x:c>
      <x:c r="D72" s="156" t="str">
        <x:v>页面可进入≠可计算；选择后停用再执行应中止</x:v>
      </x:c>
      <x:c r="E72" s="156" t="str">
        <x:v>本轮修正</x:v>
      </x:c>
      <x:c r="F72" s="156" t="str">
        <x:v>需求正文</x:v>
      </x:c>
      <x:c r="G72" s="156" t="str">
        <x:v>非可用状态入口自动带入／提示交互须本批批准</x:v>
      </x:c>
      <x:c r="H72" s="156" t="str">
        <x:v>https://example.invalid/source/ae81813008</x:v>
      </x:c>
    </x:row>
    <x:row r="73" ht="81" customHeight="1">
      <x:c r="A73" s="154" t="str">
        <x:v>TR068</x:v>
      </x:c>
      <x:c r="B73" s="154" t="str">
        <x:v>§6.4 模拟按实际A–F字段与共享字段</x:v>
      </x:c>
      <x:c r="C73" s="154" t="str">
        <x:v>SM51、SM78</x:v>
      </x:c>
      <x:c r="D73" s="154" t="str">
        <x:v>C类型/页数、D两个机场、F邮编货型逐一缺项</x:v>
      </x:c>
      <x:c r="E73" s="154" t="str">
        <x:v>前轮修正</x:v>
      </x:c>
      <x:c r="F73" s="154" t="str">
        <x:v>需求正文</x:v>
      </x:c>
      <x:c r="G73" s="154" t="str">
        <x:v>无F货型隐藏仍未决；B/E必填未定义</x:v>
      </x:c>
      <x:c r="H73" s="154" t="str">
        <x:v>https://example.invalid/source/ae81813008</x:v>
      </x:c>
    </x:row>
    <x:row r="74" ht="81" customHeight="1">
      <x:c r="A74" s="156" t="str">
        <x:v>TR069</x:v>
      </x:c>
      <x:c r="B74" s="156" t="str">
        <x:v>§6.4 模拟重量正、件数空1、尺寸/货值非负数字</x:v>
      </x:c>
      <x:c r="C74" s="156" t="str">
        <x:v>SM52、SM78</x:v>
      </x:c>
      <x:c r="D74" s="156" t="str">
        <x:v>0/负/正小数/非数；全空尺寸、部分尺寸</x:v>
      </x:c>
      <x:c r="E74" s="156" t="str">
        <x:v>前轮补充</x:v>
      </x:c>
      <x:c r="F74" s="156" t="str">
        <x:v>需求正文</x:v>
      </x:c>
      <x:c r="G74" s="156" t="str">
        <x:v>部分尺寸、件数0负及精度待批准</x:v>
      </x:c>
      <x:c r="H74" s="156" t="str">
        <x:v>https://example.invalid/source/ae81813008</x:v>
      </x:c>
    </x:row>
    <x:row r="75" ht="81" customHeight="1">
      <x:c r="A75" s="154" t="str">
        <x:v>TR070</x:v>
      </x:c>
      <x:c r="B75" s="154" t="str">
        <x:v>§6.4 缺卡／拒收中止、人工警告继续、燃油0警告</x:v>
      </x:c>
      <x:c r="C75" s="154" t="str">
        <x:v>SM53、SM80</x:v>
      </x:c>
      <x:c r="D75" s="154" t="str">
        <x:v>失败后旧结果不能冒充本次成功</x:v>
      </x:c>
      <x:c r="E75" s="154" t="str">
        <x:v>前轮补充</x:v>
      </x:c>
      <x:c r="F75" s="154" t="str">
        <x:v>需求正文</x:v>
      </x:c>
      <x:c r="G75" s="154" t="str">
        <x:v>未命中Zone处理未充分定义</x:v>
      </x:c>
      <x:c r="H75" s="154" t="str">
        <x:v>https://example.invalid/source/ae81813008</x:v>
      </x:c>
    </x:row>
    <x:row r="76" ht="81" customHeight="1">
      <x:c r="A76" s="156" t="str">
        <x:v>TR071</x:v>
      </x:c>
      <x:c r="B76" s="156" t="str">
        <x:v>§6.4 产品抛比、先订单重量进位再逐行计算</x:v>
      </x:c>
      <x:c r="C76" s="156" t="str">
        <x:v>SM52、SM79</x:v>
      </x:c>
      <x:c r="D76" s="156" t="str">
        <x:v>20KG核心正向冒烟；20.1→21的批准小数进位及费用行不同步长在SM79专项核对</x:v>
      </x:c>
      <x:c r="E76" s="156" t="str">
        <x:v>前轮补充</x:v>
      </x:c>
      <x:c r="F76" s="156" t="str">
        <x:v>需求正文</x:v>
      </x:c>
      <x:c r="G76" s="156" t="str">
        <x:v>DEC19方向、精度、费用公式和裁决</x:v>
      </x:c>
      <x:c r="H76" s="156" t="str">
        <x:v>https://example.invalid/source/ae81813008</x:v>
      </x:c>
    </x:row>
    <x:row r="77" ht="81" customHeight="1">
      <x:c r="A77" s="154" t="str">
        <x:v>TR072</x:v>
      </x:c>
      <x:c r="B77" s="154" t="str">
        <x:v>§6.4 FX报价版本、燃油／旺季／裁决及公司成本总和</x:v>
      </x:c>
      <x:c r="C77" s="154" t="str">
        <x:v>SM25、SM44、SM79</x:v>
      </x:c>
      <x:c r="D77" s="154" t="str">
        <x:v>燃油未命中0＋提示继续；缺卡中止；无FX另待决；含燃油不双计</x:v>
      </x:c>
      <x:c r="E77" s="154" t="str">
        <x:v>本轮修正</x:v>
      </x:c>
      <x:c r="F77" s="154" t="str">
        <x:v>需求正文</x:v>
      </x:c>
      <x:c r="G77" s="154" t="str">
        <x:v>DEC19未有效FX／裁决及舍入；燃油缺规则0是正文明确例外</x:v>
      </x:c>
      <x:c r="H77" s="154" t="str">
        <x:v>https://example.invalid/source/ae81813008</x:v>
      </x:c>
    </x:row>
    <x:row r="78" ht="81" customHeight="1">
      <x:c r="A78" s="156" t="str">
        <x:v>TR073</x:v>
      </x:c>
      <x:c r="B78" s="156" t="str">
        <x:v>§6.4 结果KPI/按范围与单元明细、命中快照/候选原因</x:v>
      </x:c>
      <x:c r="C78" s="156" t="str">
        <x:v>SM25、SM60、SM79</x:v>
      </x:c>
      <x:c r="D78" s="156" t="str">
        <x:v>实际版本／未选原因；纯CNY131账本与明细和总额核算</x:v>
      </x:c>
      <x:c r="E78" s="156" t="str">
        <x:v>本轮修正</x:v>
      </x:c>
      <x:c r="F78" s="156" t="str">
        <x:v>需求正文</x:v>
      </x:c>
      <x:c r="G78" s="156" t="str">
        <x:v>—</x:v>
      </x:c>
      <x:c r="H78" s="156" t="str">
        <x:v>https://example.invalid/source/ae81813008</x:v>
      </x:c>
    </x:row>
    <x:row r="79" ht="81" customHeight="1">
      <x:c r="A79" s="154" t="str">
        <x:v>TR074</x:v>
      </x:c>
      <x:c r="B79" s="154" t="str">
        <x:v>§6.4 请求失败/乱序/重复动作的可靠性建议</x:v>
      </x:c>
      <x:c r="C79" s="154" t="str">
        <x:v>SM05、SM80、UI23</x:v>
      </x:c>
      <x:c r="D79" s="154" t="str">
        <x:v>旧成功→新失败，A慢B快，结束加载</x:v>
      </x:c>
      <x:c r="E79" s="154" t="str">
        <x:v>前轮补充</x:v>
      </x:c>
      <x:c r="F79" s="154" t="str">
        <x:v>需求正文＋测试建议</x:v>
      </x:c>
      <x:c r="G79" s="154" t="str">
        <x:v>批准异常实现口径，无固定超时／重试数</x:v>
      </x:c>
      <x:c r="H79" s="154" t="str">
        <x:v>https://example.invalid/source/ae81813008</x:v>
      </x:c>
    </x:row>
    <x:row r="80" ht="81" customHeight="1">
      <x:c r="A80" s="156" t="str">
        <x:v>TR075</x:v>
      </x:c>
      <x:c r="B80" s="156" t="str">
        <x:v>§6.4 历史列表OMS来源、搜索排序秒/合计</x:v>
      </x:c>
      <x:c r="C80" s="156" t="str">
        <x:v>SM59</x:v>
      </x:c>
      <x:c r="D80" s="156" t="str">
        <x:v>新旧快照、筛选合计、多币种、当前改价</x:v>
      </x:c>
      <x:c r="E80" s="156" t="str">
        <x:v>已覆盖</x:v>
      </x:c>
      <x:c r="F80" s="156" t="str">
        <x:v>需求正文</x:v>
      </x:c>
      <x:c r="G80" s="156" t="str">
        <x:v>DEC21分期／OMS接入</x:v>
      </x:c>
      <x:c r="H80" s="156" t="str">
        <x:v>https://example.invalid/source/ae81813008</x:v>
      </x:c>
    </x:row>
    <x:row r="81" ht="81" customHeight="1">
      <x:c r="A81" s="154" t="str">
        <x:v>TR076</x:v>
      </x:c>
      <x:c r="B81" s="154" t="str">
        <x:v>§6.4 历史逐费用卡版本、原参数/规则/FX快照只读</x:v>
      </x:c>
      <x:c r="C81" s="154" t="str">
        <x:v>SM60</x:v>
      </x:c>
      <x:c r="D81" s="154" t="str">
        <x:v>多卡多版、明细合计=订单、关闭不写</x:v>
      </x:c>
      <x:c r="E81" s="154" t="str">
        <x:v>已覆盖</x:v>
      </x:c>
      <x:c r="F81" s="154" t="str">
        <x:v>需求正文</x:v>
      </x:c>
      <x:c r="G81" s="154" t="str">
        <x:v>DEC21分期／OMS接入</x:v>
      </x:c>
      <x:c r="H81" s="154" t="str">
        <x:v>https://example.invalid/source/ae81813008</x:v>
      </x:c>
    </x:row>
    <x:row r="82" ht="81" customHeight="1">
      <x:c r="A82" s="156" t="str">
        <x:v>TR077</x:v>
      </x:c>
      <x:c r="B82" s="156" t="str">
        <x:v>§6.4 重算原参数+当前配置仅对比、三类失败停止</x:v>
      </x:c>
      <x:c r="C82" s="156" t="str">
        <x:v>SM26、SM81</x:v>
      </x:c>
      <x:c r="D82" s="156" t="str">
        <x:v>停产品/卡失效/缺规则、差异原因及不改结算</x:v>
      </x:c>
      <x:c r="E82" s="156" t="str">
        <x:v>前轮修正</x:v>
      </x:c>
      <x:c r="F82" s="156" t="str">
        <x:v>需求正文</x:v>
      </x:c>
      <x:c r="G82" s="156" t="str">
        <x:v>DEC21外部回读证据</x:v>
      </x:c>
      <x:c r="H82" s="156" t="str">
        <x:v>https://example.invalid/source/ae81813008</x:v>
      </x:c>
    </x:row>
    <x:row r="83" ht="81" customHeight="1">
      <x:c r="A83" s="154" t="str">
        <x:v>TR078</x:v>
      </x:c>
      <x:c r="B83" s="154" t="str">
        <x:v>§6.5 分类列表/普通及编码字典必填、新增编辑删除</x:v>
      </x:c>
      <x:c r="C83" s="154" t="str">
        <x:v>SM03、SM06–18</x:v>
      </x:c>
      <x:c r="D83" s="154" t="str">
        <x:v>取消、必填、持久化、删除后新表单/历史</x:v>
      </x:c>
      <x:c r="E83" s="154" t="str">
        <x:v>已覆盖</x:v>
      </x:c>
      <x:c r="F83" s="154" t="str">
        <x:v>需求正文</x:v>
      </x:c>
      <x:c r="G83" s="154" t="str">
        <x:v>DEC06航司类型格式唯一；DEC07分类CRUD</x:v>
      </x:c>
      <x:c r="H83" s="154" t="str">
        <x:v>https://example.invalid/source/e0906cef8b</x:v>
      </x:c>
    </x:row>
    <x:row r="84" ht="81" customHeight="1">
      <x:c r="A84" s="156" t="str">
        <x:v>TR079</x:v>
      </x:c>
      <x:c r="B84" s="156" t="str">
        <x:v>§6.5 限制类型与拒收/转人工枚举</x:v>
      </x:c>
      <x:c r="C84" s="156" t="str">
        <x:v>SM18、SM53、SM57</x:v>
      </x:c>
      <x:c r="D84" s="156" t="str">
        <x:v>字典联动与两种结果不同，不走审批</x:v>
      </x:c>
      <x:c r="E84" s="156" t="str">
        <x:v>已覆盖</x:v>
      </x:c>
      <x:c r="F84" s="156" t="str">
        <x:v>需求正文</x:v>
      </x:c>
      <x:c r="G84" s="156" t="str">
        <x:v>—</x:v>
      </x:c>
      <x:c r="H84" s="156" t="str">
        <x:v>https://example.invalid/source/e0906cef8b</x:v>
      </x:c>
    </x:row>
    <x:row r="85" ht="81" customHeight="1">
      <x:c r="A85" s="154" t="str">
        <x:v>TR080</x:v>
      </x:c>
      <x:c r="B85" s="154" t="str">
        <x:v>§6.5 地点7类型、即时关键词/国家筛选/字段来源</x:v>
      </x:c>
      <x:c r="C85" s="154" t="str">
        <x:v>SM58、SM82</x:v>
      </x:c>
      <x:c r="D85" s="154" t="str">
        <x:v>默认全部、类型不是邮编、ID/双语/层级搜索</x:v>
      </x:c>
      <x:c r="E85" s="154" t="str">
        <x:v>已覆盖</x:v>
      </x:c>
      <x:c r="F85" s="154" t="str">
        <x:v>需求正文</x:v>
      </x:c>
      <x:c r="G85" s="154" t="str">
        <x:v>DEC09按钮与即时查询</x:v>
      </x:c>
      <x:c r="H85" s="154" t="str">
        <x:v>https://example.invalid/source/e0906cef8b</x:v>
      </x:c>
    </x:row>
    <x:row r="86" ht="81" customHeight="1">
      <x:c r="A86" s="156" t="str">
        <x:v>TR081</x:v>
      </x:c>
      <x:c r="B86" s="156" t="str">
        <x:v>§6.5 地点必填、ISO2、ID唯一/V与邮编属性</x:v>
      </x:c>
      <x:c r="C86" s="156" t="str">
        <x:v>SM19、SM20、SM72</x:v>
      </x:c>
      <x:c r="D86" s="156" t="str">
        <x:v>1/2/3位、重复ID、精确/前缀/区间实际匹配</x:v>
      </x:c>
      <x:c r="E86" s="156" t="str">
        <x:v>前轮修正</x:v>
      </x:c>
      <x:c r="F86" s="156" t="str">
        <x:v>需求正文</x:v>
      </x:c>
      <x:c r="G86" s="156" t="str">
        <x:v>邮编端点／歧义／非法输入未定义</x:v>
      </x:c>
      <x:c r="H86" s="156" t="str">
        <x:v>https://example.invalid/source/e0906cef8b</x:v>
      </x:c>
    </x:row>
    <x:row r="87" ht="81" customHeight="1">
      <x:c r="A87" s="154" t="str">
        <x:v>TR082</x:v>
      </x:c>
      <x:c r="B87" s="154" t="str">
        <x:v>§6.6 百运/OMS接口后续评估</x:v>
      </x:c>
      <x:c r="C87" s="154" t="str">
        <x:v>—</x:v>
      </x:c>
      <x:c r="D87" s="154" t="str">
        <x:v>不能把可访问页面/模拟桩当外部接入通过</x:v>
      </x:c>
      <x:c r="E87" s="154" t="str">
        <x:v>仅范围条目</x:v>
      </x:c>
      <x:c r="F87" s="154" t="str">
        <x:v>需求正文</x:v>
      </x:c>
      <x:c r="G87" s="154" t="str">
        <x:v>纳入本批须补正式契约和接入用例</x:v>
      </x:c>
      <x:c r="H87" s="154" t="str">
        <x:v>https://example.invalid/source/06a3c8d428</x:v>
      </x:c>
    </x:row>
    <x:row r="88" ht="81" customHeight="1">
      <x:c r="A88" s="156" t="str">
        <x:v>TR083</x:v>
      </x:c>
      <x:c r="B88" s="156" t="str">
        <x:v>§七 待确认与评论冲突不能升级确定规则</x:v>
      </x:c>
      <x:c r="C88" s="156" t="str">
        <x:v>本批提测DEC01–22；本表G列</x:v>
      </x:c>
      <x:c r="D88" s="156" t="str">
        <x:v>条件未决保持依据待确认，划线删除不验收</x:v>
      </x:c>
      <x:c r="E88" s="156" t="str">
        <x:v>范围待确认</x:v>
      </x:c>
      <x:c r="F88" s="156" t="str">
        <x:v>需求正文</x:v>
      </x:c>
      <x:c r="G88" s="156" t="str">
        <x:v>按本批冻结基线逐项决策</x:v>
      </x:c>
      <x:c r="H88" s="156" t="str">
        <x:v>https://example.invalid/source/1c01ed0937</x:v>
      </x:c>
    </x:row>
    <x:row r="89" ht="81" customHeight="1">
      <x:c r="A89" s="154" t="str">
        <x:v>TR084</x:v>
      </x:c>
      <x:c r="B89" s="154" t="str">
        <x:v>§七 01埋点下版本输出（未完成）</x:v>
      </x:c>
      <x:c r="C89" s="154" t="str">
        <x:v>—</x:v>
      </x:c>
      <x:c r="D89" s="154" t="str">
        <x:v>不把埋点事件和固定指标擅加本批</x:v>
      </x:c>
      <x:c r="E89" s="154" t="str">
        <x:v>范围待确认</x:v>
      </x:c>
      <x:c r="F89" s="154" t="str">
        <x:v>待确认清单条目</x:v>
      </x:c>
      <x:c r="G89" s="154" t="str">
        <x:v>纳入本批须事件清单和采集契约</x:v>
      </x:c>
      <x:c r="H89" s="154" t="str">
        <x:v>https://example.invalid/source/1c01ed0937</x:v>
      </x:c>
    </x:row>
    <x:row r="90" ht="81" customHeight="1">
      <x:c r="A90" s="156" t="str">
        <x:v>TR085</x:v>
      </x:c>
      <x:c r="B90" s="156" t="str">
        <x:v>§七 02渠道入口关闭的先后节奏（未完成）</x:v>
      </x:c>
      <x:c r="C90" s="156" t="str">
        <x:v>—</x:v>
      </x:c>
      <x:c r="D90" s="156" t="str">
        <x:v>当前人工沟通，下版本关闭百运入口，非立即全关</x:v>
      </x:c>
      <x:c r="E90" s="156" t="str">
        <x:v>范围待确认</x:v>
      </x:c>
      <x:c r="F90" s="156" t="str">
        <x:v>待确认清单条目</x:v>
      </x:c>
      <x:c r="G90" s="156" t="str">
        <x:v>明确本批入口/切换范围及责任</x:v>
      </x:c>
      <x:c r="H90" s="156" t="str">
        <x:v>https://example.invalid/source/1c01ed0937</x:v>
      </x:c>
    </x:row>
    <x:row r="91" ht="81" customHeight="1">
      <x:c r="A91" s="154" t="str">
        <x:v>TR086</x:v>
      </x:c>
      <x:c r="B91" s="154" t="str">
        <x:v>§七 03价格、产品审核对齐（未完成）</x:v>
      </x:c>
      <x:c r="C91" s="154" t="str">
        <x:v>SM21、SM24、SM40</x:v>
      </x:c>
      <x:c r="D91" s="154" t="str">
        <x:v>旧待办不推翻本期正文明确无审批/工单</x:v>
      </x:c>
      <x:c r="E91" s="154" t="str">
        <x:v>范围待确认</x:v>
      </x:c>
      <x:c r="F91" s="154" t="str">
        <x:v>待确认清单条目</x:v>
      </x:c>
      <x:c r="G91" s="154" t="str">
        <x:v>若业务审批范围变更先修订正式基线</x:v>
      </x:c>
      <x:c r="H91" s="154" t="str">
        <x:v>https://example.invalid/source/1c01ed0937</x:v>
      </x:c>
    </x:row>
    <x:row r="92" ht="81" customHeight="1">
      <x:c r="A92" s="156" t="str">
        <x:v>TR087</x:v>
      </x:c>
      <x:c r="B92" s="156" t="str">
        <x:v>§七 04产品规则自动文案（未完成）</x:v>
      </x:c>
      <x:c r="C92" s="156" t="str">
        <x:v>—</x:v>
      </x:c>
      <x:c r="D92" s="156" t="str">
        <x:v>不能把页面有文案当自动生成已交付</x:v>
      </x:c>
      <x:c r="E92" s="156" t="str">
        <x:v>范围待确认</x:v>
      </x:c>
      <x:c r="F92" s="156" t="str">
        <x:v>待确认清单条目</x:v>
      </x:c>
      <x:c r="G92" s="156" t="str">
        <x:v>需内容范围与生成验收规则</x:v>
      </x:c>
      <x:c r="H92" s="156" t="str">
        <x:v>https://example.invalid/source/1c01ed0937</x:v>
      </x:c>
    </x:row>
    <x:row r="93" ht="81" customHeight="1">
      <x:c r="A93" s="154" t="str">
        <x:v>TR088</x:v>
      </x:c>
      <x:c r="B93" s="154" t="str">
        <x:v>§七 05快递相关清单（已解决）</x:v>
      </x:c>
      <x:c r="C93" s="154" t="str">
        <x:v>SM18、SM51、SM57</x:v>
      </x:c>
      <x:c r="D93" s="154" t="str">
        <x:v>正文已用字段/字典验收，不推导额外枚举</x:v>
      </x:c>
      <x:c r="E93" s="154" t="str">
        <x:v>已覆盖</x:v>
      </x:c>
      <x:c r="F93" s="154" t="str">
        <x:v>待确认清单条目</x:v>
      </x:c>
      <x:c r="G93" s="154" t="str">
        <x:v>清单实际交付版本按本批基线</x:v>
      </x:c>
      <x:c r="H93" s="154" t="str">
        <x:v>https://example.invalid/source/1c01ed0937</x:v>
      </x:c>
    </x:row>
    <x:row r="94" ht="81" customHeight="1">
      <x:c r="A94" s="156" t="str">
        <x:v>TR089</x:v>
      </x:c>
      <x:c r="B94" s="156" t="str">
        <x:v>§七 06页面顺序（已解决）</x:v>
      </x:c>
      <x:c r="C94" s="156" t="str">
        <x:v>SM03、UI02、UI06</x:v>
      </x:c>
      <x:c r="D94" s="156" t="str">
        <x:v>顺序取本批批准结构，Review修改中不自动验收</x:v>
      </x:c>
      <x:c r="E94" s="156" t="str">
        <x:v>已覆盖</x:v>
      </x:c>
      <x:c r="F94" s="156" t="str">
        <x:v>待确认清单条目</x:v>
      </x:c>
      <x:c r="G94" s="156" t="str">
        <x:v>DEC02本批批准UI稿</x:v>
      </x:c>
      <x:c r="H94" s="156" t="str">
        <x:v>https://example.invalid/source/1c01ed0937</x:v>
      </x:c>
    </x:row>
    <x:row r="95" ht="81" customHeight="1">
      <x:c r="A95" s="154" t="str">
        <x:v>TR090</x:v>
      </x:c>
      <x:c r="B95" s="154" t="str">
        <x:v>§七 07金额右对齐两位小数（已解决）</x:v>
      </x:c>
      <x:c r="C95" s="154" t="str">
        <x:v>UI20、UI22、UI29</x:v>
      </x:c>
      <x:c r="D95" s="154" t="str">
        <x:v>仍与UI规范四位小数冲突，不默默任选</x:v>
      </x:c>
      <x:c r="E95" s="154" t="str">
        <x:v>已覆盖</x:v>
      </x:c>
      <x:c r="F95" s="154" t="str">
        <x:v>待确认清单条目</x:v>
      </x:c>
      <x:c r="G95" s="154" t="str">
        <x:v>DEC10两位/四位优先口径</x:v>
      </x:c>
      <x:c r="H95" s="154" t="str">
        <x:v>https://example.invalid/source/1c01ed0937</x:v>
      </x:c>
    </x:row>
    <x:row r="96" ht="81" customHeight="1">
      <x:c r="A96" s="156" t="str">
        <x:v>TR091</x:v>
      </x:c>
      <x:c r="B96" s="156" t="str">
        <x:v>§七 08运小星对话截图二次确认（未完成）</x:v>
      </x:c>
      <x:c r="C96" s="156" t="str">
        <x:v>SM27</x:v>
      </x:c>
      <x:c r="D96" s="156" t="str">
        <x:v>不把通用AI建档确认替代运小星截图场景</x:v>
      </x:c>
      <x:c r="E96" s="156" t="str">
        <x:v>范围待确认</x:v>
      </x:c>
      <x:c r="F96" s="156" t="str">
        <x:v>待确认清单条目</x:v>
      </x:c>
      <x:c r="G96" s="156" t="str">
        <x:v>纳入本批需独立交互与场景用例</x:v>
      </x:c>
      <x:c r="H96" s="156" t="str">
        <x:v>https://example.invalid/source/1c01ed0937</x:v>
      </x:c>
    </x:row>
    <x:row r="97" ht="81" customHeight="1">
      <x:c r="A97" s="154" t="str">
        <x:v>TR092</x:v>
      </x:c>
      <x:c r="B97" s="154" t="str">
        <x:v>§七 09迁移统一或分模块节奏（未完成）</x:v>
      </x:c>
      <x:c r="C97" s="154" t="str">
        <x:v>—</x:v>
      </x:c>
      <x:c r="D97" s="154" t="str">
        <x:v>本批测试库维护不能作为迁移验收</x:v>
      </x:c>
      <x:c r="E97" s="154" t="str">
        <x:v>范围待确认</x:v>
      </x:c>
      <x:c r="F97" s="154" t="str">
        <x:v>待确认清单条目</x:v>
      </x:c>
      <x:c r="G97" s="154" t="str">
        <x:v>若交付迁移需数据对账、回滚及映射专项</x:v>
      </x:c>
      <x:c r="H97" s="154" t="str">
        <x:v>https://example.invalid/source/1c01ed0937</x:v>
      </x:c>
    </x:row>
    <x:row r="98" ht="81" customHeight="1">
      <x:c r="A98" s="156" t="str">
        <x:v>TR093</x:v>
      </x:c>
      <x:c r="B98" s="156" t="str">
        <x:v>§七 10创建单元下单限制类型筛选（无状态/结论）</x:v>
      </x:c>
      <x:c r="C98" s="156" t="str">
        <x:v>SM57、SM63</x:v>
      </x:c>
      <x:c r="D98" s="156" t="str">
        <x:v>搜索多选与按类型筛选是不同要求</x:v>
      </x:c>
      <x:c r="E98" s="156" t="str">
        <x:v>范围待确认</x:v>
      </x:c>
      <x:c r="F98" s="156" t="str">
        <x:v>待确认清单条目</x:v>
      </x:c>
      <x:c r="G98" s="156" t="str">
        <x:v>是否支持及筛选规则未定义；不能强制需求</x:v>
      </x:c>
      <x:c r="H98" s="156" t="str">
        <x:v>https://example.invalid/source/1c01ed0937</x:v>
      </x:c>
    </x:row>
    <x:row r="99" ht="81" customHeight="1">
      <x:c r="A99" s="154" t="str">
        <x:v>TR094</x:v>
      </x:c>
      <x:c r="B99" s="154" t="str">
        <x:v>§七 11覆盖国家放价卡起终点（已解决）</x:v>
      </x:c>
      <x:c r="C99" s="154" t="str">
        <x:v>SM29、SM70、SM74</x:v>
      </x:c>
      <x:c r="D99" s="154" t="str">
        <x:v>单元无需覆盖国家字段，价卡范围控件承载</x:v>
      </x:c>
      <x:c r="E99" s="154" t="str">
        <x:v>已覆盖</x:v>
      </x:c>
      <x:c r="F99" s="154" t="str">
        <x:v>待确认清单条目</x:v>
      </x:c>
      <x:c r="G99" s="154" t="str">
        <x:v>按成本卡范围实际交付</x:v>
      </x:c>
      <x:c r="H99" s="154" t="str">
        <x:v>https://example.invalid/source/1c01ed0937</x:v>
      </x:c>
    </x:row>
    <x:row r="100" ht="81" customHeight="1">
      <x:c r="A100" s="156" t="str">
        <x:v>TR095</x:v>
      </x:c>
      <x:c r="B100" s="156" t="str">
        <x:v>§七 12跨段额外服务组合（已解决）</x:v>
      </x:c>
      <x:c r="C100" s="156" t="str">
        <x:v>SM31、SM32、SM65</x:v>
      </x:c>
      <x:c r="D100" s="156" t="str">
        <x:v>不能将单元多选误保存为单个单元实体</x:v>
      </x:c>
      <x:c r="E100" s="156" t="str">
        <x:v>已覆盖</x:v>
      </x:c>
      <x:c r="F100" s="156" t="str">
        <x:v>待确认清单条目</x:v>
      </x:c>
      <x:c r="G100" s="156" t="str">
        <x:v>不同商跨段口径仍DEC14</x:v>
      </x:c>
      <x:c r="H100" s="156" t="str">
        <x:v>https://example.invalid/source/1c01ed0937</x:v>
      </x:c>
    </x:row>
    <x:row r="101" ht="81" customHeight="1">
      <x:c r="A101" s="154" t="str">
        <x:v>TR096</x:v>
      </x:c>
      <x:c r="B101" s="154" t="str">
        <x:v>§七 13名称仅文本+连接符结论（无状态）</x:v>
      </x:c>
      <x:c r="C101" s="154" t="str">
        <x:v>SM29</x:v>
      </x:c>
      <x:c r="D101" s="154" t="str">
        <x:v>与§6.2文字/字母/数字及两连接符范围冲突</x:v>
      </x:c>
      <x:c r="E101" s="154" t="str">
        <x:v>前轮修正</x:v>
      </x:c>
      <x:c r="F101" s="154" t="str">
        <x:v>待确认清单条目</x:v>
      </x:c>
      <x:c r="G101" s="154" t="str">
        <x:v>DEC15批准格式后执行边界</x:v>
      </x:c>
      <x:c r="H101" s="154" t="str">
        <x:v>https://example.invalid/source/1c01ed0937</x:v>
      </x:c>
    </x:row>
    <x:row r="102" ht="81" customHeight="1">
      <x:c r="A102" s="156" t="str">
        <x:v>TR097</x:v>
      </x:c>
      <x:c r="B102" s="156" t="str">
        <x:v>§七 14单元详情关联特殊服务删除（已解决）</x:v>
      </x:c>
      <x:c r="C102" s="156" t="str">
        <x:v>UI18、SM82</x:v>
      </x:c>
      <x:c r="D102" s="156" t="str">
        <x:v>不保留已删特殊服务为必验收字段</x:v>
      </x:c>
      <x:c r="E102" s="156" t="str">
        <x:v>已覆盖</x:v>
      </x:c>
      <x:c r="F102" s="156" t="str">
        <x:v>待确认清单条目</x:v>
      </x:c>
      <x:c r="G102" s="156" t="str">
        <x:v>详情其他分组按DEC03批准方案</x:v>
      </x:c>
      <x:c r="H102" s="156" t="str">
        <x:v>https://example.invalid/source/1c01ed0937</x:v>
      </x:c>
    </x:row>
    <x:row r="103" ht="81" customHeight="1">
      <x:c r="A103" s="154" t="str">
        <x:v>TR098</x:v>
      </x:c>
      <x:c r="B103" s="154" t="str">
        <x:v>§七 15编辑名称可修改范围（未完成）</x:v>
      </x:c>
      <x:c r="C103" s="154" t="str">
        <x:v>SM29、SM30</x:v>
      </x:c>
      <x:c r="D103" s="154" t="str">
        <x:v>正文编辑字段一致与未编排才改名的待决问题冲突</x:v>
      </x:c>
      <x:c r="E103" s="154" t="str">
        <x:v>前轮修正</x:v>
      </x:c>
      <x:c r="F103" s="154" t="str">
        <x:v>待确认清单条目</x:v>
      </x:c>
      <x:c r="G103" s="154" t="str">
        <x:v>DEC15权限范围确认，不擅禁改或一概允许</x:v>
      </x:c>
      <x:c r="H103" s="154" t="str">
        <x:v>https://example.invalid/source/1c01ed0937</x:v>
      </x:c>
    </x:row>
    <x:row r="104" ht="81" customHeight="1">
      <x:c r="A104" s="156" t="str">
        <x:v>TR099</x:v>
      </x:c>
      <x:c r="B104" s="156" t="str">
        <x:v>§七 16禁用改限制编排等问题（已解决）</x:v>
      </x:c>
      <x:c r="C104" s="156" t="str">
        <x:v>SM22、SM30、SM33</x:v>
      </x:c>
      <x:c r="D104" s="156" t="str">
        <x:v>保留引用≠停用仍执行，不回退旧版绕停用</x:v>
      </x:c>
      <x:c r="E104" s="156" t="str">
        <x:v>已覆盖</x:v>
      </x:c>
      <x:c r="F104" s="156" t="str">
        <x:v>待确认清单条目</x:v>
      </x:c>
      <x:c r="G104" s="156" t="str">
        <x:v>不推导单元独立有效期/批量改产品需求</x:v>
      </x:c>
      <x:c r="H104" s="156" t="str">
        <x:v>https://example.invalid/source/1c01ed0937</x:v>
      </x:c>
    </x:row>
    <x:row r="105" ht="81" customHeight="1">
      <x:c r="A105" s="154" t="str">
        <x:v>TR100</x:v>
      </x:c>
      <x:c r="B105" s="154" t="str">
        <x:v>§七 17燃油独立维护（已解决）</x:v>
      </x:c>
      <x:c r="C105" s="154" t="str">
        <x:v>SM44、SM45、SM71、SM76</x:v>
      </x:c>
      <x:c r="D105" s="154" t="str">
        <x:v>燃油规则和有效期独立，费用行只标记参与</x:v>
      </x:c>
      <x:c r="E105" s="154" t="str">
        <x:v>已覆盖</x:v>
      </x:c>
      <x:c r="F105" s="154" t="str">
        <x:v>待确认清单条目</x:v>
      </x:c>
      <x:c r="G105" s="154" t="str">
        <x:v>两类燃油与明细命中分开验证</x:v>
      </x:c>
      <x:c r="H105" s="154" t="str">
        <x:v>https://example.invalid/source/1c01ed0937</x:v>
      </x:c>
    </x:row>
    <x:row r="106" ht="126" customHeight="1">
      <x:c r="A106" s="156" t="str">
        <x:v>TR101</x:v>
      </x:c>
      <x:c r="B106" s="156" t="str">
        <x:v>§6.3 引用：价格维护场景示例（需求调研）</x:v>
      </x:c>
      <x:c r="C106" s="156" t="str">
        <x:v>SM25、SM70、SM79</x:v>
      </x:c>
      <x:c r="D106" s="156" t="str">
        <x:v>报关均摊箱／单／计费重；真实例子不能成为全部九方式契约</x:v>
      </x:c>
      <x:c r="E106" s="156" t="str">
        <x:v>本轮补充</x:v>
      </x:c>
      <x:c r="F106" s="156" t="str">
        <x:v>引用场景参考</x:v>
      </x:c>
      <x:c r="G106" s="156" t="str">
        <x:v>例10页400、20箱20/箱、5单80/单、90KG约4.44/KG；同一400在三种分摊分别核算，不同时加总；显示和分摊尾差待批准</x:v>
      </x:c>
      <x:c r="H106" s="156" t="str">
        <x:v>https://example.invalid/source/9d051c4e39</x:v>
      </x:c>
    </x:row>
    <x:row r="107" ht="126" customHeight="1">
      <x:c r="A107" s="154" t="str">
        <x:v>TR102</x:v>
      </x:c>
      <x:c r="B107" s="154" t="str">
        <x:v>§6.6.2 引用：产品规则标准化（后续接口）</x:v>
      </x:c>
      <x:c r="C107" s="154" t="str">
        <x:v>SM59、SM60、SM81</x:v>
      </x:c>
      <x:c r="D107" s="154" t="str">
        <x:v>旧A–D段、销售／市场字段与本期A–F成本试算不同</x:v>
      </x:c>
      <x:c r="E107" s="154" t="str">
        <x:v>本轮补充</x:v>
      </x:c>
      <x:c r="F107" s="154" t="str">
        <x:v>后续接口参考</x:v>
      </x:c>
      <x:c r="G107" s="154" t="str">
        <x:v>该页§5.4明确待PMS评审后重新对齐；字段未补齐，不据此新增当前销售／毛利输出或宣称已完成OMS联调</x:v>
      </x:c>
      <x:c r="H107" s="154" t="str">
        <x:v>https://example.invalid/source/0d9891d659</x:v>
      </x:c>
    </x:row>
    <x:row r="108" ht="97.5" customHeight="1">
      <x:c r="A108" s="10" t="str">
        <x:v>TR103</x:v>
      </x:c>
      <x:c r="B108" s="10" t="str">
        <x:v>服务段／计费要素：编码、64字符及引用删除保护</x:v>
      </x:c>
      <x:c r="C108" s="10" t="str">
        <x:v>SM83</x:v>
      </x:c>
      <x:c r="D108" s="10" t="str">
        <x:v>字段校验/状态/引用保护按J/K及U列分支证据</x:v>
      </x:c>
      <x:c r="E108" s="10" t="str">
        <x:v>2026-10-12补充</x:v>
      </x:c>
      <x:c r="F108" s="10" t="str">
        <x:v>需求正文＋测试方法</x:v>
      </x:c>
      <x:c r="G108" s="10" t="str">
        <x:v>按本批交付及批准方案</x:v>
      </x:c>
      <x:c r="H108" s="10" t="str">
        <x:v>https://example.invalid/source/662ffe8557</x:v>
      </x:c>
    </x:row>
    <x:row r="109" ht="97.5" customHeight="1">
      <x:c r="A109" s="10" t="str">
        <x:v>TR104</x:v>
      </x:c>
      <x:c r="B109" s="10" t="str">
        <x:v>费用项：必填、默认来源及财务生效保护</x:v>
      </x:c>
      <x:c r="C109" s="10" t="str">
        <x:v>SM84</x:v>
      </x:c>
      <x:c r="D109" s="10" t="str">
        <x:v>字段校验/状态/引用保护按J/K及U列分支证据</x:v>
      </x:c>
      <x:c r="E109" s="10" t="str">
        <x:v>2026-10-12补充</x:v>
      </x:c>
      <x:c r="F109" s="10" t="str">
        <x:v>正文＋待决策</x:v>
      </x:c>
      <x:c r="G109" s="10" t="str">
        <x:v>DEC25</x:v>
      </x:c>
      <x:c r="H109" s="10" t="str">
        <x:v>https://example.invalid/source/662ffe8557</x:v>
      </x:c>
    </x:row>
    <x:row r="110" ht="97.5" customHeight="1">
      <x:c r="A110" s="10" t="str">
        <x:v>TR105</x:v>
      </x:c>
      <x:c r="B110" s="10" t="str">
        <x:v>币种汇率：币种对、精度、唯一键及版本口径</x:v>
      </x:c>
      <x:c r="C110" s="10" t="str">
        <x:v>SM85</x:v>
      </x:c>
      <x:c r="D110" s="10" t="str">
        <x:v>字段校验/状态/引用保护按J/K及U列分支证据</x:v>
      </x:c>
      <x:c r="E110" s="10" t="str">
        <x:v>2026-10-12补充</x:v>
      </x:c>
      <x:c r="F110" s="10" t="str">
        <x:v>正文＋待决策</x:v>
      </x:c>
      <x:c r="G110" s="10" t="str">
        <x:v>DEC24、DEC25</x:v>
      </x:c>
      <x:c r="H110" s="10" t="str">
        <x:v>https://example.invalid/source/662ffe8557</x:v>
      </x:c>
    </x:row>
    <x:row r="111" ht="97.5" customHeight="1">
      <x:c r="A111" s="10" t="str">
        <x:v>TR106</x:v>
      </x:c>
      <x:c r="B111" s="10" t="str">
        <x:v>价卡计费方式：表单类型、说明64字符与引用保护</x:v>
      </x:c>
      <x:c r="C111" s="10" t="str">
        <x:v>SM86</x:v>
      </x:c>
      <x:c r="D111" s="10" t="str">
        <x:v>字段校验/状态/引用保护按J/K及U列分支证据</x:v>
      </x:c>
      <x:c r="E111" s="10" t="str">
        <x:v>2026-10-12补充</x:v>
      </x:c>
      <x:c r="F111" s="10" t="str">
        <x:v>需求正文＋测试方法</x:v>
      </x:c>
      <x:c r="G111" s="10" t="str">
        <x:v>按本批交付及批准方案</x:v>
      </x:c>
      <x:c r="H111" s="10" t="str">
        <x:v>https://example.invalid/source/662ffe8557</x:v>
      </x:c>
    </x:row>
    <x:row r="112" ht="97.5" customHeight="1">
      <x:c r="A112" s="10" t="str">
        <x:v>TR107</x:v>
      </x:c>
      <x:c r="B112" s="10" t="str">
        <x:v>可接货型：名称唯一、同源选项及历史保留</x:v>
      </x:c>
      <x:c r="C112" s="10" t="str">
        <x:v>SM87</x:v>
      </x:c>
      <x:c r="D112" s="10" t="str">
        <x:v>字段校验/状态/引用保护按J/K及U列分支证据</x:v>
      </x:c>
      <x:c r="E112" s="10" t="str">
        <x:v>2026-10-12补充</x:v>
      </x:c>
      <x:c r="F112" s="10" t="str">
        <x:v>需求正文＋测试方法</x:v>
      </x:c>
      <x:c r="G112" s="10" t="str">
        <x:v>按本批交付及批准方案</x:v>
      </x:c>
      <x:c r="H112" s="10" t="str">
        <x:v>https://example.invalid/source/662ffe8557</x:v>
      </x:c>
    </x:row>
    <x:row r="113" ht="97.5" customHeight="1">
      <x:c r="A113" s="10" t="str">
        <x:v>TR108</x:v>
      </x:c>
      <x:c r="B113" s="10" t="str">
        <x:v>下单限制规则：规则编辑器必填、作用域及引用删除</x:v>
      </x:c>
      <x:c r="C113" s="10" t="str">
        <x:v>SM88</x:v>
      </x:c>
      <x:c r="D113" s="10" t="str">
        <x:v>字段校验/状态/引用保护按J/K及U列分支证据</x:v>
      </x:c>
      <x:c r="E113" s="10" t="str">
        <x:v>2026-10-12补充</x:v>
      </x:c>
      <x:c r="F113" s="10" t="str">
        <x:v>需求正文＋测试方法</x:v>
      </x:c>
      <x:c r="G113" s="10" t="str">
        <x:v>按本批交付及批准方案</x:v>
      </x:c>
      <x:c r="H113" s="10" t="str">
        <x:v>https://example.invalid/source/662ffe8557</x:v>
      </x:c>
    </x:row>
    <x:row r="114" ht="97.5" customHeight="1">
      <x:c r="A114" s="10" t="str">
        <x:v>TR109</x:v>
      </x:c>
      <x:c r="B114" s="10" t="str">
        <x:v>服务单元：新建独立表单页与返回上下文</x:v>
      </x:c>
      <x:c r="C114" s="10" t="str">
        <x:v>UI35</x:v>
      </x:c>
      <x:c r="D114" s="10" t="str">
        <x:v>按批准现行基线逐状态量值/交互；来源处理状态不代替实测</x:v>
      </x:c>
      <x:c r="E114" s="10" t="str">
        <x:v>2026-10-12补充</x:v>
      </x:c>
      <x:c r="F114" s="10" t="str">
        <x:v>未批准Review建议</x:v>
      </x:c>
      <x:c r="G114" s="10" t="str">
        <x:v>DEC23、DEC18</x:v>
      </x:c>
      <x:c r="H114" s="10" t="str">
        <x:v>https://example.invalid/source/f5f3768c35</x:v>
      </x:c>
    </x:row>
    <x:row r="115" ht="97.5" customHeight="1">
      <x:c r="A115" s="10" t="str">
        <x:v>TR110</x:v>
      </x:c>
      <x:c r="B115" s="10" t="str">
        <x:v>服务单元列表：创建入口位置与重复标题</x:v>
      </x:c>
      <x:c r="C115" s="10" t="str">
        <x:v>UI36</x:v>
      </x:c>
      <x:c r="D115" s="10" t="str">
        <x:v>按批准现行基线逐状态量值/交互；来源处理状态不代替实测</x:v>
      </x:c>
      <x:c r="E115" s="10" t="str">
        <x:v>2026-10-12补充</x:v>
      </x:c>
      <x:c r="F115" s="10" t="str">
        <x:v>未批准Review建议</x:v>
      </x:c>
      <x:c r="G115" s="10" t="str">
        <x:v>DEC18</x:v>
      </x:c>
      <x:c r="H115" s="10" t="str">
        <x:v>https://example.invalid/source/88683f22ac</x:v>
      </x:c>
    </x:row>
    <x:row r="116" ht="97.5" customHeight="1">
      <x:c r="A116" s="10" t="str">
        <x:v>TR111</x:v>
      </x:c>
      <x:c r="B116" s="10" t="str">
        <x:v>AI 建档：生成、待确认与执行状态分层</x:v>
      </x:c>
      <x:c r="C116" s="10" t="str">
        <x:v>UI37</x:v>
      </x:c>
      <x:c r="D116" s="10" t="str">
        <x:v>按批准现行基线逐状态量值/交互；来源处理状态不代替实测</x:v>
      </x:c>
      <x:c r="E116" s="10" t="str">
        <x:v>2026-10-12补充</x:v>
      </x:c>
      <x:c r="F116" s="10" t="str">
        <x:v>规范正文／适用条件</x:v>
      </x:c>
      <x:c r="G116" s="10" t="str">
        <x:v>DEC17、DEC18</x:v>
      </x:c>
      <x:c r="H116" s="10" t="str">
        <x:v>https://example.invalid/source/05cc32fecc</x:v>
      </x:c>
    </x:row>
    <x:row r="117" ht="97.5" customHeight="1">
      <x:c r="A117" s="10" t="str">
        <x:v>TR112</x:v>
      </x:c>
      <x:c r="B117" s="10" t="str">
        <x:v>上传材料：格式大小、进度、取消与重试</x:v>
      </x:c>
      <x:c r="C117" s="10" t="str">
        <x:v>UI38</x:v>
      </x:c>
      <x:c r="D117" s="10" t="str">
        <x:v>按批准现行基线逐状态量值/交互；来源处理状态不代替实测</x:v>
      </x:c>
      <x:c r="E117" s="10" t="str">
        <x:v>2026-10-12补充</x:v>
      </x:c>
      <x:c r="F117" s="10" t="str">
        <x:v>规范正文／适用条件</x:v>
      </x:c>
      <x:c r="G117" s="10" t="str">
        <x:v>DEC17、DEC18</x:v>
      </x:c>
      <x:c r="H117" s="10" t="str">
        <x:v>https://example.invalid/source/05cc32fecc</x:v>
      </x:c>
    </x:row>
    <x:row r="118" ht="97.5" customHeight="1">
      <x:c r="A118" s="10" t="str">
        <x:v>TR113</x:v>
      </x:c>
      <x:c r="B118" s="10" t="str">
        <x:v>通用色彩、圆角与图标：背景/语义色/状态文字/图标与组件圆角</x:v>
      </x:c>
      <x:c r="C118" s="10" t="str">
        <x:v>UI39</x:v>
      </x:c>
      <x:c r="D118" s="10" t="str">
        <x:v>按批准现行基线逐状态量值/交互；来源处理状态不代替实测</x:v>
      </x:c>
      <x:c r="E118" s="10" t="str">
        <x:v>2026-10-12补充</x:v>
      </x:c>
      <x:c r="F118" s="10" t="str">
        <x:v>规范正文／适用条件</x:v>
      </x:c>
      <x:c r="G118" s="10" t="str">
        <x:v>DEC18</x:v>
      </x:c>
      <x:c r="H118" s="10" t="str">
        <x:v>https://example.invalid/source/05cc32fecc</x:v>
      </x:c>
    </x:row>
    <x:row r="119" ht="97.5" customHeight="1">
      <x:c r="A119" s="10" t="str">
        <x:v>TR114</x:v>
      </x:c>
      <x:c r="B119" s="10" t="str">
        <x:v>布局与表单规格：页头类型、输入高度与错误定位</x:v>
      </x:c>
      <x:c r="C119" s="10" t="str">
        <x:v>UI40</x:v>
      </x:c>
      <x:c r="D119" s="10" t="str">
        <x:v>按批准现行基线逐状态量值/交互；来源处理状态不代替实测</x:v>
      </x:c>
      <x:c r="E119" s="10" t="str">
        <x:v>2026-10-12补充</x:v>
      </x:c>
      <x:c r="F119" s="10" t="str">
        <x:v>规范正文＋待决策</x:v>
      </x:c>
      <x:c r="G119" s="10" t="str">
        <x:v>DEC18</x:v>
      </x:c>
      <x:c r="H119" s="10" t="str">
        <x:v>https://example.invalid/source/05cc32fecc</x:v>
      </x:c>
    </x:row>
    <x:row r="120" ht="93.75" customHeight="1">
      <x:c r="A120" s="10" t="str">
        <x:v>TR115</x:v>
      </x:c>
      <x:c r="B120" s="10" t="str">
        <x:v>币种：ISO4217回显、小数位配置与业务引用</x:v>
      </x:c>
      <x:c r="C120" s="10" t="str">
        <x:v>SM89</x:v>
      </x:c>
      <x:c r="D120" s="10" t="str">
        <x:v>对象字段/保存读回/引用按批准契约逐项取证</x:v>
      </x:c>
      <x:c r="E120" s="10" t="str">
        <x:v>2026-10-12网站补充</x:v>
      </x:c>
      <x:c r="F120" s="10" t="str">
        <x:v>网站观察＋批准需求</x:v>
      </x:c>
      <x:c r="G120" s="10" t="str">
        <x:v>本批对象字段合同</x:v>
      </x:c>
      <x:c r="H120" s="10" t="str">
        <x:v>https://localhost/pcs/system-config/master-data?group=finance&amp;resource=currency</x:v>
      </x:c>
    </x:row>
    <x:row r="121" ht="93.75" customHeight="1">
      <x:c r="A121" s="10" t="str">
        <x:v>TR116</x:v>
      </x:c>
      <x:c r="B121" s="10" t="str">
        <x:v>独立邮编对象：国家回显、邮编范围与地点映射</x:v>
      </x:c>
      <x:c r="C121" s="10" t="str">
        <x:v>SM90</x:v>
      </x:c>
      <x:c r="D121" s="10" t="str">
        <x:v>对象字段/保存读回/引用按批准契约逐项取证</x:v>
      </x:c>
      <x:c r="E121" s="10" t="str">
        <x:v>2026-10-12网站补充</x:v>
      </x:c>
      <x:c r="F121" s="10" t="str">
        <x:v>网站观察＋批准需求</x:v>
      </x:c>
      <x:c r="G121" s="10" t="str">
        <x:v>DEC28</x:v>
      </x:c>
      <x:c r="H121" s="10" t="str">
        <x:v>https://localhost/pcs/system-config/master-data?group=location&amp;resource=postal_code</x:v>
      </x:c>
    </x:row>
    <x:row r="122" ht="93.75" customHeight="1">
      <x:c r="A122" s="10" t="str">
        <x:v>TR117</x:v>
      </x:c>
      <x:c r="B122" s="10" t="str">
        <x:v>航线区域：主记录与国家关系详情的作用域和关联</x:v>
      </x:c>
      <x:c r="C122" s="10" t="str">
        <x:v>SM91</x:v>
      </x:c>
      <x:c r="D122" s="10" t="str">
        <x:v>对象字段/保存读回/引用按批准契约逐项取证</x:v>
      </x:c>
      <x:c r="E122" s="10" t="str">
        <x:v>2026-10-12网站补充</x:v>
      </x:c>
      <x:c r="F122" s="10" t="str">
        <x:v>网站观察＋批准需求</x:v>
      </x:c>
      <x:c r="G122" s="10" t="str">
        <x:v>本批对象字段合同</x:v>
      </x:c>
      <x:c r="H122" s="10" t="str">
        <x:v>https://localhost/pcs/system-config/master-data?group=routing&amp;resource=air_region</x:v>
      </x:c>
    </x:row>
    <x:row r="123" ht="93.75" customHeight="1">
      <x:c r="A123" s="10" t="str">
        <x:v>TR118</x:v>
      </x:c>
      <x:c r="B123" s="10" t="str">
        <x:v>关联字段跨视图展示</x:v>
      </x:c>
      <x:c r="C123" s="10" t="str">
        <x:v>UI41</x:v>
      </x:c>
      <x:c r="D123" s="10" t="str">
        <x:v>字段标题/ID/编码/名称及枚举中文映射</x:v>
      </x:c>
      <x:c r="E123" s="10" t="str">
        <x:v>2026-10-12网站补充</x:v>
      </x:c>
      <x:c r="F123" s="10" t="str">
        <x:v>网站观察＋批准UI基线</x:v>
      </x:c>
      <x:c r="G123" s="10" t="str">
        <x:v>DEC18</x:v>
      </x:c>
      <x:c r="H123" s="10" t="str">
        <x:v>https://localhost/pcs/system-config/master-data</x:v>
      </x:c>
    </x:row>
    <x:row r="124" ht="97.5" customHeight="1">
      <x:c r="A124" s="10" t="str">
        <x:v>TR119</x:v>
      </x:c>
      <x:c r="B124" s="10" t="str">
        <x:v>行内编辑专项规范与状态保护</x:v>
      </x:c>
      <x:c r="C124" s="10" t="str">
        <x:v>UI42</x:v>
      </x:c>
      <x:c r="D124" s="10" t="str">
        <x:v>批准触发/权限/保存取消/加载失败/键盘失焦及逐状态证据</x:v>
      </x:c>
      <x:c r="E124" s="10" t="str">
        <x:v>2026-10-12颜色层级补充</x:v>
      </x:c>
      <x:c r="F124" s="10" t="str">
        <x:v>Review方向＋测试设计</x:v>
      </x:c>
      <x:c r="G124" s="10" t="str">
        <x:v>DEC30、DEC18</x:v>
      </x:c>
      <x:c r="H124" s="10" t="str">
        <x:v>https://example.invalid/source/71ee9a345a</x:v>
      </x:c>
    </x:row>
  </x:sheetData>
  <x:mergeCells>
    <x:mergeCell ref="A2:H2"/>
    <x:mergeCell ref="A3:H3"/>
    <x:mergeCell ref="A4:H4"/>
  </x:mergeCells>
  <x:pageMargins left="0.7" right="0.7" top="0.75" bottom="0.75" header="0.3" footer="0.3"/>
  <x:tableParts count="1">
    <x:tablePart xmlns:r="http://schemas.openxmlformats.org/officeDocument/2006/relationships" r:id="R7494d6470db94096"/>
  </x:tableParts>
</x:worksheet>
</file>

<file path=xl/worksheets/sheet5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880000114440918" hidden="0" customWidth="1"/>
    <x:col min="2" max="2" width="25" hidden="0" customWidth="1"/>
    <x:col min="3" max="3" width="70" hidden="0" customWidth="1"/>
    <x:col min="4" max="4" width="51.25" hidden="0" customWidth="1"/>
    <x:col min="5" max="5" width="30" hidden="0" customWidth="1"/>
    <x:col min="6" max="6" width="46.25" hidden="0" customWidth="1"/>
    <x:col min="7" max="7" width="21.25" hidden="0" customWidth="1"/>
    <x:col min="8" max="8" width="52.5" hidden="0" customWidth="1"/>
  </x:cols>
  <x:sheetData>
    <x:row r="1" ht="36" customHeight="1">
      <x:c r="A1" s="168" t="str">
        <x:v>网站详情对照｜可见事实、需求差异与待验证边界</x:v>
      </x:c>
      <x:c r="B1" s="168"/>
      <x:c r="C1" s="168"/>
      <x:c r="D1" s="168"/>
      <x:c r="E1" s="168"/>
      <x:c r="F1" s="168"/>
      <x:c r="G1" s="168"/>
      <x:c r="H1" s="168"/>
    </x:row>
    <x:row r="2" ht="28.5" customHeight="1">
      <x:c r="A2" s="10" t="str">
        <x:v>观察日期：2026-10-12；只读浏览当前会话。未显示Build；无业务写入、无完整功能或像素验收。</x:v>
      </x:c>
      <x:c r="B2" s="10"/>
      <x:c r="C2" s="10"/>
      <x:c r="D2" s="10"/>
      <x:c r="E2" s="10"/>
      <x:c r="F2" s="10"/>
      <x:c r="G2" s="10"/>
      <x:c r="H2" s="10"/>
    </x:row>
    <x:row r="3" ht="28.5" customHeight="1">
      <x:c r="A3" s="10" t="str">
        <x:v>对象目录18项；编辑/详情仅按下表已观察范围。网站事实用于修订步骤，验收预期仍取批准需求/UI基线。</x:v>
      </x:c>
      <x:c r="B3" s="10"/>
      <x:c r="C3" s="10"/>
      <x:c r="D3" s="10"/>
      <x:c r="E3" s="10"/>
      <x:c r="F3" s="10"/>
      <x:c r="G3" s="10"/>
      <x:c r="H3" s="10"/>
    </x:row>
    <x:row r="4">
      <x:c r="A4" s="10"/>
      <x:c r="B4" s="10"/>
      <x:c r="C4" s="10"/>
      <x:c r="D4" s="10"/>
      <x:c r="E4" s="10"/>
      <x:c r="F4" s="10"/>
      <x:c r="G4" s="10"/>
      <x:c r="H4" s="10"/>
    </x:row>
    <x:row r="5" ht="36" customHeight="1">
      <x:c r="A5" s="170" t="str">
        <x:v>观察ID</x:v>
      </x:c>
      <x:c r="B5" s="170" t="str">
        <x:v>对象/场景</x:v>
      </x:c>
      <x:c r="C5" s="170" t="str">
        <x:v>页面可见事实</x:v>
      </x:c>
      <x:c r="D5" s="170" t="str">
        <x:v>未验证范围</x:v>
      </x:c>
      <x:c r="E5" s="170" t="str">
        <x:v>关联用例</x:v>
      </x:c>
      <x:c r="F5" s="170" t="str">
        <x:v>需求/UI差异及修订</x:v>
      </x:c>
      <x:c r="G5" s="170" t="str">
        <x:v>关联决策</x:v>
      </x:c>
      <x:c r="H5" s="170" t="str">
        <x:v>来源URL</x:v>
      </x:c>
    </x:row>
    <x:row r="6" ht="172.5" customHeight="1">
      <x:c r="A6" s="10" t="str">
        <x:v>WEB01</x:v>
      </x:c>
      <x:c r="B6" s="10" t="str">
        <x:v>基础配置入口与分组</x:v>
      </x:c>
      <x:c r="C6" s="10" t="str">
        <x:v>裸入口自动落至行政与地点/国家。页头为基础配置，含说明和当前对象的新增按钮。主数据下有业务字典、行政与地点、航线区域与Zone；计价底座下有费用项、币种与汇率。分组在可见DOM中为导航按钮，主数据/计价底座为分组文字，不是已观察到的一级Tab。</x:v>
      </x:c>
      <x:c r="D6" s="10" t="str">
        <x:v>只证明当前页面结构，不表示已满足待批准的UI01专项Tabs方案。</x:v>
      </x:c>
      <x:c r="E6" s="10" t="str">
        <x:v>SM01、SM03、SM11、SM17、SM83、SM86、UI01</x:v>
      </x:c>
      <x:c r="F6" s="10" t="str">
        <x:v>当前分组导航与Review一级Tabs不同；本页未见的对象需实际入口映射</x:v>
      </x:c>
      <x:c r="G6" s="10" t="str">
        <x:v>DEC01、DEC07、DEC26</x:v>
      </x:c>
      <x:c r="H6" s="10" t="str">
        <x:v>https://localhost/pcs/system-config/master-data?group=location&amp;resource=country</x:v>
      </x:c>
    </x:row>
    <x:row r="7" ht="172.5" customHeight="1">
      <x:c r="A7" s="10" t="str">
        <x:v>WEB02</x:v>
      </x:c>
      <x:c r="B7" s="10" t="str">
        <x:v>国家列表与编辑</x:v>
      </x:c>
      <x:c r="C7" s="10" t="str">
        <x:v>列表列为编码、名称、状态、操作；新增国家在页头；每行有编辑、停用、删除。关键词提示编码、名称或英文名称，状态默认全部，查询/重置/刷新，默认20条/页；当前样本1条。编辑国家：国家编码/中文名称/状态带必填标识，英文名称可选，编码禁用。</x:v>
      </x:c>
      <x:c r="D7" s="10" t="str">
        <x:v>未验证新增编码格式/唯一性、服务端必填、启停、删除、跨页；不能以只有1条数据证明分页正确。</x:v>
      </x:c>
      <x:c r="E7" s="10" t="str">
        <x:v>SM01、SM06—16、SM19、UI15</x:v>
      </x:c>
      <x:c r="F7" s="10" t="str">
        <x:v>国家独立表单与统一地点/普通字典模型需区分</x:v>
      </x:c>
      <x:c r="G7" s="10" t="str">
        <x:v>DEC28</x:v>
      </x:c>
      <x:c r="H7" s="10" t="str">
        <x:v>https://localhost/pcs/system-config/master-data?group=location&amp;resource=country</x:v>
      </x:c>
    </x:row>
    <x:row r="8" ht="172.5" customHeight="1">
      <x:c r="A8" s="10" t="str">
        <x:v>WEB03</x:v>
      </x:c>
      <x:c r="B8" s="10" t="str">
        <x:v>业务字典对象与航空公司</x:v>
      </x:c>
      <x:c r="C8" s="10" t="str">
        <x:v>业务字典对象为航空公司、运输方式、货物类型、包装类型、监管方式。航空公司列表列为编码、名称、ICAO、国家、状态、操作；关键词提示IATA、ICAO、名称或英文名称。编辑航空公司：IATA编码/名称/状态必填标识，ICAO编码、英文名称、国家其他字段；IATA编码编辑时禁用。新增按钮为新增航空公司。</x:v>
      </x:c>
      <x:c r="D8" s="10" t="str">
        <x:v>未验证IATA长度/字符格式、重码处理、国家候选来源；必填仅观察标识而未执行保存校验。</x:v>
      </x:c>
      <x:c r="E8" s="10" t="str">
        <x:v>SM03、SM06—16</x:v>
      </x:c>
      <x:c r="F8" s="10" t="str">
        <x:v>IATA/ICAO/国家真实字段补入，新增规则仍待批准</x:v>
      </x:c>
      <x:c r="G8" s="10" t="str">
        <x:v>DEC06</x:v>
      </x:c>
      <x:c r="H8" s="10" t="str">
        <x:v>https://localhost/pcs/system-config/master-data?group=dictionary&amp;resource=airline</x:v>
      </x:c>
    </x:row>
    <x:row r="9" ht="172.5" customHeight="1">
      <x:c r="A9" s="10" t="str">
        <x:v>WEB04</x:v>
      </x:c>
      <x:c r="B9" s="10" t="str">
        <x:v>货物类型列表与编辑</x:v>
      </x:c>
      <x:c r="C9" s="10" t="str">
        <x:v>页头新增货物类型；列表列为编码、名称、说明、状态、操作，关键词提示编码、名称或说明。编辑：货物类型编码/名称/状态标必填，编码禁用；说明显示0/500计数。默认20条/页，当前样本1条。</x:v>
      </x:c>
      <x:c r="D9" s="10" t="str">
        <x:v>与PRD可接货型页面只维护名称存在映射差异；计数500未验证服务端字符限制；不能把货物类型与可接货型直接视为同一契约。</x:v>
      </x:c>
      <x:c r="E9" s="10" t="str">
        <x:v>SM06—16、SM87、UI26</x:v>
      </x:c>
      <x:c r="F9" s="10" t="str">
        <x:v>货物类型有编码/说明，与仅名称可接货型须映射</x:v>
      </x:c>
      <x:c r="G9" s="10" t="str">
        <x:v>DEC26</x:v>
      </x:c>
      <x:c r="H9" s="10" t="str">
        <x:v>https://localhost/pcs/system-config/master-data?group=dictionary&amp;resource=cargo_type</x:v>
      </x:c>
    </x:row>
    <x:row r="10" ht="172.5" customHeight="1">
      <x:c r="A10" s="10" t="str">
        <x:v>WEB05</x:v>
      </x:c>
      <x:c r="B10" s="10" t="str">
        <x:v>费用项列表与编辑</x:v>
      </x:c>
      <x:c r="C10" s="10" t="str">
        <x:v>基础配置内通过费用项分组进入。列表：编码、名称、分组、默认币种、状态、操作；关键词提示编码、名称、分组或币种。编辑：费用项编码/名称/分组编码/默认币种/状态标必填；编码禁用；英文名称其他字段。分组编码、默认币种均为文本输入；当前已有样本列表分组—，编辑分组为空。</x:v>
      </x:c>
      <x:c r="D10" s="10" t="str">
        <x:v>该记录引用用户提供的总入口，精确分组URL未读取；未保存，不证明允许空分组；与需求的费用项类型/币种字典取值和财务生效存在差异，须批准后执行验收。</x:v>
      </x:c>
      <x:c r="E10" s="10" t="str">
        <x:v>SM06—16、SM84</x:v>
      </x:c>
      <x:c r="F10" s="10" t="str">
        <x:v>分组编码/默认币种文本输入与需求字典来源及财务审批差异</x:v>
      </x:c>
      <x:c r="G10" s="10" t="str">
        <x:v>DEC27、DEC25</x:v>
      </x:c>
      <x:c r="H10" s="10" t="str">
        <x:v>https://localhost/pcs/system-config/master-data</x:v>
      </x:c>
    </x:row>
    <x:row r="11" ht="172.5" customHeight="1">
      <x:c r="A11" s="10" t="str">
        <x:v>WEB06</x:v>
      </x:c>
      <x:c r="B11" s="10" t="str">
        <x:v>币种列表与编辑</x:v>
      </x:c>
      <x:c r="C11" s="10" t="str">
        <x:v>币种与汇率分组包含币种、汇率两个对象。币种页头新增币种；列表列为编码、名称、符号、小数位、状态、操作。可见CNY/USD两样本均小数位2；关键词编码、名称或英文名称，状态默认全部，20条/页。编辑币种字段ISO4217编码、名称、英文名称、符号、小数位数、状态；编码禁用，小数位数为文本输入。</x:v>
      </x:c>
      <x:c r="D11" s="10" t="str">
        <x:v>本次币种必填标识未单独核查；币种小数位配置不自动决定所有业务金额展示精度，仍需DEC10。合法范围、字段可保存性及汇率联动未验证。</x:v>
      </x:c>
      <x:c r="E11" s="10" t="str">
        <x:v>SM89、UI29</x:v>
      </x:c>
      <x:c r="F11" s="10" t="str">
        <x:v>小数位配置不直接决定所有金额展示精度</x:v>
      </x:c>
      <x:c r="G11" s="10" t="str">
        <x:v>DEC10</x:v>
      </x:c>
      <x:c r="H11" s="10" t="str">
        <x:v>https://localhost/pcs/system-config/master-data?group=finance&amp;resource=currency</x:v>
      </x:c>
    </x:row>
    <x:row r="12" ht="172.5" customHeight="1">
      <x:c r="A12" s="10" t="str">
        <x:v>WEB07</x:v>
      </x:c>
      <x:c r="B12" s="10" t="str">
        <x:v>汇率列表与生效记录编辑</x:v>
      </x:c>
      <x:c r="C12" s="10" t="str">
        <x:v>列表列为源币种、目标币种、直接倍率、生效日、结束日、状态、操作；倍率样本展示8位小数。查询有关键词（币种编码或汇率）、状态、源币种、目标币种、生效日期。当前每行仅编辑/停用，无删除。页面说明：按自然日区间保存，已生效通过结束旧区间并新增调整。已生效样本编辑时源币种、目标币种、直接倍率、生效日禁用，结束日及状态可操作，源/目标/倍率/生效日/状态标必填。</x:v>
      </x:c>
      <x:c r="D12" s="10" t="str">
        <x:v>未保存，不证明版本、结束旧区间或财务流程实现正确；直接倍率运算方向、8位展示与正文4位输入、同币种默认和日期区间开闭须DEC24/25确认。</x:v>
      </x:c>
      <x:c r="E12" s="10" t="str">
        <x:v>SM07、SM12、SM14、SM15、SM85、UI09、UI29</x:v>
      </x:c>
      <x:c r="F12" s="10" t="str">
        <x:v>自然日区间、已生效只读、无删除及8位展示与原编辑/删除/4位输入差异</x:v>
      </x:c>
      <x:c r="G12" s="10" t="str">
        <x:v>DEC24、DEC25</x:v>
      </x:c>
      <x:c r="H12" s="10" t="str">
        <x:v>https://localhost/pcs/system-config/master-data?group=finance&amp;resource=exchange_rate</x:v>
      </x:c>
    </x:row>
    <x:row r="13" ht="172.5" customHeight="1">
      <x:c r="A13" s="10" t="str">
        <x:v>WEB08</x:v>
      </x:c>
      <x:c r="B13" s="10" t="str">
        <x:v>行政对象与邮编列表/编辑</x:v>
      </x:c>
      <x:c r="C13" s="10" t="str">
        <x:v>行政对象菜单国家、省/州、城市、区县、邮编、机场、港口、仓库。邮编列表列为邮编、结束邮编、国家、状态、操作，关键词邮编或结束邮编，另有所属国家筛选。编辑邮编：国家/邮编/状态标必填；邮编禁用，邮编结束值可填。所选样本列表国家为1、编辑国家回显中国CN，展示不一致。</x:v>
      </x:c>
      <x:c r="D13" s="10" t="str">
        <x:v>只读未保存；国家显示值、独立邮编对象与PRD地点属性的映射、范围端点/前导零/版本历史/真实Zone命中均待确认。其他行政对象仅核菜单，本轮未逐个打开编辑。</x:v>
      </x:c>
      <x:c r="E13" s="10" t="str">
        <x:v>SM19、SM20、SM58、SM72、SM90、UI09、UI41</x:v>
      </x:c>
      <x:c r="F13" s="10" t="str">
        <x:v>独立邮编与地点属性映射；列表国家1/表单中国CN回显定义</x:v>
      </x:c>
      <x:c r="G13" s="10" t="str">
        <x:v>DEC28、DEC18</x:v>
      </x:c>
      <x:c r="H13" s="10" t="str">
        <x:v>https://localhost/pcs/system-config/master-data?group=location&amp;resource=postal_code</x:v>
      </x:c>
    </x:row>
    <x:row r="14" ht="172.5" customHeight="1">
      <x:c r="A14" s="10" t="str">
        <x:v>WEB09</x:v>
      </x:c>
      <x:c r="B14" s="10" t="str">
        <x:v>航线区域列表与国家关系详情</x:v>
      </x:c>
      <x:c r="C14" s="10" t="str">
        <x:v>列表为编码、名称、状态、操作；行有查看详情、编辑、停用、删除，页头新增航线区域，关键词编码或名称、状态筛选。详情含基本信息及国家关系子列表，子列表为国家、状态、操作，具查询/重置/刷新及编辑/停用/删除；当前国家显示数字1。主表和子表同名操作必须区分作用域。</x:v>
      </x:c>
      <x:c r="D14" s="10" t="str">
        <x:v>只读打开详情；未核主记录或国家关系编辑表单、成员新增入口及保存/删除/关联历史。</x:v>
      </x:c>
      <x:c r="E14" s="10" t="str">
        <x:v>SM91、UI15、UI26、UI41</x:v>
      </x:c>
      <x:c r="F14" s="10" t="str">
        <x:v>详情国家关系与主表分开；成员国家1展示规则需确认</x:v>
      </x:c>
      <x:c r="G14" s="10" t="str">
        <x:v>DEC18</x:v>
      </x:c>
      <x:c r="H14" s="10" t="str">
        <x:v>https://localhost/pcs/system-config/master-data?group=routing&amp;resource=air_region</x:v>
      </x:c>
    </x:row>
    <x:row r="15" ht="172.5" customHeight="1">
      <x:c r="A15" s="10" t="str">
        <x:v>WEB10</x:v>
      </x:c>
      <x:c r="B15" s="10" t="str">
        <x:v>Zone列表、主记录编辑与成员详情</x:v>
      </x:c>
      <x:c r="C15" s="10" t="str">
        <x:v>列表为编码、名称、服务商范围、方案编码、版本、状态、操作；关键词编码、名称、服务商或方案编码。行有查看详情/编辑/停用/删除，页头新增Zone。编辑主记录：编码只读，名称/服务商范围/方案编码/状态标必填，备注0/500；服务商范围样本通用。详情基本信息＋成员表，列为成员类型、成员对象、包含关系、展示名称、操作；样本country / 1 / include / —，成员有编辑/删除。</x:v>
      </x:c>
      <x:c r="D15" s="10" t="str">
        <x:v>主记录编辑已取消，未保存。成员编辑入口一次未成功打开，表单未核实。未证明默认待生效、版本递增、历史版本、包含排除冲突、真实匹配、成员新增路径及删除保护。</x:v>
      </x:c>
      <x:c r="E15" s="10" t="str">
        <x:v>SM43、UI15、UI26、UI41</x:v>
      </x:c>
      <x:c r="F15" s="10" t="str">
        <x:v>主记录/成员模型、版本、国家范围及common/通用/成员ID展示需确认</x:v>
      </x:c>
      <x:c r="G15" s="10" t="str">
        <x:v>DEC29、DEC28、DEC18</x:v>
      </x:c>
      <x:c r="H15" s="10" t="str">
        <x:v>https://localhost/pcs/system-config/master-data?group=routing&amp;resource=reference_zone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7324a1c5d99e473d"/>
  </x:tableParts>
</x:worksheet>
</file>