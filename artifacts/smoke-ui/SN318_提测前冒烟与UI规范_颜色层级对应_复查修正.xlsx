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11c9943984c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de0ae639e87049a0"/>
    <x:sheet xmlns:r="http://schemas.openxmlformats.org/officeDocument/2006/relationships" name="冒烟用例" sheetId="2" r:id="R80efb8cc14e8495d"/>
    <x:sheet xmlns:r="http://schemas.openxmlformats.org/officeDocument/2006/relationships" name="UI检查" sheetId="3" r:id="R295fcc568d74461d"/>
    <x:sheet xmlns:r="http://schemas.openxmlformats.org/officeDocument/2006/relationships" name="需求对照" sheetId="4" r:id="R920b60cd0ad845f9"/>
    <x:sheet xmlns:r="http://schemas.openxmlformats.org/officeDocument/2006/relationships" name="网站详情对照" sheetId="5" r:id="Rbe6a49ab8c1843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25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</x:fonts>
  <x:fills count="54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213B62"/>
      </x:patternFill>
    </x:fill>
    <x:fill>
      <x:patternFill patternType="solid">
        <x:fgColor rgb="FFFFFFFF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4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4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7" fillId="49" borderId="0" xfId="0" applyNumberFormat="1" applyFont="1" applyFill="1" applyBorder="1" applyAlignment="1">
      <x:alignment vertical="center" wrapText="1"/>
    </x:xf>
    <x:xf numFmtId="0" fontId="18" fillId="49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5" fillId="50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center" wrapText="1"/>
    </x:xf>
    <x:xf numFmtId="0" fontId="16" fillId="51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8" fillId="5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25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>
          <x:bgColor rgb="FFFDE7E9"/>
        </x:patternFill>
      </x:fill>
    </x:dxf>
    <x:dxf>
      <x:font>
        <x:color rgb="FF991B1B"/>
      </x:font>
      <x:fill>
        <x:patternFill>
          <x:bgColor rgb="FFFDE7E9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315696ef374e36" /><Relationship Type="http://schemas.openxmlformats.org/officeDocument/2006/relationships/theme" Target="/xl/theme/theme1.xml" Id="R79347c7ad7ae4405" /><Relationship Type="http://schemas.openxmlformats.org/officeDocument/2006/relationships/sharedStrings" Target="/xl/sharedStrings.xml" Id="R1ad85750f47b4fc8" /><Relationship Type="http://schemas.openxmlformats.org/officeDocument/2006/relationships/worksheet" Target="/xl/worksheets/sheet1.xml" Id="Rde0ae639e87049a0" /><Relationship Type="http://schemas.openxmlformats.org/officeDocument/2006/relationships/worksheet" Target="/xl/worksheets/sheet2.xml" Id="R80efb8cc14e8495d" /><Relationship Type="http://schemas.openxmlformats.org/officeDocument/2006/relationships/worksheet" Target="/xl/worksheets/sheet3.xml" Id="R295fcc568d74461d" /><Relationship Type="http://schemas.openxmlformats.org/officeDocument/2006/relationships/worksheet" Target="/xl/worksheets/sheet4.xml" Id="R920b60cd0ad845f9" /><Relationship Type="http://schemas.openxmlformats.org/officeDocument/2006/relationships/worksheet" Target="/xl/worksheets/sheet5.xml" Id="Rbe6a49ab8c18438d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5" name="SmokeCases" displayName="SmokeCases" ref="A5:Z96" headerRowCount="1" totalsRowCount="0" totalsRowShown="0">
  <x:autoFilter ref="A5:Z96"/>
  <x:tableColumns count="26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测试层次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8" name="UiCases" displayName="UiCases" ref="A5:AM47" headerRowCount="1" totalsRowCount="0" totalsRowShown="0">
  <x:tableColumns count="39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（局部覆盖）"/>
    <x:tableColumn id="37" name="验收所需依据"/>
    <x:tableColumn id="38" name="层级来源"/>
    <x:tableColumn id="39" name="功能关联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7" name="RequirementTrace" displayName="RequirementTrace" ref="A5:H124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SiteEvidence" displayName="SiteEvidence" ref="A5:H15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5f28e12a514d63" /><Relationship Type="http://schemas.openxmlformats.org/officeDocument/2006/relationships/table" Target="/xl/tables/table2.xml" Id="R01a390fdf8d74c0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9f0ae83353784f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83072f1bf8643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e69e8f93321b489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9512440ca2e84030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颜色层级对应｜91功能＋42UI；28冒烟＋63专项；21有效Review逐项对应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本批执行前提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28冒烟为用例库候选；每交付模块选入口/权限、正向闭环、关键失败及保存读回。计价交付需SM25成本核算与SM52重量核算，细矩阵归专项。</x:v>
      </x:c>
      <x:c r="G8" s="18" t="str">
        <x:v>冒烟最小集合</x:v>
      </x:c>
      <x:c r="H8" s="10" t="str">
        <x:v>每个交付模块：入口与权限、1条有效主链路、1条关键失败／状态保护、保存后读回；受影响上下游补1条联动。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Review视图rev637：1已修改、3修改中、17待确认；颜色表示适配方式。确认状态及颜色均不代表本批实测通过。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冒烟统计</x:v>
      </x:c>
      <x:c r="B19" s="88" t="str">
        <x:v>当前记录</x:v>
      </x:c>
      <x:c r="C19" s="2"/>
      <x:c r="D19" s="2"/>
      <x:c r="E19" s="88" t="str">
        <x:v>UI 统计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COUNTIFS('冒烟用例'!$D$6:$D$96,"是",'冒烟用例'!$P$6:$P$96,"冒烟")</x:f>
        <x:v>5</x:v>
      </x:c>
      <x:c r="C20" s="2"/>
      <x:c r="D20" s="2"/>
      <x:c r="E20" s="2" t="str">
        <x:v>适用检查数</x:v>
      </x:c>
      <x:c r="F20" s="25" t="n">
        <x:f>COUNTIFS('UI检查'!$D$6:$D$47,"是")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COUNTIFS('冒烟用例'!$D$6:$D$96,"是",'冒烟用例'!$P$6:$P$96,"冒烟",'冒烟用例'!$E$6:$E$96,"是")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COUNTIFS('UI检查'!$D$6:$D$47,"是",'UI检查'!$E$6:$E$47,"是")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COUNTIFS('冒烟用例'!$D$6:$D$96,"是",'冒烟用例'!$P$6:$P$96,"冒烟",'冒烟用例'!$I$6:$I$96,"通过")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COUNTIFS('UI检查'!$D$6:$D$47,"是",'UI检查'!$I$6:$I$47,"通过")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COUNTIFS('冒烟用例'!$D$6:$D$96,"是",'冒烟用例'!$P$6:$P$96,"冒烟",'冒烟用例'!$I$6:$I$96,"失败")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COUNTIFS('UI检查'!$D$6:$D$47,"是",'UI检查'!$I$6:$I$47,"失败")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冒烟")-COUNTIFS('冒烟用例'!$D$6:$D$96,"是",'冒烟用例'!$P$6:$P$96,"冒烟",'冒烟用例'!$I$6:$I$96,"通过")-COUNTIFS('冒烟用例'!$D$6:$D$96,"是",'冒烟用例'!$P$6:$P$96,"冒烟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COUNTIFS('UI检查'!$D$6:$D$47,"是")-COUNTIFS('UI检查'!$D$6:$D$47,"是",'UI检查'!$I$6:$I$47,"通过")-COUNTIFS('UI检查'!$D$6:$D$47,"是",'UI检查'!$I$6:$I$47,"失败")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COUNTIFS('冒烟用例'!$D$6:$D$96,"是",'冒烟用例'!$P$6:$P$96,"冒烟")-COUNTIFS('冒烟用例'!$D$6:$D$96,"是",'冒烟用例'!$P$6:$P$96,"冒烟",'冒烟用例'!$V$6:$V$96,"已确认")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COUNTIFS('UI检查'!$D$6:$D$47,"是")-COUNTIFS('UI检查'!$D$6:$D$47,"是",'UI检查'!$AF$6:$AF$47,"已确认")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COUNTIFS('冒烟用例'!$D$6:$D$96,"待选择",'冒烟用例'!$P$6:$P$96,"冒烟")</x:f>
        <x:v>23</x:v>
      </x:c>
      <x:c r="C26" s="2"/>
      <x:c r="D26" s="2"/>
      <x:c r="E26" s="2" t="str">
        <x:v>库内待筛选（提示）</x:v>
      </x:c>
      <x:c r="F26" s="25" t="n">
        <x:f>COUNTIFS('UI检查'!$D$6:$D$47,"待选择")</x:f>
        <x:v>42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COUNTIFS('冒烟用例'!$D$6:$D$96,"是",'冒烟用例'!$P$6:$P$96,"冒烟",'冒烟用例'!$E$6:$E$96,"是",'冒烟用例'!$I$6:$I$96,"失败")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COUNTIFS('UI检查'!$D$6:$D$47,"是",'UI检查'!$E$6:$E$47,"是",'UI检查'!$I$6:$I$47,"失败")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冒烟",'冒烟用例'!$E$6:$E$96,"是")-COUNTIFS('冒烟用例'!$D$6:$D$96,"是",'冒烟用例'!$P$6:$P$96,"冒烟",'冒烟用例'!$E$6:$E$96,"是",'冒烟用例'!$I$6:$I$96,"通过")-COUNTIFS('冒烟用例'!$D$6:$D$96,"是",'冒烟用例'!$P$6:$P$96,"冒烟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COUNTIFS('UI检查'!$D$6:$D$47,"是",'UI检查'!$E$6:$E$47,"是")-COUNTIFS('UI检查'!$D$6:$D$47,"是",'UI检查'!$E$6:$E$47,"是",'UI检查'!$I$6:$I$47,"通过")-COUNTIFS('UI检查'!$D$6:$D$47,"是",'UI检查'!$E$6:$E$47,"是",'UI检查'!$I$6:$I$47,"失败")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冒烟",'冒烟用例'!$V$6:$V$96,"已确认")=0,"无已确认项",COUNTIFS('冒烟用例'!$D$6:$D$96,"是",'冒烟用例'!$P$6:$P$96,"冒烟",'冒烟用例'!$I$6:$I$96,"通过")/COUNTIFS('冒烟用例'!$D$6:$D$96,"是",'冒烟用例'!$P$6:$P$96,"冒烟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IF(COUNTIFS('UI检查'!$D$6:$D$47,"是",'UI检查'!$AF$6:$AF$47,"已确认")=0,"无已确认项",COUNTIFS('UI检查'!$D$6:$D$47,"是",'UI检查'!$I$6:$I$47,"通过")/COUNTIFS('UI检查'!$D$6:$D$47,"是",'UI检查'!$AF$6:$AF$47,"已确认"))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COUNTIFS('冒烟用例'!$D$6:$D$96,"是")-COUNTIFS('冒烟用例'!$D$6:$D$96,"是",'冒烟用例'!$Q$6:$Q$96,"&lt;&gt;")+COUNTIFS('UI检查'!$D$6:$D$47,"是")-COUNTIFS('UI检查'!$D$6:$D$47,"是",'UI检查'!$U$6:$U$47,"&lt;&gt;")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IF(F20=0,"无适用项",COUNTIFS('UI检查'!$D$6:$D$47,"是",'UI检查'!$AF$6:$AF$47,"已确认")/F20)</x:f>
        <x:v>无适用项</x:v>
      </x:c>
      <x:c r="G32" s="10" t="str">
        <x:v>已确认但未完成</x:v>
      </x:c>
      <x:c r="H32" s="10" t="n">
        <x:f>COUNTIFS('UI检查'!$D$6:$D$47,"是",'UI检查'!$AF$6:$AF$47,"已确认")-F22-F23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$47,"UI01",'UI检查'!$D$6:$D$47,"是"))&gt;0,D40="否"),"范围矛盾",IF(OR(D40="是",(COUNTIFS('UI检查'!$A$6:$A$47,"UI01",'UI检查'!$D$6:$D$47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$47,"UI02",'UI检查'!$D$6:$D$47,"是"))&gt;0,D41="否"),"范围矛盾",IF(OR(D41="是",(COUNTIFS('UI检查'!$A$6:$A$47,"UI02",'UI检查'!$D$6:$D$47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$47,"UI18",'UI检查'!$D$6:$D$47,"是"))&gt;0,D42="否"),"范围矛盾",IF(OR(D42="是",(COUNTIFS('UI检查'!$A$6:$A$47,"UI18",'UI检查'!$D$6:$D$47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$47,"UI15",'UI检查'!$D$6:$D$47,"是"))&gt;0,D43="否"),"范围矛盾",IF(OR(D43="是",(COUNTIFS('UI检查'!$A$6:$A$47,"UI15",'UI检查'!$D$6:$D$47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$47,"UI16",'UI检查'!$D$6:$D$47,"是")+COUNTIFS('冒烟用例'!$A$6:$A$96,"SM27",'冒烟用例'!$D$6:$D$96,"是"))&gt;0,D44="否"),"范围矛盾",IF(OR(D44="是",(COUNTIFS('UI检查'!$A$6:$A$47,"UI16",'UI检查'!$D$6:$D$47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$47,"UI13",'UI检查'!$D$6:$D$47,"是"))&gt;0,D47="否"),"范围矛盾",IF(OR(D47="是",(COUNTIFS('冒烟用例'!$A$6:$A$96,"SM28",'冒烟用例'!$D$6:$D$96,"是")+COUNTIFS('冒烟用例'!$A$6:$A$96,"SM55",'冒烟用例'!$D$6:$D$96,"是")+COUNTIFS('UI检查'!$A$6:$A$47,"UI13",'UI检查'!$D$6:$D$47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$47,"UI09",'UI检查'!$D$6:$D$47,"是"))&gt;0,D48="否"),"范围矛盾",IF(OR(D48="是",(COUNTIFS('冒烟用例'!$A$6:$A$96,"SM43",'冒烟用例'!$D$6:$D$96,"是")+COUNTIFS('冒烟用例'!$A$6:$A$96,"SM58",'冒烟用例'!$D$6:$D$96,"是")+COUNTIFS('UI检查'!$A$6:$A$47,"UI09",'UI检查'!$D$6:$D$47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$47,"UI22",'UI检查'!$D$6:$D$47,"是")+COUNTIFS('UI检查'!$A$6:$A$47,"UI29",'UI检查'!$D$6:$D$47,"是"))&gt;0,D49="否"),"范围矛盾",IF(OR(D49="是",(COUNTIFS('UI检查'!$A$6:$A$47,"UI22",'UI检查'!$D$6:$D$47,"是")+COUNTIFS('UI检查'!$A$6:$A$47,"UI29",'UI检查'!$D$6:$D$47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$47,"UI16",'UI检查'!$D$6:$D$47,"是")+COUNTIFS('UI检查'!$A$6:$A$47,"UI37",'UI检查'!$D$6:$D$47,"是")+COUNTIFS('UI检查'!$A$6:$A$47,"UI38",'UI检查'!$D$6:$D$47,"是"))&gt;0,D56="否"),"范围矛盾",IF(OR(D56="是",(COUNTIFS('冒烟用例'!$A$6:$A$96,"SM27",'冒烟用例'!$D$6:$D$96,"是")+COUNTIFS('UI检查'!$A$6:$A$47,"UI16",'UI检查'!$D$6:$D$47,"是")+COUNTIFS('UI检查'!$A$6:$A$47,"UI37",'UI检查'!$D$6:$D$47,"是")+COUNTIFS('UI检查'!$A$6:$A$47,"UI38",'UI检查'!$D$6:$D$47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UI01—42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$47,"UI01",'UI检查'!$D$6:$D$47,"是")+COUNTIFS('UI检查'!$A$6:$A$47,"UI02",'UI检查'!$D$6:$D$47,"是")+COUNTIFS('UI检查'!$A$6:$A$47,"UI03",'UI检查'!$D$6:$D$47,"是")+COUNTIFS('UI检查'!$A$6:$A$47,"UI04",'UI检查'!$D$6:$D$47,"是")+COUNTIFS('UI检查'!$A$6:$A$47,"UI05",'UI检查'!$D$6:$D$47,"是")+COUNTIFS('UI检查'!$A$6:$A$47,"UI06",'UI检查'!$D$6:$D$47,"是")+COUNTIFS('UI检查'!$A$6:$A$47,"UI07",'UI检查'!$D$6:$D$47,"是")+COUNTIFS('UI检查'!$A$6:$A$47,"UI08",'UI检查'!$D$6:$D$47,"是")+COUNTIFS('UI检查'!$A$6:$A$47,"UI09",'UI检查'!$D$6:$D$47,"是")+COUNTIFS('UI检查'!$A$6:$A$47,"UI10",'UI检查'!$D$6:$D$47,"是")+COUNTIFS('UI检查'!$A$6:$A$47,"UI11",'UI检查'!$D$6:$D$47,"是")+COUNTIFS('UI检查'!$A$6:$A$47,"UI12",'UI检查'!$D$6:$D$47,"是")+COUNTIFS('UI检查'!$A$6:$A$47,"UI13",'UI检查'!$D$6:$D$47,"是")+COUNTIFS('UI检查'!$A$6:$A$47,"UI14",'UI检查'!$D$6:$D$47,"是")+COUNTIFS('UI检查'!$A$6:$A$47,"UI15",'UI检查'!$D$6:$D$47,"是")+COUNTIFS('UI检查'!$A$6:$A$47,"UI16",'UI检查'!$D$6:$D$47,"是")+COUNTIFS('UI检查'!$A$6:$A$47,"UI17",'UI检查'!$D$6:$D$47,"是")+COUNTIFS('UI检查'!$A$6:$A$47,"UI18",'UI检查'!$D$6:$D$47,"是")+COUNTIFS('UI检查'!$A$6:$A$47,"UI19",'UI检查'!$D$6:$D$47,"是")+COUNTIFS('UI检查'!$A$6:$A$47,"UI20",'UI检查'!$D$6:$D$47,"是")+COUNTIFS('UI检查'!$A$6:$A$47,"UI21",'UI检查'!$D$6:$D$47,"是")+COUNTIFS('UI检查'!$A$6:$A$47,"UI22",'UI检查'!$D$6:$D$47,"是")+COUNTIFS('UI检查'!$A$6:$A$47,"UI23",'UI检查'!$D$6:$D$47,"是")+COUNTIFS('UI检查'!$A$6:$A$47,"UI24",'UI检查'!$D$6:$D$47,"是")+COUNTIFS('UI检查'!$A$6:$A$47,"UI25",'UI检查'!$D$6:$D$47,"是")+COUNTIFS('UI检查'!$A$6:$A$47,"UI26",'UI检查'!$D$6:$D$47,"是")+COUNTIFS('UI检查'!$A$6:$A$47,"UI27",'UI检查'!$D$6:$D$47,"是")+COUNTIFS('UI检查'!$A$6:$A$47,"UI28",'UI检查'!$D$6:$D$47,"是")+COUNTIFS('UI检查'!$A$6:$A$47,"UI29",'UI检查'!$D$6:$D$47,"是")+COUNTIFS('UI检查'!$A$6:$A$47,"UI30",'UI检查'!$D$6:$D$47,"是")+COUNTIFS('UI检查'!$A$6:$A$47,"UI31",'UI检查'!$D$6:$D$47,"是")+COUNTIFS('UI检查'!$A$6:$A$47,"UI32",'UI检查'!$D$6:$D$47,"是")+COUNTIFS('UI检查'!$A$6:$A$47,"UI33",'UI检查'!$D$6:$D$47,"是")+COUNTIFS('UI检查'!$A$6:$A$47,"UI34",'UI检查'!$D$6:$D$47,"是")+COUNTIFS('UI检查'!$A$6:$A$47,"UI35",'UI检查'!$D$6:$D$47,"是")+COUNTIFS('UI检查'!$A$6:$A$47,"UI36",'UI检查'!$D$6:$D$47,"是")+COUNTIFS('UI检查'!$A$6:$A$47,"UI37",'UI检查'!$D$6:$D$47,"是")+COUNTIFS('UI检查'!$A$6:$A$47,"UI38",'UI检查'!$D$6:$D$47,"是")+COUNTIFS('UI检查'!$A$6:$A$47,"UI39",'UI检查'!$D$6:$D$47,"是")+COUNTIFS('UI检查'!$A$6:$A$47,"UI40",'UI检查'!$D$6:$D$47,"是")+COUNTIFS('UI检查'!$A$6:$A$47,"UI41",'UI检查'!$D$6:$D$47,"是")+COUNTIFS('UI检查'!$A$6:$A$47,"UI42",'UI检查'!$D$6:$D$47,"是"))&gt;0,D57="否"),"范围矛盾",IF(OR(D57="是",(COUNTIFS('UI检查'!$A$6:$A$47,"UI01",'UI检查'!$D$6:$D$47,"是")+COUNTIFS('UI检查'!$A$6:$A$47,"UI02",'UI检查'!$D$6:$D$47,"是")+COUNTIFS('UI检查'!$A$6:$A$47,"UI03",'UI检查'!$D$6:$D$47,"是")+COUNTIFS('UI检查'!$A$6:$A$47,"UI04",'UI检查'!$D$6:$D$47,"是")+COUNTIFS('UI检查'!$A$6:$A$47,"UI05",'UI检查'!$D$6:$D$47,"是")+COUNTIFS('UI检查'!$A$6:$A$47,"UI06",'UI检查'!$D$6:$D$47,"是")+COUNTIFS('UI检查'!$A$6:$A$47,"UI07",'UI检查'!$D$6:$D$47,"是")+COUNTIFS('UI检查'!$A$6:$A$47,"UI08",'UI检查'!$D$6:$D$47,"是")+COUNTIFS('UI检查'!$A$6:$A$47,"UI09",'UI检查'!$D$6:$D$47,"是")+COUNTIFS('UI检查'!$A$6:$A$47,"UI10",'UI检查'!$D$6:$D$47,"是")+COUNTIFS('UI检查'!$A$6:$A$47,"UI11",'UI检查'!$D$6:$D$47,"是")+COUNTIFS('UI检查'!$A$6:$A$47,"UI12",'UI检查'!$D$6:$D$47,"是")+COUNTIFS('UI检查'!$A$6:$A$47,"UI13",'UI检查'!$D$6:$D$47,"是")+COUNTIFS('UI检查'!$A$6:$A$47,"UI14",'UI检查'!$D$6:$D$47,"是")+COUNTIFS('UI检查'!$A$6:$A$47,"UI15",'UI检查'!$D$6:$D$47,"是")+COUNTIFS('UI检查'!$A$6:$A$47,"UI16",'UI检查'!$D$6:$D$47,"是")+COUNTIFS('UI检查'!$A$6:$A$47,"UI17",'UI检查'!$D$6:$D$47,"是")+COUNTIFS('UI检查'!$A$6:$A$47,"UI18",'UI检查'!$D$6:$D$47,"是")+COUNTIFS('UI检查'!$A$6:$A$47,"UI19",'UI检查'!$D$6:$D$47,"是")+COUNTIFS('UI检查'!$A$6:$A$47,"UI20",'UI检查'!$D$6:$D$47,"是")+COUNTIFS('UI检查'!$A$6:$A$47,"UI21",'UI检查'!$D$6:$D$47,"是")+COUNTIFS('UI检查'!$A$6:$A$47,"UI22",'UI检查'!$D$6:$D$47,"是")+COUNTIFS('UI检查'!$A$6:$A$47,"UI23",'UI检查'!$D$6:$D$47,"是")+COUNTIFS('UI检查'!$A$6:$A$47,"UI24",'UI检查'!$D$6:$D$47,"是")+COUNTIFS('UI检查'!$A$6:$A$47,"UI25",'UI检查'!$D$6:$D$47,"是")+COUNTIFS('UI检查'!$A$6:$A$47,"UI26",'UI检查'!$D$6:$D$47,"是")+COUNTIFS('UI检查'!$A$6:$A$47,"UI27",'UI检查'!$D$6:$D$47,"是")+COUNTIFS('UI检查'!$A$6:$A$47,"UI28",'UI检查'!$D$6:$D$47,"是")+COUNTIFS('UI检查'!$A$6:$A$47,"UI29",'UI检查'!$D$6:$D$47,"是")+COUNTIFS('UI检查'!$A$6:$A$47,"UI30",'UI检查'!$D$6:$D$47,"是")+COUNTIFS('UI检查'!$A$6:$A$47,"UI31",'UI检查'!$D$6:$D$47,"是")+COUNTIFS('UI检查'!$A$6:$A$47,"UI32",'UI检查'!$D$6:$D$47,"是")+COUNTIFS('UI检查'!$A$6:$A$47,"UI33",'UI检查'!$D$6:$D$47,"是")+COUNTIFS('UI检查'!$A$6:$A$47,"UI34",'UI检查'!$D$6:$D$47,"是")+COUNTIFS('UI检查'!$A$6:$A$47,"UI35",'UI检查'!$D$6:$D$47,"是")+COUNTIFS('UI检查'!$A$6:$A$47,"UI36",'UI检查'!$D$6:$D$47,"是")+COUNTIFS('UI检查'!$A$6:$A$47,"UI37",'UI检查'!$D$6:$D$47,"是")+COUNTIFS('UI检查'!$A$6:$A$47,"UI38",'UI检查'!$D$6:$D$47,"是")+COUNTIFS('UI检查'!$A$6:$A$47,"UI39",'UI检查'!$D$6:$D$47,"是")+COUNTIFS('UI检查'!$A$6:$A$47,"UI40",'UI检查'!$D$6:$D$47,"是")+COUNTIFS('UI检查'!$A$6:$A$47,"UI41",'UI检查'!$D$6:$D$47,"是")+COUNTIFS('UI检查'!$A$6:$A$47,"UI42",'UI检查'!$D$6:$D$47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$47,"UI03",'UI检查'!$D$6:$D$47,"是")+COUNTIFS('冒烟用例'!$A$6:$A$96,"SM63",'冒烟用例'!$D$6:$D$96,"是"))&gt;0,D61="否"),"范围矛盾",IF(OR(D61="是",(COUNTIFS('UI检查'!$A$6:$A$47,"UI03",'UI检查'!$D$6:$D$47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Review视图rev637，2026-10-12完整读取22条，21有效＋1空记录；全部有效记录ID映射到UI case。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当前库：28冒烟＋63专项＋42UI，共133检查点；颜色表示框架适配层级，来源确认状态、本批采用及测试结果分别判断。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独立复查：五色主映射正确，飞书仍为rev637。修正10处过宽功能关联及54条误关联DEC01的依据门槛；保留133条用例、原输入及全部未执行结果。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$47,"UI35",'UI检查'!$D$6:$D$47,"是"))&gt;0,D115="否"),"范围矛盾",IF(OR(D115="是",(COUNTIFS('UI检查'!$A$6:$A$47,"UI35",'UI检查'!$D$6:$D$47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冒烟范围</x:v>
      </x:c>
      <x:c r="C124" s="10"/>
      <x:c r="D124" s="10" t="str">
        <x:v>本版28冒烟/63专项，计价核心20KG正向仍为SM52冒烟；20.1→21归SM79，非法/缺失归SM78；新增币种、独立邮编、航线区域3条专项按交付纳入。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$47,"UI42",'UI检查'!$D$6:$D$47,"是")&gt;0,D160="否"),"范围矛盾",IF(OR(D160="是",COUNTIFS('UI检查'!$A$6:$A$47,"UI42",'UI检查'!$D$6:$D$47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配套功能case（局部覆盖）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SM02、SM03、SM05、SM11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无直接配套；UI case独立执行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核现有标准组件组合后的布局、状态联动与完整流程，重点检查选中反馈、返回、跨页/未保存数据保护。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SM04、SM06、SM07、SM08
SM21、SM27、SM28、SM58
SM82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Review→UI case每条映射一次；功能配套仅覆盖重叠检查点，具体范围见UI检查AM列。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58.5" customHeight="1">
      <x:c r="A176" s="10" t="str">
        <x:v>补充用例</x:v>
      </x:c>
      <x:c r="B176" s="10" t="str">
        <x:v>UI19—UI34、UI37—UI41为规范或网站补充，共21条；没有直接Review记录，不强行套五色。按实际组件配套使用，如UI33/34配套UI01、UI37/38配套UI16。</x:v>
      </x:c>
      <x:c r="C176" s="10"/>
      <x:c r="D176" s="10"/>
      <x:c r="E176" s="10"/>
      <x:c r="F176" s="10"/>
      <x:c r="G176" s="10"/>
      <x:c r="H176" s="10"/>
    </x:row>
    <x:row r="177" ht="82.5" customHeight="1">
      <x:c r="A177" s="10" t="str">
        <x:v>来源</x:v>
      </x:c>
      <x:c r="B177" s="10" t="str">
        <x:v>飞书视图rev637及框架适配字段说明，2026-10-12只读获取；字段定义明确UI/开发/产品分工。https://example.invalid/source/e04459bb0b</x:v>
      </x:c>
      <x:c r="C177" s="10"/>
      <x:c r="D177" s="10"/>
      <x:c r="E177" s="10"/>
      <x:c r="F177" s="10"/>
      <x:c r="G177" s="10"/>
      <x:c r="H177" s="10"/>
    </x:row>
    <x:row r="179" ht="71.25" customHeight="1">
      <x:c r="A179" s="10" t="str">
        <x:v>独立复查修正</x:v>
      </x:c>
      <x:c r="B179" s="10" t="str">
        <x:v>主颜色映射不变；功能配套收紧到相同检查点，并明确局部覆盖。54条检查曾错误依赖DEC01，现仅保留决策表声明的真实关联，基础配置布局仍约束UI01。</x:v>
      </x:c>
      <x:c r="C179" s="10"/>
      <x:c r="D179" s="10"/>
      <x:c r="E179" s="10"/>
      <x:c r="F179" s="10"/>
      <x:c r="G179" s="10"/>
      <x:c r="H179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  <x:mergeCell ref="B179:H179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c55f28e12a514d63"/>
    <x:tablePart xmlns:r="http://schemas.openxmlformats.org/officeDocument/2006/relationships" r:id="R01a390fdf8d74c07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本版结合网站只读详情修订步骤；完整用例全部未执行。按交付选是，确认需求/UI及关联决策；执行前提、Build/基线、交付映射和逐分支证据满足后才能计有效结果。 Y/Z列为配套UI case及其颜色层级；功能行为须独立验证，不从颜色或UI结果推定功能通过。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测试层次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冒烟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233" t="str">
        <x:v>功能专项，无直接Review配套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冒烟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235" t="str">
        <x:v>红色：无法覆盖（局部配套）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冒烟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</x:v>
      </x:c>
      <x:c r="Z8" s="235" t="str">
        <x:v>红色：无法覆盖（局部配套）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冒烟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UI17</x:v>
      </x:c>
      <x:c r="Z9" s="237" t="str">
        <x:v>绿色：直接复用（局部配套）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冒烟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UI42</x:v>
      </x:c>
      <x:c r="Z10" s="235" t="str">
        <x:v>红色：无法覆盖（局部配套）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冒烟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</x:v>
      </x:c>
      <x:c r="Z11" s="237" t="str">
        <x:v>绿色：直接复用（局部配套）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冒烟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237" t="str">
        <x:v>绿色：直接复用（局部配套）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UI11</x:v>
      </x:c>
      <x:c r="Z13" s="237" t="str">
        <x:v>绿色：直接复用（局部配套）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冒烟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233" t="str">
        <x:v>功能专项，无直接Review配套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冒烟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IF(D15="否","不适用",IF(D15&lt;&gt;"是","未纳入本批",IF(OR(LEN(TRIM('本批提测'!$B$10))=0,LEN(TRIM('本批提测'!$B$11))=0,'本批提测'!$B$12&lt;&gt;"已确认",F15&lt;&gt;"已确认",'本批提测'!$H$45&lt;&gt;"已确认"),"待确认","已确认")))</x:f>
        <x:v>未纳入本批</x:v>
      </x:c>
      <x:c r="W15" s="10" t="str">
        <x:v>复查修正</x:v>
      </x:c>
      <x:c r="X15" s="10" t="str">
        <x:v>用实际IATA/ICAO/国家表单修订航空公司分支。
移除不属于本条的DEC01基础配置布局门槛，保留本条实际关联决策及全部执行前提。</x:v>
      </x:c>
      <x:c r="Y15" s="187"/>
      <x:c r="Z15" s="233" t="str">
        <x:v>功能专项，无直接Review配套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冒烟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</x:v>
      </x:c>
      <x:c r="Z16" s="235" t="str">
        <x:v>红色：无法覆盖（局部配套）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冒烟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/>
      <x:c r="Z17" s="233" t="str">
        <x:v>功能专项，无直接Review配套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/>
      <x:c r="Z18" s="233" t="str">
        <x:v>功能专项，无直接Review配套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冒烟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233" t="str">
        <x:v>功能专项，无直接Review配套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冒烟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233" t="str">
        <x:v>功能专项，无直接Review配套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IF(D21="否","不适用",IF(D21&lt;&gt;"是","未纳入本批",IF(OR(LEN(TRIM('本批提测'!$B$10))=0,LEN(TRIM('本批提测'!$B$11))=0,'本批提测'!$B$12&lt;&gt;"已确认",F21&lt;&gt;"已确认",'本批提测'!$H$45&lt;&gt;"已确认"),"待确认","已确认")))</x:f>
        <x:v>未纳入本批</x:v>
      </x:c>
      <x:c r="W21" s="10" t="str">
        <x:v>复查修正</x:v>
      </x:c>
      <x:c r="X21" s="10" t="str">
        <x:v>重复编码使用真实新增路径，区分各对象唯一键。
移除不属于本条的DEC01基础配置布局门槛，保留本条实际关联决策及全部执行前提。</x:v>
      </x:c>
      <x:c r="Y21" s="187"/>
      <x:c r="Z21" s="233" t="str">
        <x:v>功能专项，无直接Review配套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'本批提测'!$H$156&lt;&gt;"已确认"),"待确认","已确认")))</x:f>
        <x:v>未纳入本批</x:v>
      </x:c>
      <x:c r="W22" s="10" t="str">
        <x:v>复查修正</x:v>
      </x:c>
      <x:c r="X22" s="10" t="str">
        <x:v>区分固定目录切换和分类自身CRUD。
移除不属于本条的DEC01基础配置布局门槛，保留本条实际关联决策及全部执行前提。</x:v>
      </x:c>
      <x:c r="Y22" s="187"/>
      <x:c r="Z22" s="233" t="str">
        <x:v>功能专项，无直接Review配套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冒烟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233" t="str">
        <x:v>功能专项，无直接Review配套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233" t="str">
        <x:v>功能专项，无直接Review配套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233" t="str">
        <x:v>功能专项，无直接Review配套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冒烟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IF(D26="否","不适用",IF(D26&lt;&gt;"是","未纳入本批",IF(OR(LEN(TRIM('本批提测'!$B$10))=0,LEN(TRIM('本批提测'!$B$11))=0,'本批提测'!$B$12&lt;&gt;"已确认",F26&lt;&gt;"已确认",'本批提测'!$H$52&lt;&gt;"已确认"),"待确认","已确认")))</x:f>
        <x:v>未纳入本批</x:v>
      </x:c>
      <x:c r="W26" s="10" t="str">
        <x:v>复查修正</x:v>
      </x:c>
      <x:c r="X26" s="10" t="str">
        <x:v>设计复核后保留；关联DEC13、DEC01确认后方可执行判定。
移除不属于本条的DEC01基础配置布局门槛，保留本条实际关联决策及全部执行前提。</x:v>
      </x:c>
      <x:c r="Y26" s="187" t="str">
        <x:v>UI35、UI36</x:v>
      </x:c>
      <x:c r="Z26" s="233" t="str">
        <x:v>蓝色：组合复用（局部配套）；绿色：直接复用（局部配套）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冒烟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239" t="str">
        <x:v>黄色：调整后复用（局部配套）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冒烟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IF(D28="否","不适用",IF(D28&lt;&gt;"是","未纳入本批",IF(OR(LEN(TRIM('本批提测'!$B$10))=0,LEN(TRIM('本批提测'!$B$11))=0,'本批提测'!$B$12&lt;&gt;"已确认",F28&lt;&gt;"已确认",'本批提测'!$H$58&lt;&gt;"已确认"),"待确认","已确认")))</x:f>
        <x:v>未纳入本批</x:v>
      </x:c>
      <x:c r="W28" s="10" t="str">
        <x:v>复查修正</x:v>
      </x:c>
      <x:c r="X28" s="10" t="str">
        <x:v>设计复核后保留；关联DEC19、DEC01确认后方可执行判定。
移除不属于本条的DEC01基础配置布局门槛，保留本条实际关联决策及全部执行前提。</x:v>
      </x:c>
      <x:c r="Y28" s="187"/>
      <x:c r="Z28" s="233" t="str">
        <x:v>功能专项，无直接Review配套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冒烟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IF(D29="否","不适用",IF(D29&lt;&gt;"是","未纳入本批",IF(OR(LEN(TRIM('本批提测'!$B$10))=0,LEN(TRIM('本批提测'!$B$11))=0,'本批提测'!$B$12&lt;&gt;"已确认",F29&lt;&gt;"已确认",'本批提测'!$H$50&lt;&gt;"已确认"),"待确认","已确认")))</x:f>
        <x:v>未纳入本批</x:v>
      </x:c>
      <x:c r="W29" s="10" t="str">
        <x:v>复查修正</x:v>
      </x:c>
      <x:c r="X29" s="10" t="str">
        <x:v>设计复核后保留；关联DEC11、DEC01确认后方可执行判定。
移除不属于本条的DEC01基础配置布局门槛，保留本条实际关联决策及全部执行前提。</x:v>
      </x:c>
      <x:c r="Y29" s="187"/>
      <x:c r="Z29" s="233" t="str">
        <x:v>功能专项，无直接Review配套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冒烟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IF(D30="否","不适用",IF(D30&lt;&gt;"是","未纳入本批",IF(OR(LEN(TRIM('本批提测'!$B$10))=0,LEN(TRIM('本批提测'!$B$11))=0,'本批提测'!$B$12&lt;&gt;"已确认",F30&lt;&gt;"已确认",'本批提测'!$H$58&lt;&gt;"已确认"),"待确认","已确认")))</x:f>
        <x:v>未纳入本批</x:v>
      </x:c>
      <x:c r="W30" s="10" t="str">
        <x:v>复查修正</x:v>
      </x:c>
      <x:c r="X30" s="10" t="str">
        <x:v>设计复核后保留；关联DEC19、DEC01确认后方可执行判定。
移除不属于本条的DEC01基础配置布局门槛，保留本条实际关联决策及全部执行前提。</x:v>
      </x:c>
      <x:c r="Y30" s="187"/>
      <x:c r="Z30" s="233" t="str">
        <x:v>功能专项，无直接Review配套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冒烟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IF(D31="否","不适用",IF(D31&lt;&gt;"是","未纳入本批",IF(OR(LEN(TRIM('本批提测'!$B$10))=0,LEN(TRIM('本批提测'!$B$11))=0,'本批提测'!$B$12&lt;&gt;"已确认",F31&lt;&gt;"已确认",'本批提测'!$H$60&lt;&gt;"已确认"),"待确认","已确认")))</x:f>
        <x:v>未纳入本批</x:v>
      </x:c>
      <x:c r="W31" s="10" t="str">
        <x:v>复查修正</x:v>
      </x:c>
      <x:c r="X31" s="10" t="str">
        <x:v>设计复核后保留；关联DEC21、DEC01确认后方可执行判定。
移除不属于本条的DEC01基础配置布局门槛，保留本条实际关联决策及全部执行前提。</x:v>
      </x:c>
      <x:c r="Y31" s="187"/>
      <x:c r="Z31" s="233" t="str">
        <x:v>功能专项，无直接Review配套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冒烟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),"待确认","已确认")))</x:f>
        <x:v>未纳入本批</x:v>
      </x:c>
      <x:c r="W32" s="10" t="str">
        <x:v>复查修正</x:v>
      </x:c>
      <x:c r="X32" s="10" t="str">
        <x:v>设计复核后保留；关联DEC05、DEC17、DEC01确认后方可执行判定。
移除不属于本条的DEC01基础配置布局门槛，保留本条实际关联决策及全部执行前提。</x:v>
      </x:c>
      <x:c r="Y32" s="187" t="str">
        <x:v>UI16、UI36</x:v>
      </x:c>
      <x:c r="Z32" s="237" t="str">
        <x:v>绿色：直接复用（局部配套）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IF(D33="否","不适用",IF(D33&lt;&gt;"是","未纳入本批",IF(OR(LEN(TRIM('本批提测'!$B$10))=0,LEN(TRIM('本批提测'!$B$11))=0,'本批提测'!$B$12&lt;&gt;"已确认",F33&lt;&gt;"已确认",'本批提测'!$H$47&lt;&gt;"已确认"),"待确认","已确认")))</x:f>
        <x:v>未纳入本批</x:v>
      </x:c>
      <x:c r="W33" s="10" t="str">
        <x:v>复查修正</x:v>
      </x:c>
      <x:c r="X33" s="10" t="str">
        <x:v>设计复核后保留；关联DEC08、DEC01确认后方可执行判定。
移除不属于本条的DEC01基础配置布局门槛，保留本条实际关联决策及全部执行前提。</x:v>
      </x:c>
      <x:c r="Y33" s="187" t="str">
        <x:v>UI03、UI13、UI14</x:v>
      </x:c>
      <x:c r="Z33" s="233" t="str">
        <x:v>蓝色：组合复用（局部配套）；绿色：直接复用（局部配套）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IF(D34="否","不适用",IF(D34&lt;&gt;"是","未纳入本批",IF(OR(LEN(TRIM('本批提测'!$B$10))=0,LEN(TRIM('本批提测'!$B$11))=0,'本批提测'!$B$12&lt;&gt;"已确认",F34&lt;&gt;"已确认",'本批提测'!$H$54&lt;&gt;"已确认"),"待确认","已确认")))</x:f>
        <x:v>未纳入本批</x:v>
      </x:c>
      <x:c r="W34" s="10" t="str">
        <x:v>复查修正</x:v>
      </x:c>
      <x:c r="X34" s="10" t="str">
        <x:v>设计复核后保留；关联DEC15、DEC01确认后方可执行判定。
移除不属于本条的DEC01基础配置布局门槛，保留本条实际关联决策及全部执行前提。</x:v>
      </x:c>
      <x:c r="Y34" s="187" t="str">
        <x:v>UI35</x:v>
      </x:c>
      <x:c r="Z34" s="241" t="str">
        <x:v>蓝色：组合复用（局部配套）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冒烟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IF(D35="否","不适用",IF(D35&lt;&gt;"是","未纳入本批",IF(OR(LEN(TRIM('本批提测'!$B$10))=0,LEN(TRIM('本批提测'!$B$11))=0,'本批提测'!$B$12&lt;&gt;"已确认",F35&lt;&gt;"已确认",'本批提测'!$H$52&lt;&gt;"已确认"),"待确认","已确认")))</x:f>
        <x:v>未纳入本批</x:v>
      </x:c>
      <x:c r="W35" s="10" t="str">
        <x:v>复查修正</x:v>
      </x:c>
      <x:c r="X35" s="10" t="str">
        <x:v>设计复核后保留；关联DEC13、DEC01确认后方可执行判定。
移除不属于本条的DEC01基础配置布局门槛，保留本条实际关联决策及全部执行前提。</x:v>
      </x:c>
      <x:c r="Y35" s="187"/>
      <x:c r="Z35" s="233" t="str">
        <x:v>功能专项，无直接Review配套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冒烟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/>
      <x:c r="Z36" s="233" t="str">
        <x:v>功能专项，无直接Review配套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IF(D37="否","不适用",IF(D37&lt;&gt;"是","未纳入本批",IF(OR(LEN(TRIM('本批提测'!$B$10))=0,LEN(TRIM('本批提测'!$B$11))=0,'本批提测'!$B$12&lt;&gt;"已确认",F37&lt;&gt;"已确认",'本批提测'!$H$53&lt;&gt;"已确认"),"待确认","已确认")))</x:f>
        <x:v>未纳入本批</x:v>
      </x:c>
      <x:c r="W37" s="10" t="str">
        <x:v>复查修正</x:v>
      </x:c>
      <x:c r="X37" s="10" t="str">
        <x:v>设计复核后保留；关联DEC14、DEC01确认后方可执行判定。
移除不属于本条的DEC01基础配置布局门槛，保留本条实际关联决策及全部执行前提。</x:v>
      </x:c>
      <x:c r="Y37" s="187"/>
      <x:c r="Z37" s="233" t="str">
        <x:v>功能专项，无直接Review配套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233" t="str">
        <x:v>功能专项，无直接Review配套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IF(D39="否","不适用",IF(D39&lt;&gt;"是","未纳入本批",IF(OR(LEN(TRIM('本批提测'!$B$10))=0,LEN(TRIM('本批提测'!$B$11))=0,'本批提测'!$B$12&lt;&gt;"已确认",F39&lt;&gt;"已确认",'本批提测'!$H$53&lt;&gt;"已确认"),"待确认","已确认")))</x:f>
        <x:v>未纳入本批</x:v>
      </x:c>
      <x:c r="W39" s="10" t="str">
        <x:v>复查修正</x:v>
      </x:c>
      <x:c r="X39" s="10" t="str">
        <x:v>设计复核后保留；关联DEC14、DEC01确认后方可执行判定。
移除不属于本条的DEC01基础配置布局门槛，保留本条实际关联决策及全部执行前提。</x:v>
      </x:c>
      <x:c r="Y39" s="187"/>
      <x:c r="Z39" s="233" t="str">
        <x:v>功能专项，无直接Review配套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IF(D40="否","不适用",IF(D40&lt;&gt;"是","未纳入本批",IF(OR(LEN(TRIM('本批提测'!$B$10))=0,LEN(TRIM('本批提测'!$B$11))=0,'本批提测'!$B$12&lt;&gt;"已确认",F40&lt;&gt;"已确认",'本批提测'!$H$53&lt;&gt;"已确认"),"待确认","已确认")))</x:f>
        <x:v>未纳入本批</x:v>
      </x:c>
      <x:c r="W40" s="10" t="str">
        <x:v>复查修正</x:v>
      </x:c>
      <x:c r="X40" s="10" t="str">
        <x:v>设计复核后保留；关联DEC14、DEC01确认后方可执行判定。
移除不属于本条的DEC01基础配置布局门槛，保留本条实际关联决策及全部执行前提。</x:v>
      </x:c>
      <x:c r="Y40" s="187"/>
      <x:c r="Z40" s="233" t="str">
        <x:v>功能专项，无直接Review配套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IF(D41="否","不适用",IF(D41&lt;&gt;"是","未纳入本批",IF(OR(LEN(TRIM('本批提测'!$B$10))=0,LEN(TRIM('本批提测'!$B$11))=0,'本批提测'!$B$12&lt;&gt;"已确认",F41&lt;&gt;"已确认",'本批提测'!$H$53&lt;&gt;"已确认"),"待确认","已确认")))</x:f>
        <x:v>未纳入本批</x:v>
      </x:c>
      <x:c r="W41" s="10" t="str">
        <x:v>复查修正</x:v>
      </x:c>
      <x:c r="X41" s="10" t="str">
        <x:v>设计复核后保留；关联DEC14、DEC01确认后方可执行判定。
移除不属于本条的DEC01基础配置布局门槛，保留本条实际关联决策及全部执行前提。</x:v>
      </x:c>
      <x:c r="Y41" s="187"/>
      <x:c r="Z41" s="233" t="str">
        <x:v>功能专项，无直接Review配套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IF(D42="否","不适用",IF(D42&lt;&gt;"是","未纳入本批",IF(OR(LEN(TRIM('本批提测'!$B$10))=0,LEN(TRIM('本批提测'!$B$11))=0,'本批提测'!$B$12&lt;&gt;"已确认",F42&lt;&gt;"已确认",'本批提测'!$H$53&lt;&gt;"已确认"),"待确认","已确认")))</x:f>
        <x:v>未纳入本批</x:v>
      </x:c>
      <x:c r="W42" s="10" t="str">
        <x:v>复查修正</x:v>
      </x:c>
      <x:c r="X42" s="10" t="str">
        <x:v>设计复核后保留；关联DEC14、DEC01确认后方可执行判定。
移除不属于本条的DEC01基础配置布局门槛，保留本条实际关联决策及全部执行前提。</x:v>
      </x:c>
      <x:c r="Y42" s="187"/>
      <x:c r="Z42" s="233" t="str">
        <x:v>功能专项，无直接Review配套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IF(D43="否","不适用",IF(D43&lt;&gt;"是","未纳入本批",IF(OR(LEN(TRIM('本批提测'!$B$10))=0,LEN(TRIM('本批提测'!$B$11))=0,'本批提测'!$B$12&lt;&gt;"已确认",F43&lt;&gt;"已确认",'本批提测'!$H$53&lt;&gt;"已确认"),"待确认","已确认")))</x:f>
        <x:v>未纳入本批</x:v>
      </x:c>
      <x:c r="W43" s="10" t="str">
        <x:v>复查修正</x:v>
      </x:c>
      <x:c r="X43" s="10" t="str">
        <x:v>设计复核后保留；关联DEC14、DEC01确认后方可执行判定。
移除不属于本条的DEC01基础配置布局门槛，保留本条实际关联决策及全部执行前提。</x:v>
      </x:c>
      <x:c r="Y43" s="187"/>
      <x:c r="Z43" s="233" t="str">
        <x:v>功能专项，无直接Review配套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IF(D44="否","不适用",IF(D44&lt;&gt;"是","未纳入本批",IF(OR(LEN(TRIM('本批提测'!$B$10))=0,LEN(TRIM('本批提测'!$B$11))=0,'本批提测'!$B$12&lt;&gt;"已确认",F44&lt;&gt;"已确认",'本批提测'!$H$52&lt;&gt;"已确认"),"待确认","已确认")))</x:f>
        <x:v>未纳入本批</x:v>
      </x:c>
      <x:c r="W44" s="10" t="str">
        <x:v>复查修正</x:v>
      </x:c>
      <x:c r="X44" s="10" t="str">
        <x:v>边界/批量/公式矩阵调整为专项回归；冒烟正向闭环由本模块主链路覆盖。
移除不属于本条的DEC01基础配置布局门槛，保留本条实际关联决策及全部执行前提。</x:v>
      </x:c>
      <x:c r="Y44" s="187"/>
      <x:c r="Z44" s="233" t="str">
        <x:v>功能专项，无直接Review配套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冒烟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IF(D45="否","不适用",IF(D45&lt;&gt;"是","未纳入本批",IF(OR(LEN(TRIM('本批提测'!$B$10))=0,LEN(TRIM('本批提测'!$B$11))=0,'本批提测'!$B$12&lt;&gt;"已确认",F45&lt;&gt;"已确认",'本批提测'!$H$52&lt;&gt;"已确认"),"待确认","已确认")))</x:f>
        <x:v>未纳入本批</x:v>
      </x:c>
      <x:c r="W45" s="10" t="str">
        <x:v>复查修正</x:v>
      </x:c>
      <x:c r="X45" s="10" t="str">
        <x:v>设计复核后保留；关联DEC13、DEC01确认后方可执行判定。
移除不属于本条的DEC01基础配置布局门槛，保留本条实际关联决策及全部执行前提。</x:v>
      </x:c>
      <x:c r="Y45" s="187"/>
      <x:c r="Z45" s="233" t="str">
        <x:v>功能专项，无直接Review配套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IF(D46="否","不适用",IF(D46&lt;&gt;"是","未纳入本批",IF(OR(LEN(TRIM('本批提测'!$B$10))=0,LEN(TRIM('本批提测'!$B$11))=0,'本批提测'!$B$12&lt;&gt;"已确认",F46&lt;&gt;"已确认",'本批提测'!$H$58&lt;&gt;"已确认"),"待确认","已确认")))</x:f>
        <x:v>未纳入本批</x:v>
      </x:c>
      <x:c r="W46" s="10" t="str">
        <x:v>复查修正</x:v>
      </x:c>
      <x:c r="X46" s="10" t="str">
        <x:v>设计复核后保留；关联DEC19、DEC01确认后方可执行判定。
移除不属于本条的DEC01基础配置布局门槛，保留本条实际关联决策及全部执行前提。</x:v>
      </x:c>
      <x:c r="Y46" s="187"/>
      <x:c r="Z46" s="233" t="str">
        <x:v>功能专项，无直接Review配套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IF(D47="否","不适用",IF(D47&lt;&gt;"是","未纳入本批",IF(OR(LEN(TRIM('本批提测'!$B$10))=0,LEN(TRIM('本批提测'!$B$11))=0,'本批提测'!$B$12&lt;&gt;"已确认",F47&lt;&gt;"已确认",'本批提测'!$H$51&lt;&gt;"已确认"),"待确认","已确认")))</x:f>
        <x:v>未纳入本批</x:v>
      </x:c>
      <x:c r="W47" s="10" t="str">
        <x:v>复查修正</x:v>
      </x:c>
      <x:c r="X47" s="10" t="str">
        <x:v>设计复核后保留；关联DEC12、DEC01确认后方可执行判定。
移除不属于本条的DEC01基础配置布局门槛，保留本条实际关联决策及全部执行前提。</x:v>
      </x:c>
      <x:c r="Y47" s="187"/>
      <x:c r="Z47" s="233" t="str">
        <x:v>功能专项，无直接Review配套</x:v>
      </x:c>
    </x:row>
    <x:row r="48" ht="196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'本批提测'!$H$159&lt;&gt;"已确认"),"待确认","已确认")))</x:f>
        <x:v>未纳入本批</x:v>
      </x:c>
      <x:c r="W48" s="10" t="str">
        <x:v>复查修正</x:v>
      </x:c>
      <x:c r="X48" s="10" t="str">
        <x:v>补真实Zone主/成员路径；版本、国家范围和返回成本卡按批准映射。
移除不属于本条的DEC01基础配置布局门槛，保留本条实际关联决策及全部执行前提。</x:v>
      </x:c>
      <x:c r="Y48" s="187"/>
      <x:c r="Z48" s="233" t="str">
        <x:v>功能专项，无直接Review配套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233" t="str">
        <x:v>功能专项，无直接Review配套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233" t="str">
        <x:v>功能专项，无直接Review配套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冒烟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233" t="str">
        <x:v>功能专项，无直接Review配套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IF(D52="否","不适用",IF(D52&lt;&gt;"是","未纳入本批",IF(OR(LEN(TRIM('本批提测'!$B$10))=0,LEN(TRIM('本批提测'!$B$11))=0,'本批提测'!$B$12&lt;&gt;"已确认",F52&lt;&gt;"已确认",'本批提测'!$H$58&lt;&gt;"已确认"),"待确认","已确认")))</x:f>
        <x:v>未纳入本批</x:v>
      </x:c>
      <x:c r="W52" s="10" t="str">
        <x:v>复查修正</x:v>
      </x:c>
      <x:c r="X52" s="10" t="str">
        <x:v>设计复核后保留；关联DEC19、DEC01确认后方可执行判定。
移除不属于本条的DEC01基础配置布局门槛，保留本条实际关联决策及全部执行前提。</x:v>
      </x:c>
      <x:c r="Y52" s="187"/>
      <x:c r="Z52" s="233" t="str">
        <x:v>功能专项，无直接Review配套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IF(D53="否","不适用",IF(D53&lt;&gt;"是","未纳入本批",IF(OR(LEN(TRIM('本批提测'!$B$10))=0,LEN(TRIM('本批提测'!$B$11))=0,'本批提测'!$B$12&lt;&gt;"已确认",F53&lt;&gt;"已确认",'本批提测'!$H$58&lt;&gt;"已确认"),"待确认","已确认")))</x:f>
        <x:v>未纳入本批</x:v>
      </x:c>
      <x:c r="W53" s="10" t="str">
        <x:v>复查修正</x:v>
      </x:c>
      <x:c r="X53" s="10" t="str">
        <x:v>设计复核后保留；关联DEC19、DEC01确认后方可执行判定。
移除不属于本条的DEC01基础配置布局门槛，保留本条实际关联决策及全部执行前提。</x:v>
      </x:c>
      <x:c r="Y53" s="187"/>
      <x:c r="Z53" s="233" t="str">
        <x:v>功能专项，无直接Review配套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233" t="str">
        <x:v>功能专项，无直接Review配套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),"待确认","已确认")))</x:f>
        <x:v>未纳入本批</x:v>
      </x:c>
      <x:c r="W55" s="10" t="str">
        <x:v>复查修正</x:v>
      </x:c>
      <x:c r="X55" s="10" t="str">
        <x:v>设计复核后保留；关联DEC11、DEC16、DEC01确认后方可执行判定。
移除不属于本条的DEC01基础配置布局门槛，保留本条实际关联决策及全部执行前提。</x:v>
      </x:c>
      <x:c r="Y55" s="187"/>
      <x:c r="Z55" s="233" t="str">
        <x:v>功能专项，无直接Review配套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233" t="str">
        <x:v>功能专项，无直接Review配套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冒烟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IF(D57="否","不适用",IF(D57&lt;&gt;"是","未纳入本批",IF(OR(LEN(TRIM('本批提测'!$B$10))=0,LEN(TRIM('本批提测'!$B$11))=0,'本批提测'!$B$12&lt;&gt;"已确认",F57&lt;&gt;"已确认",'本批提测'!$H$58&lt;&gt;"已确认"),"待确认","已确认")))</x:f>
        <x:v>未纳入本批</x:v>
      </x:c>
      <x:c r="W57" s="10" t="str">
        <x:v>复查修正</x:v>
      </x:c>
      <x:c r="X57" s="10" t="str">
        <x:v>恢复核心重量正向算例至冒烟；小数进位与非法/缺失输入分别移至SM79、SM78，不丢原分支。
移除不属于本条的DEC01基础配置布局门槛，保留本条实际关联决策及全部执行前提。</x:v>
      </x:c>
      <x:c r="Y57" s="187"/>
      <x:c r="Z57" s="233" t="str">
        <x:v>功能专项，无直接Review配套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冒烟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233" t="str">
        <x:v>功能专项，无直接Review配套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233" t="str">
        <x:v>功能专项，无直接Review配套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233" t="str">
        <x:v>功能专项，无直接Review配套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IF(D61="否","不适用",IF(D61&lt;&gt;"是","未纳入本批",IF(OR(LEN(TRIM('本批提测'!$B$10))=0,LEN(TRIM('本批提测'!$B$11))=0,'本批提测'!$B$12&lt;&gt;"已确认",F61&lt;&gt;"已确认",'本批提测'!$H$58&lt;&gt;"已确认"),"待确认","已确认")))</x:f>
        <x:v>未纳入本批</x:v>
      </x:c>
      <x:c r="W61" s="10" t="str">
        <x:v>复查修正</x:v>
      </x:c>
      <x:c r="X61" s="10" t="str">
        <x:v>设计复核后保留；关联DEC19、DEC01确认后方可执行判定。
移除不属于本条的DEC01基础配置布局门槛，保留本条实际关联决策及全部执行前提。</x:v>
      </x:c>
      <x:c r="Y61" s="187"/>
      <x:c r="Z61" s="233" t="str">
        <x:v>功能专项，无直接Review配套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233" t="str">
        <x:v>功能专项，无直接Review配套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'本批提测'!$H$158&lt;&gt;"已确认"),"待确认","已确认")))</x:f>
        <x:v>未纳入本批</x:v>
      </x:c>
      <x:c r="W63" s="10" t="str">
        <x:v>复查修正</x:v>
      </x:c>
      <x:c r="X63" s="10" t="str">
        <x:v>保留原地点与匹配合同，增加独立对象映射及可执行前提。
移除不属于本条的DEC01基础配置布局门槛，保留本条实际关联决策及全部执行前提。</x:v>
      </x:c>
      <x:c r="Y63" s="187" t="str">
        <x:v>UI09</x:v>
      </x:c>
      <x:c r="Z63" s="237" t="str">
        <x:v>绿色：直接复用（局部配套）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冒烟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IF(D64="否","不适用",IF(D64&lt;&gt;"是","未纳入本批",IF(OR(LEN(TRIM('本批提测'!$B$10))=0,LEN(TRIM('本批提测'!$B$11))=0,'本批提测'!$B$12&lt;&gt;"已确认",F64&lt;&gt;"已确认",'本批提测'!$H$60&lt;&gt;"已确认"),"待确认","已确认")))</x:f>
        <x:v>未纳入本批</x:v>
      </x:c>
      <x:c r="W64" s="10" t="str">
        <x:v>复查修正</x:v>
      </x:c>
      <x:c r="X64" s="10" t="str">
        <x:v>设计复核后保留；关联DEC21、DEC01确认后方可执行判定。
移除不属于本条的DEC01基础配置布局门槛，保留本条实际关联决策及全部执行前提。</x:v>
      </x:c>
      <x:c r="Y64" s="187"/>
      <x:c r="Z64" s="233" t="str">
        <x:v>功能专项，无直接Review配套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IF(D65="否","不适用",IF(D65&lt;&gt;"是","未纳入本批",IF(OR(LEN(TRIM('本批提测'!$B$10))=0,LEN(TRIM('本批提测'!$B$11))=0,'本批提测'!$B$12&lt;&gt;"已确认",F65&lt;&gt;"已确认",'本批提测'!$H$60&lt;&gt;"已确认"),"待确认","已确认")))</x:f>
        <x:v>未纳入本批</x:v>
      </x:c>
      <x:c r="W65" s="10" t="str">
        <x:v>复查修正</x:v>
      </x:c>
      <x:c r="X65" s="10" t="str">
        <x:v>设计复核后保留；关联DEC21、DEC01确认后方可执行判定。
移除不属于本条的DEC01基础配置布局门槛，保留本条实际关联决策及全部执行前提。</x:v>
      </x:c>
      <x:c r="Y65" s="187"/>
      <x:c r="Z65" s="233" t="str">
        <x:v>功能专项，无直接Review配套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233" t="str">
        <x:v>功能专项，无直接Review配套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233" t="str">
        <x:v>功能专项，无直接Review配套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241" t="str">
        <x:v>蓝色：组合复用（局部配套）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233" t="str">
        <x:v>功能专项，无直接Review配套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233" t="str">
        <x:v>功能专项，无直接Review配套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233" t="str">
        <x:v>功能专项，无直接Review配套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233" t="str">
        <x:v>功能专项，无直接Review配套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233" t="str">
        <x:v>功能专项，无直接Review配套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233" t="str">
        <x:v>功能专项，无直接Review配套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233" t="str">
        <x:v>功能专项，无直接Review配套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233" t="str">
        <x:v>功能专项，无直接Review配套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233" t="str">
        <x:v>功能专项，无直接Review配套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233" t="str">
        <x:v>功能专项，无直接Review配套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233" t="str">
        <x:v>功能专项，无直接Review配套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233" t="str">
        <x:v>功能专项，无直接Review配套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233" t="str">
        <x:v>功能专项，无直接Review配套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233" t="str">
        <x:v>功能专项，无直接Review配套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233" t="str">
        <x:v>功能专项，无直接Review配套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233" t="str">
        <x:v>功能专项，无直接Review配套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233" t="str">
        <x:v>功能专项，无直接Review配套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233" t="str">
        <x:v>功能专项，无直接Review配套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 t="str">
        <x:v>UI18</x:v>
      </x:c>
      <x:c r="Z87" s="237" t="str">
        <x:v>绿色：直接复用（局部配套）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233" t="str">
        <x:v>功能专项，无直接Review配套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233" t="str">
        <x:v>功能专项，无直接Review配套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233" t="str">
        <x:v>功能专项，无直接Review配套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233" t="str">
        <x:v>功能专项，无直接Review配套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233" t="str">
        <x:v>功能专项，无直接Review配套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233" t="str">
        <x:v>功能专项，无直接Review配套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233" t="str">
        <x:v>功能专项，无直接Review配套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233" t="str">
        <x:v>功能专项，无直接Review配套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233" t="str">
        <x:v>功能专项，无直接Review配套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0ae83353784f4b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  <x:col min="39" max="39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颜色/Review→UI case按飞书直接对应；AJ/AM为功能局部配套及覆盖范围，不把同页检查当同一覆盖。移除误关联DEC01，保留本条实际决策和执行前提；全部133条检查仍未执行。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配套功能case（局部覆盖）</x:v>
      </x:c>
      <x:c r="AK5" s="173" t="str">
        <x:v>验收所需依据</x:v>
      </x:c>
      <x:c r="AL5" s="173" t="str">
        <x:v>层级来源</x:v>
      </x:c>
      <x:c r="AM5" s="227" t="str">
        <x:v>功能关联范围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review-67fb39add5；2026-10-12当前视图rev637；建议按本批批准基线采纳，来源状态不等于实测结果。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6" s="86"/>
      <x:c r="N6" s="86"/>
      <x:c r="O6" s="86"/>
      <x:c r="P6" s="14" t="str">
        <x:v>P0</x:v>
      </x:c>
      <x:c r="Q6" s="14" t="str">
        <x:v>已修改</x:v>
      </x:c>
      <x:c r="R6" s="205" t="str">
        <x:v>无法覆盖</x:v>
      </x:c>
      <x:c r="S6" s="14" t="str">
        <x:v>UI</x:v>
      </x:c>
      <x:c r="T6" s="10" t="str">
        <x:v>UI核对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飞书直接映射：review-67fb39add5，rev637；红色。
颜色及Review→UI case为飞书直接映射；功能配套为测试设计关联，具体覆盖范围见AM。</x:v>
      </x:c>
      <x:c r="AM6" s="10" t="str">
        <x:v>仅基础配置分组/对象切换与新增目标。Tabs层级、布局和量值仍由UI01验收。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review-4122ab1853；2026-10-12当前视图rev637；建议按本批批准基线采纳，来源状态不等于实测结果。
颜色层级按飞书框架适配字段对应；批准需求与本批实测结果分别记录。</x:v>
      </x:c>
      <x:c r="M7" s="86"/>
      <x:c r="N7" s="86"/>
      <x:c r="O7" s="86"/>
      <x:c r="P7" s="14" t="str">
        <x:v>P1</x:v>
      </x:c>
      <x:c r="Q7" s="14" t="str">
        <x:v>修改中</x:v>
      </x:c>
      <x:c r="R7" s="205" t="str">
        <x:v>无法覆盖</x:v>
      </x:c>
      <x:c r="S7" s="14" t="str">
        <x:v>UI</x:v>
      </x:c>
      <x:c r="T7" s="10" t="str">
        <x:v>UI核对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'本批提测'!$H$57&lt;&gt;"已确认"),"待确认","已确认")))</x:f>
        <x:v>未纳入本批</x:v>
      </x:c>
      <x:c r="AG7" s="10" t="str">
        <x:v>复查修正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
移除不属于本条的DEC01基础配置布局门槛，保留本条实际关联决策及全部执行前提。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无直接配套；本UI case独立执行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飞书直接映射：review-4122ab1853，rev637；红色。
颜色及Review→UI case为飞书直接映射；功能配套为测试设计关联，具体覆盖范围见AM。</x:v>
      </x:c>
      <x:c r="AM7" s="10" t="str">
        <x:v>跨分类折叠菜单在UI02本身执行；SM03已限定基础配置对象导航，SM04测刷新/返回，均不覆盖菜单自动收起。</x:v>
      </x:c>
    </x:row>
    <x:row r="8" ht="112.5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review-24220c26b9；2026-10-12当前视图rev637；建议按本批批准基线采纳，来源状态不等于实测结果。
颜色层级按飞书框架适配字段对应；批准需求与本批实测结果分别记录。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组合复用</x:v>
      </x:c>
      <x:c r="S8" s="14" t="str">
        <x:v>UI、开发</x:v>
      </x:c>
      <x:c r="T8" s="10" t="str">
        <x:v>UI核对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$57&lt;&gt;"已确认",'本批提测'!$H$61&lt;&gt;"已确认"),"待确认","已确认")))</x:f>
        <x:v>未纳入本批</x:v>
      </x:c>
      <x:c r="AG8" s="10" t="str">
        <x:v>复查修正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
移除不属于本条的DEC01基础配置布局门槛，保留本条实际关联决策及全部执行前提。</x:v>
      </x:c>
      <x:c r="AI8" s="10" t="str">
        <x:v>核现有标准组件组合后的布局、状态联动与完整流程，重点检查选中反馈、返回、跨页/未保存数据保护。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飞书直接映射：review-24220c26b9，rev637；蓝色。
颜色及Review→UI case为飞书直接映射；功能配套为测试设计关联，具体覆盖范围见AM。</x:v>
      </x:c>
      <x:c r="AM8" s="10" t="str">
        <x:v>对应跨页选择、选中对象及保存不丢失；Checkbox/Tag/数量呈现由UI03及DEC22判定。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review-c79c73690c；2026-10-12当前视图rev637；建议按本批批准基线采纳，来源状态不等于实测结果。
颜色层级按飞书框架适配字段对应；批准需求与本批实测结果分别记录。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调整后复用</x:v>
      </x:c>
      <x:c r="S9" s="14" t="str">
        <x:v>UI、产品</x:v>
      </x:c>
      <x:c r="T9" s="10" t="str">
        <x:v>UI核对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飞书直接映射：review-c79c73690c，rev637；黄色。
颜色及Review→UI case为飞书直接映射；功能配套为测试设计关联，具体覆盖范围见AM。</x:v>
      </x:c>
      <x:c r="AM9" s="10" t="str">
        <x:v>对应禁用编排后的业务影响；图标、风险语义及取消交互由UI04验证。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review-5cb0b5dcb6；2026-10-12当前视图rev637；建议按本批批准基线采纳，来源状态不等于实测结果。
颜色层级按飞书框架适配字段对应；批准需求与本批实测结果分别记录。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业务交互、信息待明确</x:v>
      </x:c>
      <x:c r="S10" s="14" t="str">
        <x:v>产品</x:v>
      </x:c>
      <x:c r="T10" s="10" t="str">
        <x:v>UI核对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无直接配套；本UI case独立执行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飞书直接映射：review-5cb0b5dcb6，rev637；白灰色。
颜色及Review→UI case为飞书直接映射；功能配套为测试设计关联，具体覆盖范围见AM。</x:v>
      </x:c>
      <x:c r="AM10" s="10" t="str">
        <x:v>由UI05逐页按产品文案清单核对。SM05测请求加载/反馈，不覆盖原型说明文字清理。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review-e3abcc238c；2026-10-12当前视图rev637；建议按本批批准基线采纳，来源状态不等于实测结果。
颜色层级按飞书框架适配字段对应；批准需求与本批实测结果分别记录。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直接复用</x:v>
      </x:c>
      <x:c r="S11" s="14" t="str">
        <x:v>开发</x:v>
      </x:c>
      <x:c r="T11" s="10" t="str">
        <x:v>UI核对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无直接配套；本UI case独立执行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飞书直接映射：review-e3abcc238c，rev637；绿色。
颜色及Review→UI case为飞书直接映射；功能配套为测试设计关联，具体覆盖范围见AM。</x:v>
      </x:c>
      <x:c r="AM11" s="10" t="str">
        <x:v>菜单字体、缩进、图标、视觉状态由UI06验证；不以基础配置对象导航SM03代替。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review-a2a817eb2a；2026-10-12当前视图rev637；建议按本批批准基线采纳，来源状态不等于实测结果。
颜色层级按飞书框架适配字段对应；批准需求与本批实测结果分别记录。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直接复用</x:v>
      </x:c>
      <x:c r="S12" s="14" t="str">
        <x:v>开发</x:v>
      </x:c>
      <x:c r="T12" s="10" t="str">
        <x:v>UI核对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无直接配套；本UI case独立执行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飞书直接映射：review-a2a817eb2a，rev637；绿色。
颜色及Review→UI case为飞书直接映射；功能配套为测试设计关联，具体覆盖范围见AM。</x:v>
      </x:c>
      <x:c r="AM12" s="10" t="str">
        <x:v>顶部导航布局及无功能入口由UI07验证；当前功能库没有直接对应同一导航检查的SM条目。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review-716a17fbb6；2026-10-12当前视图rev637；建议按本批批准基线采纳，来源状态不等于实测结果。
颜色层级按飞书框架适配字段对应；批准需求与本批实测结果分别记录。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直接复用</x:v>
      </x:c>
      <x:c r="S13" s="14" t="str">
        <x:v>产品、开发</x:v>
      </x:c>
      <x:c r="T13" s="10" t="str">
        <x:v>UI核对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无直接配套；本UI case独立执行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飞书直接映射：review-716a17fbb6，rev637；绿色。
颜色及Review→UI case为飞书直接映射；功能配套为测试设计关联，具体覆盖范围见AM。</x:v>
      </x:c>
      <x:c r="AM13" s="10" t="str">
        <x:v>面包屑、副标题、操作对齐由UI08验证。SM03/SM11/SM21不直接检查这些组件。</x:v>
      </x:c>
    </x:row>
    <x:row r="14" ht="142.5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直接复用</x:v>
      </x:c>
      <x:c r="S14" s="14" t="str">
        <x:v>开发</x:v>
      </x:c>
      <x:c r="T14" s="10" t="str">
        <x:v>UI核对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'本批提测'!$H$57&lt;&gt;"已确认"),"待确认","已确认")))</x:f>
        <x:v>未纳入本批</x:v>
      </x:c>
      <x:c r="AG14" s="10" t="str">
        <x:v>复查修正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飞书直接映射：review-96579d37d7，rev637；绿色。
颜色及Review→UI case为飞书直接映射；功能配套为测试设计关联，具体覆盖范围见AM。</x:v>
      </x:c>
      <x:c r="AM14" s="10" t="str">
        <x:v>对应命中/空结果、查询重置及地点即时检索；仅复用本批实际对象分支，控件布局与量值由UI09验证。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review-92624f2e97；2026-10-12当前视图rev637；建议按本批批准基线采纳，来源状态不等于实测结果。
颜色层级按飞书框架适配字段对应；批准需求与本批实测结果分别记录。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直接复用</x:v>
      </x:c>
      <x:c r="S15" s="14" t="str">
        <x:v>开发</x:v>
      </x:c>
      <x:c r="T15" s="10" t="str">
        <x:v>UI核对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无直接配套；本UI case独立执行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飞书直接映射：review-92624f2e97，rev637；绿色。
颜色及Review→UI case为飞书直接映射；功能配套为测试设计关联，具体覆盖范围见AM。</x:v>
      </x:c>
      <x:c r="AM15" s="10" t="str">
        <x:v>容器Padding、列适配与表格视觉由UI10验证；已有数据或分页结果不能覆盖这些量值。</x:v>
      </x:c>
    </x:row>
    <x:row r="16" ht="142.5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</x:v>
      </x:c>
      <x:c r="L16" s="10" t="str">
        <x:v>REVIEW review-08ef6a1468；2026-10-12当前视图rev637；建议按本批批准基线采纳，来源状态不等于实测结果。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直接复用</x:v>
      </x:c>
      <x:c r="S16" s="14" t="str">
        <x:v>开发</x:v>
      </x:c>
      <x:c r="T16" s="10" t="str">
        <x:v>UI核对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飞书直接映射：review-08ef6a1468，rev637；绿色。
颜色及Review→UI case为飞书直接映射；功能配套为测试设计关联，具体覆盖范围见AM。</x:v>
      </x:c>
      <x:c r="AM16" s="10" t="str">
        <x:v>对应基础配置分页记录/总数；其他模块需按实际交付数据执行UI11，不由SM08代表全站。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直接复用</x:v>
      </x:c>
      <x:c r="S17" s="14" t="str">
        <x:v>开发</x:v>
      </x:c>
      <x:c r="T17" s="10" t="str">
        <x:v>UI核对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无直接配套；本UI case独立执行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飞书直接映射：review-79dfb7278b，rev637；绿色。
颜色及Review→UI case为飞书直接映射；功能配套为测试设计关联，具体覆盖范围见AM。</x:v>
      </x:c>
      <x:c r="AM17" s="10" t="str">
        <x:v>横向滚动固定列及分隔样式在UI12验证；SM28未写横向滚动，不把批量范围检查当固定列覆盖。</x:v>
      </x:c>
    </x:row>
    <x:row r="18" ht="112.5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review-42f80e1fec；2026-10-12当前视图rev637；建议按本批批准基线采纳，来源状态不等于实测结果。
颜色层级按飞书框架适配字段对应；批准需求与本批实测结果分别记录。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直接复用</x:v>
      </x:c>
      <x:c r="S18" s="14" t="str">
        <x:v>开发</x:v>
      </x:c>
      <x:c r="T18" s="10" t="str">
        <x:v>UI核对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'本批提测'!$H$57&lt;&gt;"已确认"),"待确认","已确认")))</x:f>
        <x:v>未纳入本批</x:v>
      </x:c>
      <x:c r="AG18" s="10" t="str">
        <x:v>复查修正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飞书直接映射：review-42f80e1fec，rev637；绿色。
颜色及Review→UI case为飞书直接映射；功能配套为测试设计关联，具体覆盖范围见AM。</x:v>
      </x:c>
      <x:c r="AM18" s="10" t="str">
        <x:v>对应选择后批量执行对象与范围；操作栏位置、遮挡及恢复默认状态由UI13验证。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review-6436a27114；2026-10-12当前视图rev637；建议按本批批准基线采纳，来源状态不等于实测结果。
颜色层级按飞书框架适配字段对应；批准需求与本批实测结果分别记录。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直接复用</x:v>
      </x:c>
      <x:c r="S19" s="14" t="str">
        <x:v>开发</x:v>
      </x:c>
      <x:c r="T19" s="10" t="str">
        <x:v>UI核对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飞书直接映射：review-6436a27114，rev637；绿色。
颜色及Review→UI case为飞书直接映射；功能配套为测试设计关联，具体覆盖范围见AM。</x:v>
      </x:c>
      <x:c r="AM19" s="10" t="str">
        <x:v>仅对应实际选择对象与范围；整行高亮、固定区底色和字体由UI14验证。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review-a7e8b941e2；2026-10-12当前视图rev637；建议按本批批准基线采纳，来源状态不等于实测结果。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直接复用</x:v>
      </x:c>
      <x:c r="S20" s="14" t="str">
        <x:v>产品</x:v>
      </x:c>
      <x:c r="T20" s="10" t="str">
        <x:v>UI核对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'本批提测'!$H$57&lt;&gt;"已确认"),"待确认","已确认")))</x:f>
        <x:v>未纳入本批</x:v>
      </x:c>
      <x:c r="AG20" s="10" t="str">
        <x:v>复查修正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无直接配套；本UI case独立执行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飞书直接映射：review-a7e8b941e2，rev637；绿色。
颜色及Review→UI case为飞书直接映射；功能配套为测试设计关联，具体覆盖范围见AM。</x:v>
      </x:c>
      <x:c r="AM20" s="10" t="str">
        <x:v>编码是否可点击、详情目标及返回在UI15直接执行；SM03/SM12/SM31没有明确同一编码点击分支，不作直接配套。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review-f228825adf；2026-10-12当前视图rev637；建议按本批批准基线采纳，来源状态不等于实测结果。
颜色层级按飞书框架适配字段对应；批准需求与本批实测结果分别记录。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直接复用</x:v>
      </x:c>
      <x:c r="S21" s="14" t="str">
        <x:v>产品</x:v>
      </x:c>
      <x:c r="T21" s="10" t="str">
        <x:v>UI核对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'本批提测'!$H$57&lt;&gt;"已确认"),"待确认","已确认")))</x:f>
        <x:v>未纳入本批</x:v>
      </x:c>
      <x:c r="AG21" s="10" t="str">
        <x:v>复查修正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飞书直接映射：review-f228825adf，rev637；绿色。
颜色及Review→UI case为飞书直接映射；功能配套为测试设计关联，具体覆盖范围见AM。</x:v>
      </x:c>
      <x:c r="AM21" s="10" t="str">
        <x:v>对应解析/确认/保存流程；页面承载、步骤布局与留白由UI16验证。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review-70bd2614ce；2026-10-12当前视图rev637；建议按本批批准基线采纳，来源状态不等于实测结果。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直接复用</x:v>
      </x:c>
      <x:c r="S22" s="14" t="str">
        <x:v>开发</x:v>
      </x:c>
      <x:c r="T22" s="10" t="str">
        <x:v>UI核对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飞书直接映射：review-70bd2614ce，rev637；绿色。
颜色及Review→UI case为飞书直接映射；功能配套为测试设计关联，具体覆盖范围见AM。</x:v>
      </x:c>
      <x:c r="AM22" s="10" t="str">
        <x:v>对应刷新/返回上下文；状态保留范围按本批批准规则，不默认保存未提交字段。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review-f828afea0f；2026-10-12当前视图rev637；建议按本批批准基线采纳，来源状态不等于实测结果。
颜色层级按飞书框架适配字段对应；批准需求与本批实测结果分别记录。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直接复用</x:v>
      </x:c>
      <x:c r="S23" s="14" t="str">
        <x:v>开发、产品</x:v>
      </x:c>
      <x:c r="T23" s="10" t="str">
        <x:v>UI核对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'本批提测'!$H$57&lt;&gt;"已确认"),"待确认","已确认")))</x:f>
        <x:v>未纳入本批</x:v>
      </x:c>
      <x:c r="AG23" s="10" t="str">
        <x:v>复查修正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SM82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飞书直接映射：review-f828afea0f，rev637；绿色。
颜色及Review→UI case为飞书直接映射；功能配套为测试设计关联，具体覆盖范围见AM。</x:v>
      </x:c>
      <x:c r="AM23" s="10" t="str">
        <x:v>SM82仅覆盖本批对应模块打开/关闭当前或历史详情及对象/只读边界。Drawer、固定操作区/滚动/emoji由UI18验证，不以SM30编辑影响替代。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UI核对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IF(D24="否","不适用",IF(D24&lt;&gt;"是","未纳入本批",IF(OR(LEN(TRIM('本批提测'!$B$10))=0,LEN(TRIM('本批提测'!$B$11))=0,'本批提测'!$B$12&lt;&gt;"已确认",F24&lt;&gt;"已确认",'本批提测'!$H$57&lt;&gt;"已确认"),"待确认","已确认")))</x:f>
        <x:v>未纳入本批</x:v>
      </x:c>
      <x:c r="AG24" s="10" t="str">
        <x:v>复查修正</x:v>
      </x:c>
      <x:c r="AH24" s="10" t="str">
        <x:v>设计复核后保留；关联DEC18、DEC01确认后方可执行判定。
移除不属于本条的DEC01基础配置布局门槛，保留本条实际关联决策及全部执行前提。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  <x:c r="AM24" s="10"/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UI核对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IF(D25="否","不适用",IF(D25&lt;&gt;"是","未纳入本批",IF(OR(LEN(TRIM('本批提测'!$B$10))=0,LEN(TRIM('本批提测'!$B$11))=0,'本批提测'!$B$12&lt;&gt;"已确认",F25&lt;&gt;"已确认",'本批提测'!$H$57&lt;&gt;"已确认"),"待确认","已确认")))</x:f>
        <x:v>未纳入本批</x:v>
      </x:c>
      <x:c r="AG25" s="10" t="str">
        <x:v>复查修正</x:v>
      </x:c>
      <x:c r="AH25" s="10" t="str">
        <x:v>补来源适用范围和量值；不把一类字段或局部Review扩展至全站。
移除不属于本条的DEC01基础配置布局门槛，保留本条实际关联决策及全部执行前提。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  <x:c r="AM25" s="10"/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UI核对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IF(D26="否","不适用",IF(D26&lt;&gt;"是","未纳入本批",IF(OR(LEN(TRIM('本批提测'!$B$10))=0,LEN(TRIM('本批提测'!$B$11))=0,'本批提测'!$B$12&lt;&gt;"已确认",F26&lt;&gt;"已确认",'本批提测'!$H$57&lt;&gt;"已确认"),"待确认","已确认")))</x:f>
        <x:v>未纳入本批</x:v>
      </x:c>
      <x:c r="AG26" s="10" t="str">
        <x:v>复查修正</x:v>
      </x:c>
      <x:c r="AH26" s="10" t="str">
        <x:v>设计复核后保留；关联DEC18、DEC01确认后方可执行判定。
移除不属于本条的DEC01基础配置布局门槛，保留本条实际关联决策及全部执行前提。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  <x:c r="AM26" s="10"/>
    </x:row>
    <x:row r="27" ht="75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UI核对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),"待确认","已确认")))</x:f>
        <x:v>未纳入本批</x:v>
      </x:c>
      <x:c r="AG27" s="10" t="str">
        <x:v>复查修正</x:v>
      </x:c>
      <x:c r="AH27" s="10" t="str">
        <x:v>设计复核后保留；关联DEC10、DEC18、DEC01确认后方可执行判定。
移除不属于本条的DEC01基础配置布局门槛，保留本条实际关联决策及全部执行前提。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  <x:c r="AM27" s="10"/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UI核对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IF(D28="否","不适用",IF(D28&lt;&gt;"是","未纳入本批",IF(OR(LEN(TRIM('本批提测'!$B$10))=0,LEN(TRIM('本批提测'!$B$11))=0,'本批提测'!$B$12&lt;&gt;"已确认",F28&lt;&gt;"已确认",'本批提测'!$H$57&lt;&gt;"已确认"),"待确认","已确认")))</x:f>
        <x:v>未纳入本批</x:v>
      </x:c>
      <x:c r="AG28" s="10" t="str">
        <x:v>复查修正</x:v>
      </x:c>
      <x:c r="AH28" s="10" t="str">
        <x:v>设计复核后保留；关联DEC18、DEC01确认后方可执行判定。
移除不属于本条的DEC01基础配置布局门槛，保留本条实际关联决策及全部执行前提。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  <x:c r="AM28" s="10"/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UI核对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IF(D29="否","不适用",IF(D29&lt;&gt;"是","未纳入本批",IF(OR(LEN(TRIM('本批提测'!$B$10))=0,LEN(TRIM('本批提测'!$B$11))=0,'本批提测'!$B$12&lt;&gt;"已确认",F29&lt;&gt;"已确认",'本批提测'!$H$57&lt;&gt;"已确认"),"待确认","已确认")))</x:f>
        <x:v>未纳入本批</x:v>
      </x:c>
      <x:c r="AG29" s="10" t="str">
        <x:v>复查修正</x:v>
      </x:c>
      <x:c r="AH29" s="10" t="str">
        <x:v>设计复核后保留；关联DEC18、DEC01确认后方可执行判定。
移除不属于本条的DEC01基础配置布局门槛，保留本条实际关联决策及全部执行前提。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  <x:c r="AM29" s="10"/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UI核对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IF(D30="否","不适用",IF(D30&lt;&gt;"是","未纳入本批",IF(OR(LEN(TRIM('本批提测'!$B$10))=0,LEN(TRIM('本批提测'!$B$11))=0,'本批提测'!$B$12&lt;&gt;"已确认",F30&lt;&gt;"已确认",'本批提测'!$H$57&lt;&gt;"已确认"),"待确认","已确认")))</x:f>
        <x:v>未纳入本批</x:v>
      </x:c>
      <x:c r="AG30" s="10" t="str">
        <x:v>复查修正</x:v>
      </x:c>
      <x:c r="AH30" s="10" t="str">
        <x:v>设计复核后保留；关联DEC18、DEC01确认后方可执行判定。
移除不属于本条的DEC01基础配置布局门槛，保留本条实际关联决策及全部执行前提。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  <x:c r="AM30" s="10"/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UI核对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IF(D31="否","不适用",IF(D31&lt;&gt;"是","未纳入本批",IF(OR(LEN(TRIM('本批提测'!$B$10))=0,LEN(TRIM('本批提测'!$B$11))=0,'本批提测'!$B$12&lt;&gt;"已确认",F31&lt;&gt;"已确认",'本批提测'!$H$57&lt;&gt;"已确认"),"待确认","已确认")))</x:f>
        <x:v>未纳入本批</x:v>
      </x:c>
      <x:c r="AG31" s="10" t="str">
        <x:v>复查修正</x:v>
      </x:c>
      <x:c r="AH31" s="10" t="str">
        <x:v>补真实说明/备注/成员内容场景，不混输入长度与展示行数。
移除不属于本条的DEC01基础配置布局门槛，保留本条实际关联决策及全部执行前提。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  <x:c r="AM31" s="10"/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UI核对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IF(D32="否","不适用",IF(D32&lt;&gt;"是","未纳入本批",IF(OR(LEN(TRIM('本批提测'!$B$10))=0,LEN(TRIM('本批提测'!$B$11))=0,'本批提测'!$B$12&lt;&gt;"已确认",F32&lt;&gt;"已确认",'本批提测'!$H$57&lt;&gt;"已确认"),"待确认","已确认")))</x:f>
        <x:v>未纳入本批</x:v>
      </x:c>
      <x:c r="AG32" s="10" t="str">
        <x:v>复查修正</x:v>
      </x:c>
      <x:c r="AH32" s="10" t="str">
        <x:v>设计复核后保留；关联DEC18、DEC01确认后方可执行判定。
移除不属于本条的DEC01基础配置布局门槛，保留本条实际关联决策及全部执行前提。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  <x:c r="AM32" s="10"/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UI核对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IF(D33="否","不适用",IF(D33&lt;&gt;"是","未纳入本批",IF(OR(LEN(TRIM('本批提测'!$B$10))=0,LEN(TRIM('本批提测'!$B$11))=0,'本批提测'!$B$12&lt;&gt;"已确认",F33&lt;&gt;"已确认",'本批提测'!$H$57&lt;&gt;"已确认"),"待确认","已确认")))</x:f>
        <x:v>未纳入本批</x:v>
      </x:c>
      <x:c r="AG33" s="10" t="str">
        <x:v>复查修正</x:v>
      </x:c>
      <x:c r="AH33" s="10" t="str">
        <x:v>设计复核后保留；关联DEC18、DEC01确认后方可执行判定。
移除不属于本条的DEC01基础配置布局门槛，保留本条实际关联决策及全部执行前提。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  <x:c r="AM33" s="10"/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UI核对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),"待确认","已确认")))</x:f>
        <x:v>未纳入本批</x:v>
      </x:c>
      <x:c r="AG34" s="10" t="str">
        <x:v>复查修正</x:v>
      </x:c>
      <x:c r="AH34" s="10" t="str">
        <x:v>补来源适用范围和量值；不把一类字段或局部Review扩展至全站。
移除不属于本条的DEC01基础配置布局门槛，保留本条实际关联决策及全部执行前提。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  <x:c r="AM34" s="10"/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UI核对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IF(D35="否","不适用",IF(D35&lt;&gt;"是","未纳入本批",IF(OR(LEN(TRIM('本批提测'!$B$10))=0,LEN(TRIM('本批提测'!$B$11))=0,'本批提测'!$B$12&lt;&gt;"已确认",F35&lt;&gt;"已确认",'本批提测'!$H$57&lt;&gt;"已确认"),"待确认","已确认")))</x:f>
        <x:v>未纳入本批</x:v>
      </x:c>
      <x:c r="AG35" s="10" t="str">
        <x:v>复查修正</x:v>
      </x:c>
      <x:c r="AH35" s="10" t="str">
        <x:v>设计复核后保留；关联DEC18、DEC01确认后方可执行判定。
移除不属于本条的DEC01基础配置布局门槛，保留本条实际关联决策及全部执行前提。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  <x:c r="AM35" s="10"/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UI核对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IF(D36="否","不适用",IF(D36&lt;&gt;"是","未纳入本批",IF(OR(LEN(TRIM('本批提测'!$B$10))=0,LEN(TRIM('本批提测'!$B$11))=0,'本批提测'!$B$12&lt;&gt;"已确认",F36&lt;&gt;"已确认",'本批提测'!$H$57&lt;&gt;"已确认"),"待确认","已确认")))</x:f>
        <x:v>未纳入本批</x:v>
      </x:c>
      <x:c r="AG36" s="10" t="str">
        <x:v>复查修正</x:v>
      </x:c>
      <x:c r="AH36" s="10" t="str">
        <x:v>设计复核后保留；关联DEC18、DEC01确认后方可执行判定。
移除不属于本条的DEC01基础配置布局门槛，保留本条实际关联决策及全部执行前提。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  <x:c r="AM36" s="10"/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UI核对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IF(D37="否","不适用",IF(D37&lt;&gt;"是","未纳入本批",IF(OR(LEN(TRIM('本批提测'!$B$10))=0,LEN(TRIM('本批提测'!$B$11))=0,'本批提测'!$B$12&lt;&gt;"已确认",F37&lt;&gt;"已确认",'本批提测'!$H$57&lt;&gt;"已确认"),"待确认","已确认")))</x:f>
        <x:v>未纳入本批</x:v>
      </x:c>
      <x:c r="AG37" s="10" t="str">
        <x:v>复查修正</x:v>
      </x:c>
      <x:c r="AH37" s="10" t="str">
        <x:v>设计复核后保留；关联DEC18、DEC01确认后方可执行判定。
移除不属于本条的DEC01基础配置布局门槛，保留本条实际关联决策及全部执行前提。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  <x:c r="AM37" s="10"/>
    </x:row>
    <x:row r="38" ht="88.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UI核对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IF(D38="否","不适用",IF(D38&lt;&gt;"是","未纳入本批",IF(OR(LEN(TRIM('本批提测'!$B$10))=0,LEN(TRIM('本批提测'!$B$11))=0,'本批提测'!$B$12&lt;&gt;"已确认",F38&lt;&gt;"已确认",'本批提测'!$H$57&lt;&gt;"已确认"),"待确认","已确认")))</x:f>
        <x:v>未纳入本批</x:v>
      </x:c>
      <x:c r="AG38" s="10" t="str">
        <x:v>复查修正</x:v>
      </x:c>
      <x:c r="AH38" s="10" t="str">
        <x:v>设计复核后保留；关联DEC18、DEC01确认后方可执行判定。
移除不属于本条的DEC01基础配置布局门槛，保留本条实际关联决策及全部执行前提。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  <x:c r="AM38" s="10"/>
    </x:row>
    <x:row r="39" ht="7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UI核对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IF(D39="否","不适用",IF(D39&lt;&gt;"是","未纳入本批",IF(OR(LEN(TRIM('本批提测'!$B$10))=0,LEN(TRIM('本批提测'!$B$11))=0,'本批提测'!$B$12&lt;&gt;"已确认",F39&lt;&gt;"已确认",'本批提测'!$H$57&lt;&gt;"已确认"),"待确认","已确认")))</x:f>
        <x:v>未纳入本批</x:v>
      </x:c>
      <x:c r="AG39" s="10" t="str">
        <x:v>复查修正</x:v>
      </x:c>
      <x:c r="AH39" s="10" t="str">
        <x:v>设计复核后保留；关联DEC18、DEC01确认后方可执行判定。
移除不属于本条的DEC01基础配置布局门槛，保留本条实际关联决策及全部执行前提。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  <x:c r="AM39" s="10"/>
    </x:row>
    <x:row r="40" ht="129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review-de7057751b；2026-10-12读取当前视图rev637；REQ §6.2新建弹窗冲突DEC23。
颜色层级按飞书框架适配字段对应；批准需求与本批实测结果分别记录。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组合复用</x:v>
      </x:c>
      <x:c r="S40" s="10" t="str">
        <x:v>开发</x:v>
      </x:c>
      <x:c r="T40" s="10" t="str">
        <x:v>UI核对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'本批提测'!$H$57&lt;&gt;"已确认",AND('本批提测'!$H$115&lt;&gt;"已确认",'本批提测'!$H$115&lt;&gt;"已记录后置")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核现有标准组件组合后的布局、状态联动与完整流程，重点检查选中反馈、返回、跨页/未保存数据保护。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飞书直接映射：review-de7057751b，rev637；蓝色。
颜色及Review→UI case为飞书直接映射；功能配套为测试设计关联，具体覆盖范围见AM。</x:v>
      </x:c>
      <x:c r="AM40" s="10" t="str">
        <x:v>对应服务单元创建、必填及保存读回；独立页面、返回与未保存保护由UI35及DEC23直接验证。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
颜色层级按飞书框架适配字段对应；批准需求与本批实测结果分别记录。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直接复用</x:v>
      </x:c>
      <x:c r="S41" s="10" t="str">
        <x:v>开发</x:v>
      </x:c>
      <x:c r="T41" s="10" t="str">
        <x:v>UI核对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飞书直接映射：review-b8b8e36a2b，rev637；绿色。
颜色及Review→UI case为飞书直接映射；功能配套为测试设计关联，具体覆盖范围见AM。</x:v>
      </x:c>
      <x:c r="AM41" s="10" t="str">
        <x:v>对应人工创建/AI建档目标流程；入口位置及重复标题由UI36验证，按钮可用不等于位置符合。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UI核对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  <x:c r="AM42" s="10"/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UI核对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  <x:c r="AM43" s="10"/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UI核对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  <x:c r="AM44" s="10"/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UI核对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  <x:c r="AM45" s="10"/>
    </x:row>
    <x:row r="46" ht="120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UI核对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  <x:c r="AM46" s="10"/>
    </x:row>
    <x:row r="47" ht="183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K47" s="10" t="str"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L47" s="10" t="str">
        <x:v>REVIEW review-294de09d51；2026-10-12视图rev637；当前仅后续建议为UI产出行内编辑组件规范，原型问题及Review建议为空；待DEC30确认具体范围。
颜色层级按飞书框架适配字段对应；批准需求与本批实测结果分别记录。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无法覆盖</x:v>
      </x:c>
      <x:c r="S47" s="10" t="str">
        <x:v>UI</x:v>
      </x:c>
      <x:c r="T47" s="10" t="str">
        <x:v>UI核对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/>
      <x:c r="Z47" s="10"/>
      <x:c r="AA47" s="10" t="str">
        <x:v>UI 产出行内编辑组件规范</x:v>
      </x:c>
      <x:c r="AB47" s="10" t="str">
        <x:v>review-294de09d51</x:v>
      </x:c>
      <x:c r="AC47" s="10" t="str">
        <x:v>补最新红色行内编辑记录；无具体规范时不编造固定交互。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飞书直接映射：review-294de09d51，rev637；红色。
颜色及Review→UI case为飞书直接映射；功能配套为测试设计关联，具体覆盖范围见AM。</x:v>
      </x:c>
      <x:c r="AM47" s="10" t="str">
        <x:v>仅通用权限及加载/成功/失败反馈参考，需DEC30确认适用页面后选择。当前SM12/SM13针对基础配置编辑表单，不覆盖行内编辑保存/取消；行内状态与数据保护在UI42专项执行。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16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3072f1bf864369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e69e8f93321b4896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主记录编辑已取消，未保存。成员编辑入口一次未成功打开，表单未核实。未证明默认待生效、版本递增、历史版本、包含排除冲突、真实匹配、成员新增路径及删除保护。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9512440ca2e84030"/>
  </x:tableParts>
</x:worksheet>
</file>