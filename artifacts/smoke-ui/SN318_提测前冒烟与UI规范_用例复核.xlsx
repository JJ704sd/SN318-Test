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6a394caa4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4b5afd15500148ee"/>
    <x:sheet xmlns:r="http://schemas.openxmlformats.org/officeDocument/2006/relationships" name="冒烟用例" sheetId="2" r:id="R763ee83fa4c54e3a"/>
    <x:sheet xmlns:r="http://schemas.openxmlformats.org/officeDocument/2006/relationships" name="UI检查" sheetId="3" r:id="Rcbeed2417df24963"/>
    <x:sheet xmlns:r="http://schemas.openxmlformats.org/officeDocument/2006/relationships" name="需求对照" sheetId="4" r:id="R94a61b5b9778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4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8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d12bb7d624d79" /><Relationship Type="http://schemas.openxmlformats.org/officeDocument/2006/relationships/theme" Target="/xl/theme/theme1.xml" Id="R0d2312f3ba8f4f61" /><Relationship Type="http://schemas.openxmlformats.org/officeDocument/2006/relationships/sharedStrings" Target="/xl/sharedStrings.xml" Id="R972c1e899f8f4a9d" /><Relationship Type="http://schemas.openxmlformats.org/officeDocument/2006/relationships/worksheet" Target="/xl/worksheets/sheet1.xml" Id="R4b5afd15500148ee" /><Relationship Type="http://schemas.openxmlformats.org/officeDocument/2006/relationships/worksheet" Target="/xl/worksheets/sheet2.xml" Id="R763ee83fa4c54e3a" /><Relationship Type="http://schemas.openxmlformats.org/officeDocument/2006/relationships/worksheet" Target="/xl/worksheets/sheet3.xml" Id="Rcbeed2417df24963" /><Relationship Type="http://schemas.openxmlformats.org/officeDocument/2006/relationships/worksheet" Target="/xl/worksheets/sheet4.xml" Id="R94a61b5b977843fb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6" name="SmokeCases" displayName="SmokeCases" ref="A5:X93" headerRowCount="1" totalsRowCount="0" totalsRowShown="0">
  <x:autoFilter ref="A5:X93"/>
  <x:tableColumns count="24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测试层次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7" name="UiCases" displayName="UiCases" ref="A5:AH45" headerRowCount="1" totalsRowCount="0" totalsRowShown="0">
  <x:autoFilter ref="A5:AH45"/>
  <x:tableColumns count="34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8" name="RequirementTrace" displayName="RequirementTrace" ref="A5:H119" headerRowCount="1" totalsRowCount="0" totalsRowShown="0">
  <x:autoFilter ref="A5:H119"/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907ca6d02341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301099fa2546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56c2a4650245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22089b794845a7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用例复核｜88功能检查＋40 UI检查；20条有效Review已映射；全部未执行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OR(B7="",B8="",B9="",B10="",B11="",B15="",B16="",B12&lt;&gt;"已确认",B17&lt;&gt;"已核对")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使用账号别名，不填密码或 Token。新增、编辑和删除使用专用测试数据。</x:v>
      </x:c>
      <x:c r="G8" s="18" t="str">
        <x:v>冒烟最小集合</x:v>
      </x:c>
      <x:c r="H8" s="10" t="str">
        <x:v>每个交付模块：入口与权限、1条有效主链路、1条关键失败／状态保护、保存后读回；受影响上下游补1条联动。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功能依有效需求正文；视觉依批准规范/专项稿。当前Review已修改1、修改中2、待确认17；来源处理状态不等于本批采纳或实测通过。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UI符合度按有效依据已确认项统计；同时报依据确认覆盖率F32及未完成H32。无已确认项不计算，不设统一像素相似度或默认通过阈值。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本次仅资料与用例复核，未访问业务环境；旧表所载2026-10-10航司页回到登录为历史观察。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冒烟统计</x:v>
      </x:c>
      <x:c r="B19" s="88" t="str">
        <x:v>当前记录</x:v>
      </x:c>
      <x:c r="C19" s="2"/>
      <x:c r="D19" s="2"/>
      <x:c r="E19" s="88" t="str">
        <x:v>UI 统计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COUNTIFS('冒烟用例'!$D$6:$D$93,"是",'冒烟用例'!$P$6:$P$93,"冒烟")</x:f>
        <x:v>5</x:v>
      </x:c>
      <x:c r="C20" s="2"/>
      <x:c r="D20" s="2"/>
      <x:c r="E20" s="2" t="str">
        <x:v>适用检查数</x:v>
      </x:c>
      <x:c r="F20" s="25" t="n">
        <x:f>COUNTIFS('UI检查'!$D$6:$D$45,"是")</x:f>
        <x:v>0</x:v>
      </x:c>
      <x:c r="G20" s="2" t="str">
        <x:v>适用检查数</x:v>
      </x:c>
      <x:c r="H20" s="25" t="n">
        <x:f>COUNTIFS('冒烟用例'!$D$6:$D$93,"是",'冒烟用例'!$P$6:$P$93,"专项回归")</x:f>
        <x:v>0</x:v>
      </x:c>
    </x:row>
    <x:row r="21" ht="21" customHeight="1">
      <x:c r="A21" s="2" t="str">
        <x:v>其中关键项</x:v>
      </x:c>
      <x:c r="B21" s="25" t="n">
        <x:f>COUNTIFS('冒烟用例'!$D$6:$D$93,"是",'冒烟用例'!$P$6:$P$93,"冒烟",'冒烟用例'!$E$6:$E$93,"是")</x:f>
        <x:v>5</x:v>
      </x:c>
      <x:c r="C21" s="2"/>
      <x:c r="D21" s="2"/>
      <x:c r="E21" s="2" t="str">
        <x:v>其中关键项</x:v>
      </x:c>
      <x:c r="F21" s="25" t="n">
        <x:f>COUNTIFS('UI检查'!$D$6:$D$45,"是",'UI检查'!$E$6:$E$45,"是")</x:f>
        <x:v>0</x:v>
      </x:c>
      <x:c r="G21" s="2" t="str">
        <x:v>其中关键项</x:v>
      </x:c>
      <x:c r="H21" s="25" t="n">
        <x:f>COUNTIFS('冒烟用例'!$D$6:$D$93,"是",'冒烟用例'!$P$6:$P$93,"专项回归",'冒烟用例'!$E$6:$E$93,"是")</x:f>
        <x:v>0</x:v>
      </x:c>
    </x:row>
    <x:row r="22" ht="21" customHeight="1">
      <x:c r="A22" s="2" t="str">
        <x:v>当前版本通过</x:v>
      </x:c>
      <x:c r="B22" s="25" t="n">
        <x:f>COUNTIFS('冒烟用例'!$D$6:$D$93,"是",'冒烟用例'!$P$6:$P$93,"冒烟",'冒烟用例'!$I$6:$I$93,"通过")</x:f>
        <x:v>0</x:v>
      </x:c>
      <x:c r="C22" s="2"/>
      <x:c r="D22" s="2"/>
      <x:c r="E22" s="2" t="str">
        <x:v>当前版本通过</x:v>
      </x:c>
      <x:c r="F22" s="25" t="n">
        <x:f>COUNTIFS('UI检查'!$D$6:$D$45,"是",'UI检查'!$I$6:$I$45,"通过")</x:f>
        <x:v>0</x:v>
      </x:c>
      <x:c r="G22" s="2" t="str">
        <x:v>当前版本通过</x:v>
      </x:c>
      <x:c r="H22" s="25" t="n">
        <x:f>COUNTIFS('冒烟用例'!$D$6:$D$93,"是",'冒烟用例'!$P$6:$P$93,"专项回归",'冒烟用例'!$I$6:$I$93,"通过")</x:f>
        <x:v>0</x:v>
      </x:c>
    </x:row>
    <x:row r="23" ht="21" customHeight="1">
      <x:c r="A23" s="2" t="str">
        <x:v>当前版本失败</x:v>
      </x:c>
      <x:c r="B23" s="25" t="n">
        <x:f>COUNTIFS('冒烟用例'!$D$6:$D$93,"是",'冒烟用例'!$P$6:$P$93,"冒烟",'冒烟用例'!$I$6:$I$93,"失败")</x:f>
        <x:v>0</x:v>
      </x:c>
      <x:c r="C23" s="2"/>
      <x:c r="D23" s="2"/>
      <x:c r="E23" s="2" t="str">
        <x:v>当前版本失败</x:v>
      </x:c>
      <x:c r="F23" s="25" t="n">
        <x:f>COUNTIFS('UI检查'!$D$6:$D$45,"是",'UI检查'!$I$6:$I$45,"失败")</x:f>
        <x:v>0</x:v>
      </x:c>
      <x:c r="G23" s="2" t="str">
        <x:v>当前版本失败</x:v>
      </x:c>
      <x:c r="H23" s="25" t="n">
        <x:f>COUNTIFS('冒烟用例'!$D$6:$D$93,"是",'冒烟用例'!$P$6:$P$93,"专项回归",'冒烟用例'!$I$6:$I$93,"失败")</x:f>
        <x:v>0</x:v>
      </x:c>
    </x:row>
    <x:row r="24" ht="21" customHeight="1">
      <x:c r="A24" s="2" t="str">
        <x:v>未完成／受阻</x:v>
      </x:c>
      <x:c r="B24" s="25" t="n">
        <x:f>COUNTIFS('冒烟用例'!$D$6:$D$93,"是",'冒烟用例'!$P$6:$P$93,"冒烟")-COUNTIFS('冒烟用例'!$D$6:$D$93,"是",'冒烟用例'!$P$6:$P$93,"冒烟",'冒烟用例'!$I$6:$I$93,"通过")-COUNTIFS('冒烟用例'!$D$6:$D$93,"是",'冒烟用例'!$P$6:$P$93,"冒烟",'冒烟用例'!$I$6:$I$93,"失败")</x:f>
        <x:v>5</x:v>
      </x:c>
      <x:c r="C24" s="2"/>
      <x:c r="D24" s="2"/>
      <x:c r="E24" s="2" t="str">
        <x:v>未完成／受阻</x:v>
      </x:c>
      <x:c r="F24" s="25" t="n">
        <x:f>COUNTIFS('UI检查'!$D$6:$D$45,"是")-COUNTIFS('UI检查'!$D$6:$D$45,"是",'UI检查'!$I$6:$I$45,"通过")-COUNTIFS('UI检查'!$D$6:$D$45,"是",'UI检查'!$I$6:$I$45,"失败")</x:f>
        <x:v>0</x:v>
      </x:c>
      <x:c r="G24" s="2" t="str">
        <x:v>未完成／受阻</x:v>
      </x:c>
      <x:c r="H24" s="25" t="n">
        <x:f>COUNTIFS('冒烟用例'!$D$6:$D$93,"是",'冒烟用例'!$P$6:$P$93,"专项回归")-COUNTIFS('冒烟用例'!$D$6:$D$93,"是",'冒烟用例'!$P$6:$P$93,"专项回归",'冒烟用例'!$I$6:$I$93,"通过")-COUNTIFS('冒烟用例'!$D$6:$D$93,"是",'冒烟用例'!$P$6:$P$93,"专项回归",'冒烟用例'!$I$6:$I$93,"失败")</x:f>
        <x:v>0</x:v>
      </x:c>
    </x:row>
    <x:row r="25" ht="21" customHeight="1">
      <x:c r="A25" s="2" t="str">
        <x:v>依据待确认</x:v>
      </x:c>
      <x:c r="B25" s="25" t="n">
        <x:f>COUNTIFS('冒烟用例'!$D$6:$D$93,"是",'冒烟用例'!$P$6:$P$93,"冒烟")-COUNTIFS('冒烟用例'!$D$6:$D$93,"是",'冒烟用例'!$P$6:$P$93,"冒烟",'冒烟用例'!$V$6:$V$93,"已确认")</x:f>
        <x:v>5</x:v>
      </x:c>
      <x:c r="C25" s="2"/>
      <x:c r="D25" s="2"/>
      <x:c r="E25" s="2" t="str">
        <x:v>依据待确认</x:v>
      </x:c>
      <x:c r="F25" s="25" t="n">
        <x:f>COUNTIFS('UI检查'!$D$6:$D$45,"是")-COUNTIFS('UI检查'!$D$6:$D$45,"是",'UI检查'!$AF$6:$AF$45,"已确认")</x:f>
        <x:v>0</x:v>
      </x:c>
      <x:c r="G25" s="2" t="str">
        <x:v>依据待确认</x:v>
      </x:c>
      <x:c r="H25" s="25" t="n">
        <x:f>COUNTIFS('冒烟用例'!$D$6:$D$93,"是",'冒烟用例'!$P$6:$P$93,"专项回归")-COUNTIFS('冒烟用例'!$D$6:$D$93,"是",'冒烟用例'!$P$6:$P$93,"专项回归",'冒烟用例'!$V$6:$V$93,"已确认")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COUNTIFS('冒烟用例'!$D$6:$D$93,"待选择",'冒烟用例'!$P$6:$P$93,"冒烟")</x:f>
        <x:v>22</x:v>
      </x:c>
      <x:c r="C26" s="2"/>
      <x:c r="D26" s="2"/>
      <x:c r="E26" s="2" t="str">
        <x:v>库内待筛选（提示）</x:v>
      </x:c>
      <x:c r="F26" s="25" t="n">
        <x:f>COUNTIFS('UI检查'!$D$6:$D$45,"待选择")</x:f>
        <x:v>40</x:v>
      </x:c>
      <x:c r="G26" s="2" t="str">
        <x:v>库内待筛选（提示）</x:v>
      </x:c>
      <x:c r="H26" s="25" t="n">
        <x:f>COUNTIFS('冒烟用例'!$D$6:$D$93,"待选择",'冒烟用例'!$P$6:$P$93,"专项回归")</x:f>
        <x:v>61</x:v>
      </x:c>
    </x:row>
    <x:row r="27" ht="21" customHeight="1">
      <x:c r="A27" s="2" t="str">
        <x:v>关键失败</x:v>
      </x:c>
      <x:c r="B27" s="25" t="n">
        <x:f>COUNTIFS('冒烟用例'!$D$6:$D$93,"是",'冒烟用例'!$P$6:$P$93,"冒烟",'冒烟用例'!$E$6:$E$93,"是",'冒烟用例'!$I$6:$I$93,"失败")</x:f>
        <x:v>0</x:v>
      </x:c>
      <x:c r="C27" s="2"/>
      <x:c r="D27" s="2"/>
      <x:c r="E27" s="2" t="str">
        <x:v>关键失败</x:v>
      </x:c>
      <x:c r="F27" s="25" t="n">
        <x:f>COUNTIFS('UI检查'!$D$6:$D$45,"是",'UI检查'!$E$6:$E$45,"是",'UI检查'!$I$6:$I$45,"失败")</x:f>
        <x:v>0</x:v>
      </x:c>
      <x:c r="G27" s="2" t="str">
        <x:v>关键失败</x:v>
      </x:c>
      <x:c r="H27" s="25" t="n">
        <x:f>COUNTIFS('冒烟用例'!$D$6:$D$93,"是",'冒烟用例'!$P$6:$P$93,"专项回归",'冒烟用例'!$E$6:$E$93,"是",'冒烟用例'!$I$6:$I$93,"失败")</x:f>
        <x:v>0</x:v>
      </x:c>
    </x:row>
    <x:row r="28" ht="21" customHeight="1">
      <x:c r="A28" s="2" t="str">
        <x:v>关键未完成</x:v>
      </x:c>
      <x:c r="B28" s="25" t="n">
        <x:f>COUNTIFS('冒烟用例'!$D$6:$D$93,"是",'冒烟用例'!$P$6:$P$93,"冒烟",'冒烟用例'!$E$6:$E$93,"是")-COUNTIFS('冒烟用例'!$D$6:$D$93,"是",'冒烟用例'!$P$6:$P$93,"冒烟",'冒烟用例'!$E$6:$E$93,"是",'冒烟用例'!$I$6:$I$93,"通过")-COUNTIFS('冒烟用例'!$D$6:$D$93,"是",'冒烟用例'!$P$6:$P$93,"冒烟",'冒烟用例'!$E$6:$E$93,"是",'冒烟用例'!$I$6:$I$93,"失败")</x:f>
        <x:v>5</x:v>
      </x:c>
      <x:c r="C28" s="2"/>
      <x:c r="D28" s="2"/>
      <x:c r="E28" s="2" t="str">
        <x:v>关键未完成</x:v>
      </x:c>
      <x:c r="F28" s="25" t="n">
        <x:f>COUNTIFS('UI检查'!$D$6:$D$45,"是",'UI检查'!$E$6:$E$45,"是")-COUNTIFS('UI检查'!$D$6:$D$45,"是",'UI检查'!$E$6:$E$45,"是",'UI检查'!$I$6:$I$45,"通过")-COUNTIFS('UI检查'!$D$6:$D$45,"是",'UI检查'!$E$6:$E$45,"是",'UI检查'!$I$6:$I$45,"失败")</x:f>
        <x:v>0</x:v>
      </x:c>
      <x:c r="G28" s="2" t="str">
        <x:v>关键未完成</x:v>
      </x:c>
      <x:c r="H28" s="25" t="n">
        <x:f>COUNTIFS('冒烟用例'!$D$6:$D$93,"是",'冒烟用例'!$P$6:$P$93,"专项回归",'冒烟用例'!$E$6:$E$93,"是")-COUNTIFS('冒烟用例'!$D$6:$D$93,"是",'冒烟用例'!$P$6:$P$93,"专项回归",'冒烟用例'!$E$6:$E$93,"是",'冒烟用例'!$I$6:$I$93,"通过")-COUNTIFS('冒烟用例'!$D$6:$D$93,"是",'冒烟用例'!$P$6:$P$93,"专项回归",'冒烟用例'!$E$6:$E$93,"是",'冒烟用例'!$I$6:$I$93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$93,"是",'冒烟用例'!$P$6:$P$93,"冒烟",'冒烟用例'!$V$6:$V$93,"已确认")=0,"无已确认项",COUNTIFS('冒烟用例'!$D$6:$D$93,"是",'冒烟用例'!$P$6:$P$93,"冒烟",'冒烟用例'!$I$6:$I$93,"通过")/COUNTIFS('冒烟用例'!$D$6:$D$93,"是",'冒烟用例'!$P$6:$P$93,"冒烟",'冒烟用例'!$V$6:$V$93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IF(COUNTIFS('UI检查'!$D$6:$D$45,"是",'UI检查'!$AF$6:$AF$45,"已确认")=0,"无已确认项",COUNTIFS('UI检查'!$D$6:$D$45,"是",'UI检查'!$I$6:$I$45,"通过")/COUNTIFS('UI检查'!$D$6:$D$45,"是",'UI检查'!$AF$6:$AF$45,"已确认"))</x:f>
        <x:v>无已确认项</x:v>
      </x:c>
      <x:c r="G29" s="2" t="str">
        <x:v>已确认项通过率</x:v>
      </x:c>
      <x:c r="H29" s="26" t="str">
        <x:f>IF(COUNTIFS('冒烟用例'!$D$6:$D$93,"是",'冒烟用例'!$P$6:$P$93,"专项回归",'冒烟用例'!$V$6:$V$93,"已确认")=0,"无已确认项",COUNTIFS('冒烟用例'!$D$6:$D$93,"是",'冒烟用例'!$P$6:$P$93,"专项回归",'冒烟用例'!$I$6:$I$93,"通过")/COUNTIFS('冒烟用例'!$D$6:$D$93,"是",'冒烟用例'!$P$6:$P$93,"专项回归",'冒烟用例'!$V$6:$V$93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</x:f>
        <x:v>0</x:v>
      </x:c>
      <x:c r="G30" s="2" t="str">
        <x:v>纳入项交付映射缺失</x:v>
      </x:c>
      <x:c r="H30" s="2" t="n">
        <x:f>COUNTIFS('冒烟用例'!$D$6:$D$93,"是")-COUNTIFS('冒烟用例'!$D$6:$D$93,"是",'冒烟用例'!$Q$6:$Q$93,"&lt;&gt;")+COUNTIFS('UI检查'!$D$6:$D$45,"是")-COUNTIFS('UI检查'!$D$6:$D$45,"是",'UI检查'!$U$6:$U$45,"&lt;&gt;")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</x:f>
        <x:v>25</x:v>
      </x:c>
      <x:c r="G31" s="2" t="str">
        <x:v>涉及事项已记录后置</x:v>
      </x:c>
      <x:c r="H31" s="2" t="n">
        <x:f>COUNTIFS($H$40:$H$61,"已记录后置")+COUNTIFS($H$115:$H$117,"已记录后置")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IF(F20=0,"无适用项",COUNTIFS('UI检查'!$D$6:$D$45,"是",'UI检查'!$AF$6:$AF$45,"已确认")/F20)</x:f>
        <x:v>无适用项</x:v>
      </x:c>
      <x:c r="G32" s="10" t="str">
        <x:v>已确认但未完成</x:v>
      </x:c>
      <x:c r="H32" s="10" t="n">
        <x:f>COUNTIFS('UI检查'!$D$6:$D$45,"是",'UI检查'!$AF$6:$AF$45,"已确认")-F22-F23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 t="str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 t="str"/>
      <x:c r="C35" s="2"/>
      <x:c r="D35" s="2"/>
      <x:c r="E35" s="2" t="str">
        <x:v>评审记录检查</x:v>
      </x:c>
      <x:c r="F35" s="10" t="str">
        <x:f>IF(B33="待评审","待人工评审",IF(OR(B34="",B36=""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B35&lt;&gt;""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 t="str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基础配置一级 Tab、子项及新增入口位置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$45,"UI01",'UI检查'!$D$6:$D$45,"是"))&gt;0,D40="否"),"范围矛盾",IF(OR(D40="是",(COUNTIFS('UI检查'!$A$6:$A$45,"UI01",'UI检查'!$D$6:$D$45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$45,"UI02",'UI检查'!$D$6:$D$45,"是"))&gt;0,D41="否"),"范围矛盾",IF(OR(D41="是",(COUNTIFS('UI检查'!$A$6:$A$45,"UI02",'UI检查'!$D$6:$D$45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$45,"UI18",'UI检查'!$D$6:$D$45,"是"))&gt;0,D42="否"),"范围矛盾",IF(OR(D42="是",(COUNTIFS('UI检查'!$A$6:$A$45,"UI18",'UI检查'!$D$6:$D$45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$45,"UI15",'UI检查'!$D$6:$D$45,"是"))&gt;0,D43="否"),"范围矛盾",IF(OR(D43="是",(COUNTIFS('UI检查'!$A$6:$A$45,"UI15",'UI检查'!$D$6:$D$45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$45,"UI16",'UI检查'!$D$6:$D$45,"是")+COUNTIFS('冒烟用例'!$A$6:$A$93,"SM27",'冒烟用例'!$D$6:$D$93,"是"))&gt;0,D44="否"),"范围矛盾",IF(OR(D44="是",(COUNTIFS('UI检查'!$A$6:$A$45,"UI16",'UI检查'!$D$6:$D$45,"是")+COUNTIFS('冒烟用例'!$A$6:$A$93,"SM27",'冒烟用例'!$D$6:$D$93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航司字典类型、编码格式、唯一性及重复处理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$93,"SM10",'冒烟用例'!$D$6:$D$93,"是")+COUNTIFS('冒烟用例'!$A$6:$A$93,"SM16",'冒烟用例'!$D$6:$D$93,"是"))&gt;0,D45="否"),"范围矛盾",IF(OR(D45="是",(COUNTIFS('冒烟用例'!$A$6:$A$93,"SM10",'冒烟用例'!$D$6:$D$93,"是")+COUNTIFS('冒烟用例'!$A$6:$A$93,"SM16",'冒烟用例'!$D$6:$D$93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字典分类自身的新增、改名和删除是否交付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$93,"SM17",'冒烟用例'!$D$6:$D$93,"是"))&gt;0,D46="否"),"范围矛盾",IF(OR(D46="是",(COUNTIFS('冒烟用例'!$A$6:$A$93,"SM17",'冒烟用例'!$D$6:$D$93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$93,"SM28",'冒烟用例'!$D$6:$D$93,"是")+COUNTIFS('冒烟用例'!$A$6:$A$93,"SM55",'冒烟用例'!$D$6:$D$93,"是")+COUNTIFS('UI检查'!$A$6:$A$45,"UI13",'UI检查'!$D$6:$D$45,"是"))&gt;0,D47="否"),"范围矛盾",IF(OR(D47="是",(COUNTIFS('冒烟用例'!$A$6:$A$93,"SM28",'冒烟用例'!$D$6:$D$93,"是")+COUNTIFS('冒烟用例'!$A$6:$A$93,"SM55",'冒烟用例'!$D$6:$D$93,"是")+COUNTIFS('UI检查'!$A$6:$A$45,"UI13",'UI检查'!$D$6:$D$45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地点／Zone即时查询必须保留；如同时有查询按钮，明确按钮与重置语义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$93,"SM43",'冒烟用例'!$D$6:$D$93,"是")+COUNTIFS('冒烟用例'!$A$6:$A$93,"SM58",'冒烟用例'!$D$6:$D$93,"是")+COUNTIFS('UI检查'!$A$6:$A$45,"UI09",'UI检查'!$D$6:$D$45,"是"))&gt;0,D48="否"),"范围矛盾",IF(OR(D48="是",(COUNTIFS('冒烟用例'!$A$6:$A$93,"SM43",'冒烟用例'!$D$6:$D$93,"是")+COUNTIFS('冒烟用例'!$A$6:$A$93,"SM58",'冒烟用例'!$D$6:$D$93,"是")+COUNTIFS('UI检查'!$A$6:$A$45,"UI09",'UI检查'!$D$6:$D$45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金额显示冲突：项目两位与规范V1.2四位；明确项目例外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$45,"UI22",'UI检查'!$D$6:$D$45,"是")+COUNTIFS('UI检查'!$A$6:$A$45,"UI29",'UI检查'!$D$6:$D$45,"是"))&gt;0,D49="否"),"范围矛盾",IF(OR(D49="是",(COUNTIFS('UI检查'!$A$6:$A$45,"UI22",'UI检查'!$D$6:$D$45,"是")+COUNTIFS('UI检查'!$A$6:$A$45,"UI29",'UI检查'!$D$6:$D$45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$93,"SM24",'冒烟用例'!$D$6:$D$93,"是")+COUNTIFS('冒烟用例'!$A$6:$A$93,"SM50",'冒烟用例'!$D$6:$D$93,"是"))&gt;0,D50="否"),"范围矛盾",IF(OR(D50="是",(COUNTIFS('冒烟用例'!$A$6:$A$93,"SM24",'冒烟用例'!$D$6:$D$93,"是")+COUNTIFS('冒烟用例'!$A$6:$A$93,"SM50",'冒烟用例'!$D$6:$D$93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$93,"SM42",'冒烟用例'!$D$6:$D$93,"是"))&gt;0,D51="否"),"范围矛盾",IF(OR(D51="是",(COUNTIFS('冒烟用例'!$A$6:$A$93,"SM42",'冒烟用例'!$D$6:$D$93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$93,"SM21",'冒烟用例'!$D$6:$D$93,"是")+COUNTIFS('冒烟用例'!$A$6:$A$93,"SM30",'冒烟用例'!$D$6:$D$93,"是")+COUNTIFS('冒烟用例'!$A$6:$A$93,"SM39",'冒烟用例'!$D$6:$D$93,"是")+COUNTIFS('冒烟用例'!$A$6:$A$93,"SM40",'冒烟用例'!$D$6:$D$93,"是"))&gt;0,D52="否"),"范围矛盾",IF(OR(D52="是",(COUNTIFS('冒烟用例'!$A$6:$A$93,"SM21",'冒烟用例'!$D$6:$D$93,"是")+COUNTIFS('冒烟用例'!$A$6:$A$93,"SM30",'冒烟用例'!$D$6:$D$93,"是")+COUNTIFS('冒烟用例'!$A$6:$A$93,"SM39",'冒烟用例'!$D$6:$D$93,"是")+COUNTIFS('冒烟用例'!$A$6:$A$93,"SM40",'冒烟用例'!$D$6:$D$93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$93,"SM32",'冒烟用例'!$D$6:$D$93,"是")+COUNTIFS('冒烟用例'!$A$6:$A$93,"SM34",'冒烟用例'!$D$6:$D$93,"是")+COUNTIFS('冒烟用例'!$A$6:$A$93,"SM35",'冒烟用例'!$D$6:$D$93,"是")+COUNTIFS('冒烟用例'!$A$6:$A$93,"SM36",'冒烟用例'!$D$6:$D$93,"是")+COUNTIFS('冒烟用例'!$A$6:$A$93,"SM37",'冒烟用例'!$D$6:$D$93,"是")+COUNTIFS('冒烟用例'!$A$6:$A$93,"SM38",'冒烟用例'!$D$6:$D$93,"是")+COUNTIFS('冒烟用例'!$A$6:$A$93,"SM65",'冒烟用例'!$D$6:$D$93,"是")+COUNTIFS('冒烟用例'!$A$6:$A$93,"SM67",'冒烟用例'!$D$6:$D$93,"是")+COUNTIFS('冒烟用例'!$A$6:$A$93,"SM68",'冒烟用例'!$D$6:$D$93,"是"))&gt;0,D53="否"),"范围矛盾",IF(OR(D53="是",(COUNTIFS('冒烟用例'!$A$6:$A$93,"SM32",'冒烟用例'!$D$6:$D$93,"是")+COUNTIFS('冒烟用例'!$A$6:$A$93,"SM34",'冒烟用例'!$D$6:$D$93,"是")+COUNTIFS('冒烟用例'!$A$6:$A$93,"SM35",'冒烟用例'!$D$6:$D$93,"是")+COUNTIFS('冒烟用例'!$A$6:$A$93,"SM36",'冒烟用例'!$D$6:$D$93,"是")+COUNTIFS('冒烟用例'!$A$6:$A$93,"SM37",'冒烟用例'!$D$6:$D$93,"是")+COUNTIFS('冒烟用例'!$A$6:$A$93,"SM38",'冒烟用例'!$D$6:$D$93,"是")+COUNTIFS('冒烟用例'!$A$6:$A$93,"SM65",'冒烟用例'!$D$6:$D$93,"是")+COUNTIFS('冒烟用例'!$A$6:$A$93,"SM67",'冒烟用例'!$D$6:$D$93,"是")+COUNTIFS('冒烟用例'!$A$6:$A$93,"SM68",'冒烟用例'!$D$6:$D$93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$93,"SM29",'冒烟用例'!$D$6:$D$93,"是")+COUNTIFS('冒烟用例'!$A$6:$A$93,"SM63",'冒烟用例'!$D$6:$D$93,"是"))&gt;0,D54="否"),"范围矛盾",IF(OR(D54="是",(COUNTIFS('冒烟用例'!$A$6:$A$93,"SM29",'冒烟用例'!$D$6:$D$93,"是")+COUNTIFS('冒烟用例'!$A$6:$A$93,"SM63",'冒烟用例'!$D$6:$D$93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$93,"SM50",'冒烟用例'!$D$6:$D$93,"是"))&gt;0,D55="否"),"范围矛盾",IF(OR(D55="是",(COUNTIFS('冒烟用例'!$A$6:$A$93,"SM50",'冒烟用例'!$D$6:$D$93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$93,"SM27",'冒烟用例'!$D$6:$D$93,"是")+COUNTIFS('UI检查'!$A$6:$A$45,"UI16",'UI检查'!$D$6:$D$45,"是")+COUNTIFS('UI检查'!$A$6:$A$45,"UI37",'UI检查'!$D$6:$D$45,"是")+COUNTIFS('UI检查'!$A$6:$A$45,"UI38",'UI检查'!$D$6:$D$45,"是"))&gt;0,D56="否"),"范围矛盾",IF(OR(D56="是",(COUNTIFS('冒烟用例'!$A$6:$A$93,"SM27",'冒烟用例'!$D$6:$D$93,"是")+COUNTIFS('UI检查'!$A$6:$A$45,"UI16",'UI检查'!$D$6:$D$45,"是")+COUNTIFS('UI检查'!$A$6:$A$45,"UI37",'UI检查'!$D$6:$D$45,"是")+COUNTIFS('UI检查'!$A$6:$A$45,"UI38",'UI检查'!$D$6:$D$45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本批UI批准稿/规范版本、支持端、容差和遮罩；Tabs40/触达44及页头94px与4倍数说明冲突；全部UI按有效基线采纳</x:v>
      </x:c>
      <x:c r="C57" s="42" t="str">
        <x:v>UI01—40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$45,"UI01",'UI检查'!$D$6:$D$45,"是")+COUNTIFS('UI检查'!$A$6:$A$45,"UI02",'UI检查'!$D$6:$D$45,"是")+COUNTIFS('UI检查'!$A$6:$A$45,"UI03",'UI检查'!$D$6:$D$45,"是")+COUNTIFS('UI检查'!$A$6:$A$45,"UI04",'UI检查'!$D$6:$D$45,"是")+COUNTIFS('UI检查'!$A$6:$A$45,"UI05",'UI检查'!$D$6:$D$45,"是")+COUNTIFS('UI检查'!$A$6:$A$45,"UI06",'UI检查'!$D$6:$D$45,"是")+COUNTIFS('UI检查'!$A$6:$A$45,"UI07",'UI检查'!$D$6:$D$45,"是")+COUNTIFS('UI检查'!$A$6:$A$45,"UI08",'UI检查'!$D$6:$D$45,"是")+COUNTIFS('UI检查'!$A$6:$A$45,"UI09",'UI检查'!$D$6:$D$45,"是")+COUNTIFS('UI检查'!$A$6:$A$45,"UI10",'UI检查'!$D$6:$D$45,"是")+COUNTIFS('UI检查'!$A$6:$A$45,"UI11",'UI检查'!$D$6:$D$45,"是")+COUNTIFS('UI检查'!$A$6:$A$45,"UI12",'UI检查'!$D$6:$D$45,"是")+COUNTIFS('UI检查'!$A$6:$A$45,"UI13",'UI检查'!$D$6:$D$45,"是")+COUNTIFS('UI检查'!$A$6:$A$45,"UI14",'UI检查'!$D$6:$D$45,"是")+COUNTIFS('UI检查'!$A$6:$A$45,"UI15",'UI检查'!$D$6:$D$45,"是")+COUNTIFS('UI检查'!$A$6:$A$45,"UI16",'UI检查'!$D$6:$D$45,"是")+COUNTIFS('UI检查'!$A$6:$A$45,"UI17",'UI检查'!$D$6:$D$45,"是")+COUNTIFS('UI检查'!$A$6:$A$45,"UI18",'UI检查'!$D$6:$D$45,"是")+COUNTIFS('UI检查'!$A$6:$A$45,"UI19",'UI检查'!$D$6:$D$45,"是")+COUNTIFS('UI检查'!$A$6:$A$45,"UI20",'UI检查'!$D$6:$D$45,"是")+COUNTIFS('UI检查'!$A$6:$A$45,"UI21",'UI检查'!$D$6:$D$45,"是")+COUNTIFS('UI检查'!$A$6:$A$45,"UI22",'UI检查'!$D$6:$D$45,"是")+COUNTIFS('UI检查'!$A$6:$A$45,"UI23",'UI检查'!$D$6:$D$45,"是")+COUNTIFS('UI检查'!$A$6:$A$45,"UI24",'UI检查'!$D$6:$D$45,"是")+COUNTIFS('UI检查'!$A$6:$A$45,"UI25",'UI检查'!$D$6:$D$45,"是")+COUNTIFS('UI检查'!$A$6:$A$45,"UI26",'UI检查'!$D$6:$D$45,"是")+COUNTIFS('UI检查'!$A$6:$A$45,"UI27",'UI检查'!$D$6:$D$45,"是")+COUNTIFS('UI检查'!$A$6:$A$45,"UI28",'UI检查'!$D$6:$D$45,"是")+COUNTIFS('UI检查'!$A$6:$A$45,"UI29",'UI检查'!$D$6:$D$45,"是")+COUNTIFS('UI检查'!$A$6:$A$45,"UI30",'UI检查'!$D$6:$D$45,"是")+COUNTIFS('UI检查'!$A$6:$A$45,"UI31",'UI检查'!$D$6:$D$45,"是")+COUNTIFS('UI检查'!$A$6:$A$45,"UI32",'UI检查'!$D$6:$D$45,"是")+COUNTIFS('UI检查'!$A$6:$A$45,"UI33",'UI检查'!$D$6:$D$45,"是")+COUNTIFS('UI检查'!$A$6:$A$45,"UI34",'UI检查'!$D$6:$D$45,"是")+COUNTIFS('UI检查'!$A$6:$A$45,"UI35",'UI检查'!$D$6:$D$45,"是")+COUNTIFS('UI检查'!$A$6:$A$45,"UI36",'UI检查'!$D$6:$D$45,"是")+COUNTIFS('UI检查'!$A$6:$A$45,"UI37",'UI检查'!$D$6:$D$45,"是")+COUNTIFS('UI检查'!$A$6:$A$45,"UI38",'UI检查'!$D$6:$D$45,"是")+COUNTIFS('UI检查'!$A$6:$A$45,"UI39",'UI检查'!$D$6:$D$45,"是")+COUNTIFS('UI检查'!$A$6:$A$45,"UI40",'UI检查'!$D$6:$D$45,"是"))&gt;0,D57="否"),"范围矛盾",IF(OR(D57="是",(COUNTIFS('UI检查'!$A$6:$A$45,"UI01",'UI检查'!$D$6:$D$45,"是")+COUNTIFS('UI检查'!$A$6:$A$45,"UI02",'UI检查'!$D$6:$D$45,"是")+COUNTIFS('UI检查'!$A$6:$A$45,"UI03",'UI检查'!$D$6:$D$45,"是")+COUNTIFS('UI检查'!$A$6:$A$45,"UI04",'UI检查'!$D$6:$D$45,"是")+COUNTIFS('UI检查'!$A$6:$A$45,"UI05",'UI检查'!$D$6:$D$45,"是")+COUNTIFS('UI检查'!$A$6:$A$45,"UI06",'UI检查'!$D$6:$D$45,"是")+COUNTIFS('UI检查'!$A$6:$A$45,"UI07",'UI检查'!$D$6:$D$45,"是")+COUNTIFS('UI检查'!$A$6:$A$45,"UI08",'UI检查'!$D$6:$D$45,"是")+COUNTIFS('UI检查'!$A$6:$A$45,"UI09",'UI检查'!$D$6:$D$45,"是")+COUNTIFS('UI检查'!$A$6:$A$45,"UI10",'UI检查'!$D$6:$D$45,"是")+COUNTIFS('UI检查'!$A$6:$A$45,"UI11",'UI检查'!$D$6:$D$45,"是")+COUNTIFS('UI检查'!$A$6:$A$45,"UI12",'UI检查'!$D$6:$D$45,"是")+COUNTIFS('UI检查'!$A$6:$A$45,"UI13",'UI检查'!$D$6:$D$45,"是")+COUNTIFS('UI检查'!$A$6:$A$45,"UI14",'UI检查'!$D$6:$D$45,"是")+COUNTIFS('UI检查'!$A$6:$A$45,"UI15",'UI检查'!$D$6:$D$45,"是")+COUNTIFS('UI检查'!$A$6:$A$45,"UI16",'UI检查'!$D$6:$D$45,"是")+COUNTIFS('UI检查'!$A$6:$A$45,"UI17",'UI检查'!$D$6:$D$45,"是")+COUNTIFS('UI检查'!$A$6:$A$45,"UI18",'UI检查'!$D$6:$D$45,"是")+COUNTIFS('UI检查'!$A$6:$A$45,"UI19",'UI检查'!$D$6:$D$45,"是")+COUNTIFS('UI检查'!$A$6:$A$45,"UI20",'UI检查'!$D$6:$D$45,"是")+COUNTIFS('UI检查'!$A$6:$A$45,"UI21",'UI检查'!$D$6:$D$45,"是")+COUNTIFS('UI检查'!$A$6:$A$45,"UI22",'UI检查'!$D$6:$D$45,"是")+COUNTIFS('UI检查'!$A$6:$A$45,"UI23",'UI检查'!$D$6:$D$45,"是")+COUNTIFS('UI检查'!$A$6:$A$45,"UI24",'UI检查'!$D$6:$D$45,"是")+COUNTIFS('UI检查'!$A$6:$A$45,"UI25",'UI检查'!$D$6:$D$45,"是")+COUNTIFS('UI检查'!$A$6:$A$45,"UI26",'UI检查'!$D$6:$D$45,"是")+COUNTIFS('UI检查'!$A$6:$A$45,"UI27",'UI检查'!$D$6:$D$45,"是")+COUNTIFS('UI检查'!$A$6:$A$45,"UI28",'UI检查'!$D$6:$D$45,"是")+COUNTIFS('UI检查'!$A$6:$A$45,"UI29",'UI检查'!$D$6:$D$45,"是")+COUNTIFS('UI检查'!$A$6:$A$45,"UI30",'UI检查'!$D$6:$D$45,"是")+COUNTIFS('UI检查'!$A$6:$A$45,"UI31",'UI检查'!$D$6:$D$45,"是")+COUNTIFS('UI检查'!$A$6:$A$45,"UI32",'UI检查'!$D$6:$D$45,"是")+COUNTIFS('UI检查'!$A$6:$A$45,"UI33",'UI检查'!$D$6:$D$45,"是")+COUNTIFS('UI检查'!$A$6:$A$45,"UI34",'UI检查'!$D$6:$D$45,"是")+COUNTIFS('UI检查'!$A$6:$A$45,"UI35",'UI检查'!$D$6:$D$45,"是")+COUNTIFS('UI检查'!$A$6:$A$45,"UI36",'UI检查'!$D$6:$D$45,"是")+COUNTIFS('UI检查'!$A$6:$A$45,"UI37",'UI检查'!$D$6:$D$45,"是")+COUNTIFS('UI检查'!$A$6:$A$45,"UI38",'UI检查'!$D$6:$D$45,"是")+COUNTIFS('UI检查'!$A$6:$A$45,"UI39",'UI检查'!$D$6:$D$45,"是")+COUNTIFS('UI检查'!$A$6:$A$45,"UI40",'UI检查'!$D$6:$D$45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$93,"SM23",'冒烟用例'!$D$6:$D$93,"是")+COUNTIFS('冒烟用例'!$A$6:$A$93,"SM25",'冒烟用例'!$D$6:$D$93,"是")+COUNTIFS('冒烟用例'!$A$6:$A$93,"SM41",'冒烟用例'!$D$6:$D$93,"是")+COUNTIFS('冒烟用例'!$A$6:$A$93,"SM47",'冒烟用例'!$D$6:$D$93,"是")+COUNTIFS('冒烟用例'!$A$6:$A$93,"SM48",'冒烟用例'!$D$6:$D$93,"是")+COUNTIFS('冒烟用例'!$A$6:$A$93,"SM52",'冒烟用例'!$D$6:$D$93,"是")+COUNTIFS('冒烟用例'!$A$6:$A$93,"SM56",'冒烟用例'!$D$6:$D$93,"是")+COUNTIFS('冒烟用例'!$A$6:$A$93,"SM68",'冒烟用例'!$D$6:$D$93,"是")+COUNTIFS('冒烟用例'!$A$6:$A$93,"SM69",'冒烟用例'!$D$6:$D$93,"是")+COUNTIFS('冒烟用例'!$A$6:$A$93,"SM70",'冒烟用例'!$D$6:$D$93,"是")+COUNTIFS('冒烟用例'!$A$6:$A$93,"SM77",'冒烟用例'!$D$6:$D$93,"是")+COUNTIFS('冒烟用例'!$A$6:$A$93,"SM79",'冒烟用例'!$D$6:$D$93,"是"))&gt;0,D58="否"),"范围矛盾",IF(OR(D58="是",(COUNTIFS('冒烟用例'!$A$6:$A$93,"SM23",'冒烟用例'!$D$6:$D$93,"是")+COUNTIFS('冒烟用例'!$A$6:$A$93,"SM25",'冒烟用例'!$D$6:$D$93,"是")+COUNTIFS('冒烟用例'!$A$6:$A$93,"SM41",'冒烟用例'!$D$6:$D$93,"是")+COUNTIFS('冒烟用例'!$A$6:$A$93,"SM47",'冒烟用例'!$D$6:$D$93,"是")+COUNTIFS('冒烟用例'!$A$6:$A$93,"SM48",'冒烟用例'!$D$6:$D$93,"是")+COUNTIFS('冒烟用例'!$A$6:$A$93,"SM52",'冒烟用例'!$D$6:$D$93,"是")+COUNTIFS('冒烟用例'!$A$6:$A$93,"SM56",'冒烟用例'!$D$6:$D$93,"是")+COUNTIFS('冒烟用例'!$A$6:$A$93,"SM68",'冒烟用例'!$D$6:$D$93,"是")+COUNTIFS('冒烟用例'!$A$6:$A$93,"SM69",'冒烟用例'!$D$6:$D$93,"是")+COUNTIFS('冒烟用例'!$A$6:$A$93,"SM70",'冒烟用例'!$D$6:$D$93,"是")+COUNTIFS('冒烟用例'!$A$6:$A$93,"SM77",'冒烟用例'!$D$6:$D$93,"是")+COUNTIFS('冒烟用例'!$A$6:$A$93,"SM79",'冒烟用例'!$D$6:$D$93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$93,"SM26",'冒烟用例'!$D$6:$D$93,"是")+COUNTIFS('冒烟用例'!$A$6:$A$93,"SM59",'冒烟用例'!$D$6:$D$93,"是")+COUNTIFS('冒烟用例'!$A$6:$A$93,"SM60",'冒烟用例'!$D$6:$D$93,"是")+COUNTIFS('冒烟用例'!$A$6:$A$93,"SM81",'冒烟用例'!$D$6:$D$93,"是"))&gt;0,D60="否"),"范围矛盾",IF(OR(D60="是",(COUNTIFS('冒烟用例'!$A$6:$A$93,"SM26",'冒烟用例'!$D$6:$D$93,"是")+COUNTIFS('冒烟用例'!$A$6:$A$93,"SM59",'冒烟用例'!$D$6:$D$93,"是")+COUNTIFS('冒烟用例'!$A$6:$A$93,"SM60",'冒烟用例'!$D$6:$D$93,"是")+COUNTIFS('冒烟用例'!$A$6:$A$93,"SM81",'冒烟用例'!$D$6:$D$93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$45,"UI03",'UI检查'!$D$6:$D$45,"是")+COUNTIFS('冒烟用例'!$A$6:$A$93,"SM63",'冒烟用例'!$D$6:$D$93,"是"))&gt;0,D61="否"),"范围矛盾",IF(OR(D61="是",(COUNTIFS('UI检查'!$A$6:$A$45,"UI03",'UI检查'!$D$6:$D$45,"是")+COUNTIFS('冒烟用例'!$A$6:$A$93,"SM63",'冒烟用例'!$D$6:$D$93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产品管理及数据映射V1.0评审稿；2026-10-12完整只读获取revision8340，按正文、删除线、评论与待确认项区别复核；沿用的引用调研/旧接口本轮未重读。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2026-10-12指定视图rev628，无筛选，21行完整读取（has_more=false）：20条有内容＋1空记录；20条均按record_id映射，原始来源字段保留UI检查X:AB。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通用规范V1.2，2026-10-12读取revision5256；另核12份内嵌表（字体、表格/对齐/行状态、间距、表单/双列/输入响应式、页头、语义/中性色、图标）。量值冲突见DEC10/18。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48.75" customHeight="1">
      <x:c r="A83" s="10" t="str">
        <x:v>本轮用例设计复核：27冒烟＋61专项＋40UI，全部未执行；补6功能/6UI与3项决策，更新20条Review映射。原有102条款组保留，新增12条具体映射。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48.75" customHeight="1">
      <x:c r="A110" s="10" t="str">
        <x:v>普通视觉差异由团队决定是否带项，记录负责人/日期/影响/接受证据；错价、数据破坏、核心依据未定或关键操作不可达应先整改/确认。复核通过不等于测试通过。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$45,"UI35",'UI检查'!$D$6:$D$45,"是"))&gt;0,D115="否"),"范围矛盾",IF(OR(D115="是",(COUNTIFS('UI检查'!$A$6:$A$45,"UI35",'UI检查'!$D$6:$D$45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币种汇率：正文可编辑与§七29不编辑/新增版本/乘除的取舍；5位小数规范化与命中版本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$93,"SM85",'冒烟用例'!$D$6:$D$93,"是"))&gt;0,D116="否"),"范围矛盾",IF(OR(D116="是",(COUNTIFS('冒烟用例'!$A$6:$A$93,"SM85",'冒烟用例'!$D$6:$D$93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$93,"SM84",'冒烟用例'!$D$6:$D$93,"是")+COUNTIFS('冒烟用例'!$A$6:$A$93,"SM85",'冒烟用例'!$D$6:$D$93,"是"))&gt;0,D117="否"),"范围矛盾",IF(OR(D117="是",(COUNTIFS('冒烟用例'!$A$6:$A$93,"SM84",'冒烟用例'!$D$6:$D$93,"是")+COUNTIFS('冒烟用例'!$A$6:$A$93,"SM85",'冒烟用例'!$D$6:$D$93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56.25" customHeight="1">
      <x:c r="A124" s="10" t="str">
        <x:v>R05</x:v>
      </x:c>
      <x:c r="B124" s="10" t="str">
        <x:v>冒烟范围</x:v>
      </x:c>
      <x:c r="C124" s="10"/>
      <x:c r="D124" s="10" t="str">
        <x:v>SM33、SM39、SM51、SM52调整为专项回归；共27冒烟/61专项。冒烟按交付模块选择入口＋正向闭环＋关键失败＋读回；细边界/批量/公式完整矩阵按改动影响另选。</x:v>
      </x:c>
      <x:c r="E124" s="10"/>
      <x:c r="F124" s="10"/>
      <x:c r="G124" s="10"/>
      <x:c r="H124" s="10"/>
    </x:row>
    <x:row r="125" ht="56.25" customHeight="1">
      <x:c r="A125" s="10" t="str">
        <x:v>R06</x:v>
      </x:c>
      <x:c r="B125" s="10" t="str">
        <x:v>有效依据</x:v>
      </x:c>
      <x:c r="C125" s="10"/>
      <x:c r="D125" s="10" t="str">
        <x:v>新增依据有效性列：本批依据确认与关联决策均满足才已确认，不依赖是否已执行。修正通过率分母按有效依据统计，同时显示UI依据确认覆盖率，未执行/受阻不会进入通过分子。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56.25" customHeight="1">
      <x:c r="A128" s="10" t="str">
        <x:v>R09</x:v>
      </x:c>
      <x:c r="B128" s="10" t="str">
        <x:v>规范自身冲突</x:v>
      </x:c>
      <x:c r="C128" s="10"/>
      <x:c r="D128" s="10" t="str">
        <x:v>§4.2声称页头总高度为4倍数，规格同时给94px；新增至DEC18，与已有Tabs40px/触达44px一起待确认。不得擅改数值判实现错误。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SM46→SM24→SM25→SM53；用批准131 CNY样例核费用账本、版本及缺卡/拒收/转人工/无燃油分支；参数/重量边界用SM51/52专项。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</x:mergeCells>
  <x:dataValidations count="7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907ca6d0234141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本轮为用例设计复核，全部未执行。按交付项选“是”；V列综合本批依据与关联决策，未确认不计通过。每个适用分支都完成并留证后才能标整行通过。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测试层次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</x:row>
    <x:row r="6" ht="70.5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V6&lt;&gt;"已确认","依据待确认",IF('本批提测'!$B$8="","版本待填写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</x:f>
        <x:v>依据待确认</x:v>
      </x:c>
      <x:c r="J6" s="10" t="str">
        <x:v>前置：准备本批有权限的测试账号，记录账号别名。
操作：从本批交付页面的深链接进入，完成登录后核对账号、角色和目标页面；仅航司批次核对 resource=airline。</x:v>
      </x:c>
      <x:c r="K6" s="10" t="str">
        <x:v>使用本批正确身份；登录返回本批目标页及约定分类，不把航司页写成所有批次的固定入口。</x:v>
      </x:c>
      <x:c r="L6" s="10" t="str">
        <x:v>通用登录与身份检查为测试建议；本轮未访问业务环境，不能由旧观察推断当前登录可用。</x:v>
      </x:c>
      <x:c r="M6" s="86"/>
      <x:c r="N6" s="86"/>
      <x:c r="O6" s="86"/>
      <x:c r="P6" s="10" t="str">
        <x:v>冒烟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</x:v>
      </x:c>
      <x:c r="V6" s="10" t="str">
        <x:f>IF(D6="否","不适用",IF(D6&lt;&gt;"是","未纳入本批",IF(OR(F6&lt;&gt;"已确认"),"待确认","已确认")))</x:f>
        <x:v>待确认</x:v>
      </x:c>
      <x:c r="W6" s="10" t="str">
        <x:v>本轮修正</x:v>
      </x:c>
      <x:c r="X6" s="10" t="str">
        <x:v>设计复核后保留；按交付范围及批准现行基线执行。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V7&lt;&gt;"已确认","依据待确认",IF('本批提测'!$B$8="","版本待填写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冒烟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</x:row>
    <x:row r="8" ht="63" customHeight="1">
      <x:c r="A8" s="10" t="str">
        <x:v>SM03</x:v>
      </x:c>
      <x:c r="B8" s="10" t="str">
        <x:v>通用</x:v>
      </x:c>
      <x:c r="C8" s="10" t="str">
        <x:v>菜单、分类与深链接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V8&lt;&gt;"已确认","依据待确认",IF('本批提测'!$B$8="","版本待填写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</x:f>
        <x:v>依据待确认</x:v>
      </x:c>
      <x:c r="J8" s="10" t="str">
        <x:v>前置：明确本批页面及分类标识。
操作：从菜单进入、直接打开链接、切换分类，再检查 URL 和内容。</x:v>
      </x:c>
      <x:c r="K8" s="10" t="str">
        <x:v>菜单高亮、分类、标题、URL 和列表内容一致。</x:v>
      </x:c>
      <x:c r="L8" s="10" t="str">
        <x:v>建议共通检查；REQ §6.5</x:v>
      </x:c>
      <x:c r="M8" s="86"/>
      <x:c r="N8" s="86"/>
      <x:c r="O8" s="86"/>
      <x:c r="P8" s="10" t="str">
        <x:v>冒烟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</x:v>
      </x:c>
      <x:c r="V8" s="10" t="str">
        <x:f>IF(D8="否","不适用",IF(D8&lt;&gt;"是","未纳入本批",IF(OR(F8&lt;&gt;"已确认"),"待确认","已确认")))</x:f>
        <x:v>待确认</x:v>
      </x:c>
      <x:c r="W8" s="10" t="str">
        <x:v>本轮修正</x:v>
      </x:c>
      <x:c r="X8" s="10" t="str">
        <x:v>设计复核后保留；按交付范围及批准现行基线执行。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V9&lt;&gt;"已确认","依据待确认",IF('本批提测'!$B$8="","版本待填写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冒烟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V10&lt;&gt;"已确认","依据待确认",IF('本批提测'!$B$8="","版本待填写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冒烟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</x:row>
    <x:row r="11" ht="63" customHeight="1">
      <x:c r="A11" s="10" t="str">
        <x:v>SM06</x:v>
      </x:c>
      <x:c r="B11" s="10" t="str">
        <x:v>业务字典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V11&lt;&gt;"已确认","依据待确认",IF('本批提测'!$B$8="","版本待填写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</x:f>
        <x:v>未纳入本批</x:v>
      </x:c>
      <x:c r="J11" s="10" t="str">
        <x:v>前置：准备已知存在的选项及不会命中的查询词。
操作：查询已知选项，再查询无结果条件。</x:v>
      </x:c>
      <x:c r="K11" s="10" t="str">
        <x:v>已有数据正确；无结果显示空态，未残留上一轮数据。</x:v>
      </x:c>
      <x:c r="L11" s="10" t="str">
        <x:v>REQ §6.5；空态检查为建议补充</x:v>
      </x:c>
      <x:c r="M11" s="86"/>
      <x:c r="N11" s="86"/>
      <x:c r="O11" s="86"/>
      <x:c r="P11" s="10" t="str">
        <x:v>冒烟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</x:v>
      </x:c>
      <x:c r="V11" s="10" t="str">
        <x:f>IF(D11="否","不适用",IF(D11&lt;&gt;"是","未纳入本批",IF(OR(F11&lt;&gt;"已确认"),"待确认","已确认")))</x:f>
        <x:v>未纳入本批</x:v>
      </x:c>
      <x:c r="W11" s="10" t="str">
        <x:v>保留／按批次选取</x:v>
      </x:c>
      <x:c r="X11" s="10" t="str">
        <x:v>设计复核后保留；按交付范围及批准现行基线执行。</x:v>
      </x:c>
    </x:row>
    <x:row r="12" ht="63" customHeight="1">
      <x:c r="A12" s="10" t="str">
        <x:v>SM07</x:v>
      </x:c>
      <x:c r="B12" s="10" t="str">
        <x:v>业务字典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V12&lt;&gt;"已确认","依据待确认",IF('本批提测'!$B$8="","版本待填写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</x:f>
        <x:v>未纳入本批</x:v>
      </x:c>
      <x:c r="J12" s="10" t="str">
        <x:v>前置：本批先确认字典搜索字段、触发方式及默认条件。
操作：输入支持的查询条件，执行查询后重置。</x:v>
      </x:c>
      <x:c r="K12" s="10" t="str">
        <x:v>结果匹配规则；重置恢复默认；列表有刷新反馈。</x:v>
      </x:c>
      <x:c r="L12" s="10" t="str">
        <x:v>REVIEW 第9项；航司搜索规则待确认</x:v>
      </x:c>
      <x:c r="M12" s="86"/>
      <x:c r="N12" s="86"/>
      <x:c r="O12" s="86"/>
      <x:c r="P12" s="10" t="str">
        <x:v>冒烟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</x:v>
      </x:c>
      <x:c r="V12" s="10" t="str">
        <x:f>IF(D12="否","不适用",IF(D12&lt;&gt;"是","未纳入本批",IF(OR(F12&lt;&gt;"已确认"),"待确认","已确认")))</x:f>
        <x:v>未纳入本批</x:v>
      </x:c>
      <x:c r="W12" s="10" t="str">
        <x:v>保留／按批次选取</x:v>
      </x:c>
      <x:c r="X12" s="10" t="str">
        <x:v>设计复核后保留；按交付范围及批准现行基线执行。</x:v>
      </x:c>
    </x:row>
    <x:row r="13" ht="63" customHeight="1">
      <x:c r="A13" s="10" t="str">
        <x:v>SM08</x:v>
      </x:c>
      <x:c r="B13" s="10" t="str">
        <x:v>业务字典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V13&lt;&gt;"已确认","依据待确认",IF('本批提测'!$B$8="","版本待填写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</x:f>
        <x:v>未纳入本批</x:v>
      </x:c>
      <x:c r="J13" s="10" t="str">
        <x:v>前置：准备超过一页的数据；本批确认是否提供分页。
操作：翻页、调整每页条数并检查总数。</x:v>
      </x:c>
      <x:c r="K13" s="10" t="str">
        <x:v>页码、条数、总数和数据一致；翻页不串分类。</x:v>
      </x:c>
      <x:c r="L13" s="10" t="str">
        <x:v>REVIEW 第11项；仅适用有分页页面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</x:v>
      </x:c>
      <x:c r="V13" s="10" t="str">
        <x:f>IF(D13="否","不适用",IF(D13&lt;&gt;"是","未纳入本批",IF(OR(F13&lt;&gt;"已确认"),"待确认","已确认")))</x:f>
        <x:v>未纳入本批</x:v>
      </x:c>
      <x:c r="W13" s="10" t="str">
        <x:v>保留／按批次选取</x:v>
      </x:c>
      <x:c r="X13" s="10" t="str">
        <x:v>设计复核后保留；按交付范围及批准现行基线执行。</x:v>
      </x:c>
    </x:row>
    <x:row r="14" ht="63" customHeight="1">
      <x:c r="A14" s="10" t="str">
        <x:v>SM09</x:v>
      </x:c>
      <x:c r="B14" s="10" t="str">
        <x:v>业务字典</x:v>
      </x:c>
      <x:c r="C14" s="10" t="str">
        <x:v>普通字典必填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V14&lt;&gt;"已确认","依据待确认",IF('本批提测'!$B$8="","版本待填写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</x:f>
        <x:v>未纳入本批</x:v>
      </x:c>
      <x:c r="J14" s="10" t="str">
        <x:v>前置：本批交付普通字典；准备专用测试选项。
操作：不填选项值保存，再填写有效值保存。</x:v>
      </x:c>
      <x:c r="K14" s="10" t="str">
        <x:v>选项值必填；提示对应字段；有效数据可保存。</x:v>
      </x:c>
      <x:c r="L14" s="10" t="str">
        <x:v>REQ §6.5 普通字典</x:v>
      </x:c>
      <x:c r="M14" s="86"/>
      <x:c r="N14" s="86"/>
      <x:c r="O14" s="86"/>
      <x:c r="P14" s="10" t="str">
        <x:v>冒烟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</x:v>
      </x:c>
      <x:c r="V14" s="10" t="str">
        <x:f>IF(D14="否","不适用",IF(D14&lt;&gt;"是","未纳入本批",IF(OR(F14&lt;&gt;"已确认"),"待确认","已确认")))</x:f>
        <x:v>未纳入本批</x:v>
      </x:c>
      <x:c r="W14" s="10" t="str">
        <x:v>保留／按批次选取</x:v>
      </x:c>
      <x:c r="X14" s="10" t="str">
        <x:v>设计复核后保留；按交付范围及批准现行基线执行。</x:v>
      </x:c>
    </x:row>
    <x:row r="15" ht="63" customHeight="1">
      <x:c r="A15" s="10" t="str">
        <x:v>SM10</x:v>
      </x:c>
      <x:c r="B15" s="10" t="str">
        <x:v>业务字典</x:v>
      </x:c>
      <x:c r="C15" s="10" t="str">
        <x:v>带编码字典必填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V15&lt;&gt;"已确认","依据待确认",IF('本批提测'!$B$8="","版本待填写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</x:f>
        <x:v>未纳入本批</x:v>
      </x:c>
      <x:c r="J15" s="10" t="str">
        <x:v>前置：本批确认航司是否采用带编码字典，以及编码格式。
操作：分别缺少编码、缺少显示名称，再完整填写保存。</x:v>
      </x:c>
      <x:c r="K15" s="10" t="str">
        <x:v>编码及显示名称均必填；格式按本批确认规则校验。</x:v>
      </x:c>
      <x:c r="L15" s="10" t="str">
        <x:v>REQ §6.5；航司类型与格式待确认</x:v>
      </x:c>
      <x:c r="M15" s="86"/>
      <x:c r="N15" s="86"/>
      <x:c r="O15" s="86"/>
      <x:c r="P15" s="10" t="str">
        <x:v>冒烟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</x:v>
      </x:c>
      <x:c r="V15" s="10" t="str">
        <x:f>IF(D15="否","不适用",IF(D15&lt;&gt;"是","未纳入本批",IF(OR(F15&lt;&gt;"已确认",'本批提测'!$H$45&lt;&gt;"已确认",AND('本批提测'!$H$40&lt;&gt;"已确认",'本批提测'!$H$40&lt;&gt;"已记录后置")),"待确认","已确认")))</x:f>
        <x:v>未纳入本批</x:v>
      </x:c>
      <x:c r="W15" s="10" t="str">
        <x:v>保留／按批次选取</x:v>
      </x:c>
      <x:c r="X15" s="10" t="str">
        <x:v>设计复核后保留；关联DEC06、DEC01确认后方可执行判定。</x:v>
      </x:c>
    </x:row>
    <x:row r="16" ht="63" customHeight="1">
      <x:c r="A16" s="10" t="str">
        <x:v>SM11</x:v>
      </x:c>
      <x:c r="B16" s="10" t="str">
        <x:v>业务字典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V16&lt;&gt;"已确认","依据待确认",IF('本批提测'!$B$8="","版本待填写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</x:f>
        <x:v>未纳入本批</x:v>
      </x:c>
      <x:c r="J16" s="10" t="str">
        <x:v>前置：准备符合确认规则的专用测试数据。
操作：新增并保存，重新查询，再刷新页面。</x:v>
      </x:c>
      <x:c r="K16" s="10" t="str">
        <x:v>新增项可查到且值正确；刷新后仍存在。</x:v>
      </x:c>
      <x:c r="L16" s="10" t="str">
        <x:v>REQ §6.5；增加持久化读回检查</x:v>
      </x:c>
      <x:c r="M16" s="86"/>
      <x:c r="N16" s="86"/>
      <x:c r="O16" s="86"/>
      <x:c r="P16" s="10" t="str">
        <x:v>冒烟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</x:v>
      </x:c>
      <x:c r="V16" s="10" t="str">
        <x:f>IF(D16="否","不适用",IF(D16&lt;&gt;"是","未纳入本批",IF(OR(F16&lt;&gt;"已确认"),"待确认","已确认")))</x:f>
        <x:v>未纳入本批</x:v>
      </x:c>
      <x:c r="W16" s="10" t="str">
        <x:v>保留／按批次选取</x:v>
      </x:c>
      <x:c r="X16" s="10" t="str">
        <x:v>设计复核后保留；按交付范围及批准现行基线执行。</x:v>
      </x:c>
    </x:row>
    <x:row r="17" ht="63" customHeight="1">
      <x:c r="A17" s="10" t="str">
        <x:v>SM12</x:v>
      </x:c>
      <x:c r="B17" s="10" t="str">
        <x:v>业务字典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V17&lt;&gt;"已确认","依据待确认",IF('本批提测'!$B$8="","版本待填写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</x:f>
        <x:v>未纳入本批</x:v>
      </x:c>
      <x:c r="J17" s="10" t="str">
        <x:v>前置：使用专用测试项，记录修改前内容。
操作：打开编辑检查回显；修改后保存，重新查询。</x:v>
      </x:c>
      <x:c r="K17" s="10" t="str">
        <x:v>回显完整；保存后仅目标项发生预期变更。</x:v>
      </x:c>
      <x:c r="L17" s="10" t="str">
        <x:v>REQ §6.5</x:v>
      </x:c>
      <x:c r="M17" s="86"/>
      <x:c r="N17" s="86"/>
      <x:c r="O17" s="86"/>
      <x:c r="P17" s="10" t="str">
        <x:v>冒烟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</x:v>
      </x:c>
      <x:c r="V17" s="10" t="str">
        <x:f>IF(D17="否","不适用",IF(D17&lt;&gt;"是","未纳入本批",IF(OR(F17&lt;&gt;"已确认"),"待确认","已确认")))</x:f>
        <x:v>未纳入本批</x:v>
      </x:c>
      <x:c r="W17" s="10" t="str">
        <x:v>保留／按批次选取</x:v>
      </x:c>
      <x:c r="X17" s="10" t="str">
        <x:v>设计复核后保留；按交付范围及批准现行基线执行。</x:v>
      </x:c>
    </x:row>
    <x:row r="18" ht="63" customHeight="1">
      <x:c r="A18" s="10" t="str">
        <x:v>SM13</x:v>
      </x:c>
      <x:c r="B18" s="10" t="str">
        <x:v>业务字典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V18&lt;&gt;"已确认","依据待确认",IF('本批提测'!$B$8="","版本待填写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</x:f>
        <x:v>未纳入本批</x:v>
      </x:c>
      <x:c r="J18" s="10" t="str">
        <x:v>前置：使用专用测试项，记录原值。
操作：编辑内容后取消或关闭，再重新打开。</x:v>
      </x:c>
      <x:c r="K18" s="10" t="str">
        <x:v>取消操作未保存修改；原值保持。</x:v>
      </x:c>
      <x:c r="L18" s="10" t="str">
        <x:v>建议补充；关闭和未保存提示规则待确认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</x:v>
      </x:c>
      <x:c r="V18" s="10" t="str">
        <x:f>IF(D18="否","不适用",IF(D18&lt;&gt;"是","未纳入本批",IF(OR(F18&lt;&gt;"已确认"),"待确认","已确认")))</x:f>
        <x:v>未纳入本批</x:v>
      </x:c>
      <x:c r="W18" s="10" t="str">
        <x:v>保留／按批次选取</x:v>
      </x:c>
      <x:c r="X18" s="10" t="str">
        <x:v>设计复核后保留；按交付范围及批准现行基线执行。</x:v>
      </x:c>
    </x:row>
    <x:row r="19" ht="63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V19&lt;&gt;"已确认","依据待确认",IF('本批提测'!$B$8="","版本待填写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</x:f>
        <x:v>未纳入本批</x:v>
      </x:c>
      <x:c r="J19" s="10" t="str">
        <x:v>前置：使用明确可清理的专用测试项。
操作：点击删除，在确认提示中取消，重新查询。</x:v>
      </x:c>
      <x:c r="K19" s="10" t="str">
        <x:v>出现确认提示；取消后选项仍存在。</x:v>
      </x:c>
      <x:c r="L19" s="10" t="str">
        <x:v>REQ §6.5</x:v>
      </x:c>
      <x:c r="M19" s="86"/>
      <x:c r="N19" s="86"/>
      <x:c r="O19" s="86"/>
      <x:c r="P19" s="10" t="str">
        <x:v>冒烟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</x:v>
      </x:c>
      <x:c r="V19" s="10" t="str">
        <x:f>IF(D19="否","不适用",IF(D19&lt;&gt;"是","未纳入本批",IF(OR(F19&lt;&gt;"已确认"),"待确认","已确认")))</x:f>
        <x:v>未纳入本批</x:v>
      </x:c>
      <x:c r="W19" s="10" t="str">
        <x:v>保留／按批次选取</x:v>
      </x:c>
      <x:c r="X19" s="10" t="str">
        <x:v>设计复核后保留；按交付范围及批准现行基线执行。</x:v>
      </x:c>
    </x:row>
    <x:row r="20" ht="63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V20&lt;&gt;"已确认","依据待确认",IF('本批提测'!$B$8="","版本待填写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</x:f>
        <x:v>未纳入本批</x:v>
      </x:c>
      <x:c r="J20" s="10" t="str">
        <x:v>前置：使用可清理测试项及引用它的历史测试单据。
操作：确认删除，再检查新建、编辑表单的选项及历史单据。</x:v>
      </x:c>
      <x:c r="K20" s="10" t="str">
        <x:v>选项不再出现在新建或编辑表单；历史单据不受影响。</x:v>
      </x:c>
      <x:c r="L20" s="10" t="str">
        <x:v>REQ §6.5；只操作专用测试数据</x:v>
      </x:c>
      <x:c r="M20" s="86"/>
      <x:c r="N20" s="86"/>
      <x:c r="O20" s="86"/>
      <x:c r="P20" s="10" t="str">
        <x:v>冒烟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</x:v>
      </x:c>
      <x:c r="V20" s="10" t="str">
        <x:f>IF(D20="否","不适用",IF(D20&lt;&gt;"是","未纳入本批",IF(OR(F20&lt;&gt;"已确认"),"待确认","已确认")))</x:f>
        <x:v>未纳入本批</x:v>
      </x:c>
      <x:c r="W20" s="10" t="str">
        <x:v>保留／按批次选取</x:v>
      </x:c>
      <x:c r="X20" s="10" t="str">
        <x:v>设计复核后保留；按交付范围及批准现行基线执行。</x:v>
      </x:c>
    </x:row>
    <x:row r="21" ht="63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V21&lt;&gt;"已确认","依据待确认",IF('本批提测'!$B$8="","版本待填写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</x:f>
        <x:v>未纳入本批</x:v>
      </x:c>
      <x:c r="J21" s="10" t="str">
        <x:v>前置：产品先确认唯一性范围及重复处理方式。
操作：在约定范围内提交重复编码，并核查结果。</x:v>
      </x:c>
      <x:c r="K21" s="10" t="str">
        <x:v>按照已确认规则拒绝、提示或处理，不自行假定编码唯一。</x:v>
      </x:c>
      <x:c r="L21" s="10" t="str">
        <x:v>建议补充；关联 DEC06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</x:v>
      </x:c>
      <x:c r="V21" s="10" t="str">
        <x:f>IF(D21="否","不适用",IF(D21&lt;&gt;"是","未纳入本批",IF(OR(F21&lt;&gt;"已确认",'本批提测'!$H$45&lt;&gt;"已确认",AND('本批提测'!$H$40&lt;&gt;"已确认",'本批提测'!$H$40&lt;&gt;"已记录后置")),"待确认","已确认")))</x:f>
        <x:v>未纳入本批</x:v>
      </x:c>
      <x:c r="W21" s="10" t="str">
        <x:v>保留／按批次选取</x:v>
      </x:c>
      <x:c r="X21" s="10" t="str">
        <x:v>设计复核后保留；关联DEC06、DEC01确认后方可执行判定。</x:v>
      </x:c>
    </x:row>
    <x:row r="22" ht="63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V22&lt;&gt;"已确认","依据待确认",IF('本批提测'!$B$8="","版本待填写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</x:f>
        <x:v>未纳入本批</x:v>
      </x:c>
      <x:c r="J22" s="10" t="str">
        <x:v>前置：本批明确是否交付分类新增、改名和删除。
操作：按交付范围检查分类操作及对选项、业务引用的影响。</x:v>
      </x:c>
      <x:c r="K22" s="10" t="str">
        <x:v>已交付操作符合确认方案；未交付内容明确列出。</x:v>
      </x:c>
      <x:c r="L22" s="10" t="str">
        <x:v>REQ 评论提出范围缺口；关联 DEC07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</x:v>
      </x:c>
      <x:c r="V22" s="10" t="str">
        <x:f>IF(D22="否","不适用",IF(D22&lt;&gt;"是","未纳入本批",IF(OR(F22&lt;&gt;"已确认",'本批提测'!$H$46&lt;&gt;"已确认",AND('本批提测'!$H$40&lt;&gt;"已确认",'本批提测'!$H$40&lt;&gt;"已记录后置")),"待确认","已确认")))</x:f>
        <x:v>未纳入本批</x:v>
      </x:c>
      <x:c r="W22" s="10" t="str">
        <x:v>保留／按批次选取</x:v>
      </x:c>
      <x:c r="X22" s="10" t="str">
        <x:v>设计复核后保留；关联DEC07、DEC01确认后方可执行判定。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V23&lt;&gt;"已确认","依据待确认",IF('本批提测'!$B$8="","版本待填写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冒烟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</x:row>
    <x:row r="24" ht="157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V24&lt;&gt;"已确认","依据待确认",IF('本批提测'!$B$8="","版本待填写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</x:f>
        <x:v>未纳入本批</x:v>
      </x:c>
      <x:c r="J24" s="10" t="str">
        <x:v>前置：专用地点、已有地点ID；其他字段合法。
操作：分别缺ID／类型／名称／国家ISO2；ISO2输入1、2、3位；提交重复ID；新增V1，编辑名称及邮编保存后读回。</x:v>
      </x:c>
      <x:c r="K24" s="10" t="str">
        <x:v>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</x:v>
      </x:c>
      <x:c r="V24" s="10" t="str">
        <x:f>IF(D24="否","不适用",IF(D24&lt;&gt;"是","未纳入本批",IF(OR(F24&lt;&gt;"已确认"),"待确认","已确认")))</x:f>
        <x:v>未纳入本批</x:v>
      </x:c>
      <x:c r="W24" s="10" t="str">
        <x:v>保留／按批次选取</x:v>
      </x:c>
      <x:c r="X24" s="10" t="str">
        <x:v>设计复核后保留；按交付范围及批准现行基线执行。</x:v>
      </x:c>
    </x:row>
    <x:row r="25" ht="63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V25&lt;&gt;"已确认","依据待确认",IF('本批提测'!$B$8="","版本待填写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</x:f>
        <x:v>未纳入本批</x:v>
      </x:c>
      <x:c r="J25" s="10" t="str">
        <x:v>前置：准备精确邮编、前缀和区间，如文档示例。
操作：新增或编辑地点，逐行填写邮编条件并保存读回。</x:v>
      </x:c>
      <x:c r="K25" s="10" t="str">
        <x:v>支持约定的三类表达；邮编随地点维护和生成版本，不成为独立地点类型。</x:v>
      </x:c>
      <x:c r="L25" s="10" t="str">
        <x:v>REQ §6.5 地点与邮编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</x:v>
      </x:c>
      <x:c r="V25" s="10" t="str">
        <x:f>IF(D25="否","不适用",IF(D25&lt;&gt;"是","未纳入本批",IF(OR(F25&lt;&gt;"已确认"),"待确认","已确认")))</x:f>
        <x:v>未纳入本批</x:v>
      </x:c>
      <x:c r="W25" s="10" t="str">
        <x:v>保留／按批次选取</x:v>
      </x:c>
      <x:c r="X25" s="10" t="str">
        <x:v>设计复核后保留；按交付范围及批准现行基线执行。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V26&lt;&gt;"已确认","依据待确认",IF('本批提测'!$B$8="","版本待填写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冒烟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IF(D26="否","不适用",IF(D26&lt;&gt;"是","未纳入本批",IF(OR(F26&lt;&gt;"已确认",'本批提测'!$H$52&lt;&gt;"已确认",AND('本批提测'!$H$40&lt;&gt;"已确认",'本批提测'!$H$40&lt;&gt;"已记录后置")),"待确认","已确认")))</x:f>
        <x:v>未纳入本批</x:v>
      </x:c>
      <x:c r="W26" s="10" t="str">
        <x:v>保留／按批次选取</x:v>
      </x:c>
      <x:c r="X26" s="10" t="str">
        <x:v>设计复核后保留；关联DEC13、DEC01确认后方可执行判定。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V27&lt;&gt;"已确认","依据待确认",IF('本批提测'!$B$8="","版本待填写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冒烟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</x:row>
    <x:row r="28" ht="70.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V28&lt;&gt;"已确认","依据待确认",IF('本批提测'!$B$8="","版本待填写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冒烟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IF(D28="否","不适用",IF(D28&lt;&gt;"是","未纳入本批",IF(OR(F28&lt;&gt;"已确认",'本批提测'!$H$58&lt;&gt;"已确认",AND('本批提测'!$H$40&lt;&gt;"已确认",'本批提测'!$H$40&lt;&gt;"已记录后置")),"待确认","已确认")))</x:f>
        <x:v>未纳入本批</x:v>
      </x:c>
      <x:c r="W28" s="10" t="str">
        <x:v>保留／按批次选取</x:v>
      </x:c>
      <x:c r="X28" s="10" t="str">
        <x:v>设计复核后保留；关联DEC19、DEC01确认后方可执行判定。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V29&lt;&gt;"已确认","依据待确认",IF('本批提测'!$B$8="","版本待填写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冒烟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IF(D29="否","不适用",IF(D29&lt;&gt;"是","未纳入本批",IF(OR(F29&lt;&gt;"已确认",'本批提测'!$H$50&lt;&gt;"已确认",AND('本批提测'!$H$40&lt;&gt;"已确认",'本批提测'!$H$40&lt;&gt;"已记录后置")),"待确认","已确认")))</x:f>
        <x:v>未纳入本批</x:v>
      </x:c>
      <x:c r="W29" s="10" t="str">
        <x:v>保留／按批次选取</x:v>
      </x:c>
      <x:c r="X29" s="10" t="str">
        <x:v>设计复核后保留；关联DEC11、DEC01确认后方可执行判定。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V30&lt;&gt;"已确认","依据待确认",IF('本批提测'!$B$8="","版本待填写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冒烟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IF(D30="否","不适用",IF(D30&lt;&gt;"是","未纳入本批",IF(OR(F30&lt;&gt;"已确认",'本批提测'!$H$58&lt;&gt;"已确认",AND('本批提测'!$H$40&lt;&gt;"已确认",'本批提测'!$H$40&lt;&gt;"已记录后置")),"待确认","已确认")))</x:f>
        <x:v>未纳入本批</x:v>
      </x:c>
      <x:c r="W30" s="10" t="str">
        <x:v>保留／按批次选取</x:v>
      </x:c>
      <x:c r="X30" s="10" t="str">
        <x:v>设计复核后保留；关联DEC19、DEC01确认后方可执行判定。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V31&lt;&gt;"已确认","依据待确认",IF('本批提测'!$B$8="","版本待填写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冒烟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IF(D31="否","不适用",IF(D31&lt;&gt;"是","未纳入本批",IF(OR(F31&lt;&gt;"已确认",'本批提测'!$H$60&lt;&gt;"已确认",AND('本批提测'!$H$40&lt;&gt;"已确认",'本批提测'!$H$40&lt;&gt;"已记录后置")),"待确认","已确认")))</x:f>
        <x:v>未纳入本批</x:v>
      </x:c>
      <x:c r="W31" s="10" t="str">
        <x:v>保留／按批次选取</x:v>
      </x:c>
      <x:c r="X31" s="10" t="str">
        <x:v>设计复核后保留；关联DEC21、DEC01确认后方可执行判定。</x:v>
      </x:c>
    </x:row>
    <x:row r="32" ht="70.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V32&lt;&gt;"已确认","依据待确认",IF('本批提测'!$B$8="","版本待填写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冒烟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F32&lt;&gt;"已确认",'本批提测'!$H$44&lt;&gt;"已确认",'本批提测'!$H$56&lt;&gt;"已确认",AND('本批提测'!$H$40&lt;&gt;"已确认",'本批提测'!$H$40&lt;&gt;"已记录后置")),"待确认","已确认")))</x:f>
        <x:v>未纳入本批</x:v>
      </x:c>
      <x:c r="W32" s="10" t="str">
        <x:v>保留／按批次选取</x:v>
      </x:c>
      <x:c r="X32" s="10" t="str">
        <x:v>设计复核后保留；关联DEC05、DEC17、DEC01确认后方可执行判定。</x:v>
      </x:c>
    </x:row>
    <x:row r="33" ht="84.7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V33&lt;&gt;"已确认","依据待确认",IF('本批提测'!$B$8="","版本待填写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IF(D33="否","不适用",IF(D33&lt;&gt;"是","未纳入本批",IF(OR(F33&lt;&gt;"已确认",'本批提测'!$H$47&lt;&gt;"已确认",AND('本批提测'!$H$40&lt;&gt;"已确认",'本批提测'!$H$40&lt;&gt;"已记录后置")),"待确认","已确认")))</x:f>
        <x:v>未纳入本批</x:v>
      </x:c>
      <x:c r="W33" s="10" t="str">
        <x:v>保留／按批次选取</x:v>
      </x:c>
      <x:c r="X33" s="10" t="str">
        <x:v>设计复核后保留；关联DEC08、DEC01确认后方可执行判定。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V34&lt;&gt;"已确认","依据待确认",IF('本批提测'!$B$8="","版本待填写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IF(D34="否","不适用",IF(D34&lt;&gt;"是","未纳入本批",IF(OR(F34&lt;&gt;"已确认",'本批提测'!$H$54&lt;&gt;"已确认",AND('本批提测'!$H$40&lt;&gt;"已确认",'本批提测'!$H$40&lt;&gt;"已记录后置")),"待确认","已确认")))</x:f>
        <x:v>未纳入本批</x:v>
      </x:c>
      <x:c r="W34" s="10" t="str">
        <x:v>保留／按批次选取</x:v>
      </x:c>
      <x:c r="X34" s="10" t="str">
        <x:v>设计复核后保留；关联DEC15、DEC01确认后方可执行判定。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V35&lt;&gt;"已确认","依据待确认",IF('本批提测'!$B$8="","版本待填写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冒烟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IF(D35="否","不适用",IF(D35&lt;&gt;"是","未纳入本批",IF(OR(F35&lt;&gt;"已确认",'本批提测'!$H$52&lt;&gt;"已确认",AND('本批提测'!$H$40&lt;&gt;"已确认",'本批提测'!$H$40&lt;&gt;"已记录后置")),"待确认","已确认")))</x:f>
        <x:v>未纳入本批</x:v>
      </x:c>
      <x:c r="W35" s="10" t="str">
        <x:v>保留／按批次选取</x:v>
      </x:c>
      <x:c r="X35" s="10" t="str">
        <x:v>设计复核后保留；关联DEC13、DEC01确认后方可执行判定。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V36&lt;&gt;"已确认","依据待确认",IF('本批提测'!$B$8="","版本待填写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冒烟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V37&lt;&gt;"已确认","依据待确认",IF('本批提测'!$B$8="","版本待填写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IF(D37="否","不适用",IF(D37&lt;&gt;"是","未纳入本批",IF(OR(F37&lt;&gt;"已确认",'本批提测'!$H$53&lt;&gt;"已确认",AND('本批提测'!$H$40&lt;&gt;"已确认",'本批提测'!$H$40&lt;&gt;"已记录后置")),"待确认","已确认")))</x:f>
        <x:v>未纳入本批</x:v>
      </x:c>
      <x:c r="W37" s="10" t="str">
        <x:v>保留／按批次选取</x:v>
      </x:c>
      <x:c r="X37" s="10" t="str">
        <x:v>设计复核后保留；关联DEC14、DEC01确认后方可执行判定。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V38&lt;&gt;"已确认","依据待确认",IF('本批提测'!$B$8="","版本待填写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V39&lt;&gt;"已确认","依据待确认",IF('本批提测'!$B$8="","版本待填写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IF(D39="否","不适用",IF(D39&lt;&gt;"是","未纳入本批",IF(OR(F39&lt;&gt;"已确认",'本批提测'!$H$53&lt;&gt;"已确认",AND('本批提测'!$H$40&lt;&gt;"已确认",'本批提测'!$H$40&lt;&gt;"已记录后置")),"待确认","已确认")))</x:f>
        <x:v>未纳入本批</x:v>
      </x:c>
      <x:c r="W39" s="10" t="str">
        <x:v>保留／按批次选取</x:v>
      </x:c>
      <x:c r="X39" s="10" t="str">
        <x:v>设计复核后保留；关联DEC14、DEC01确认后方可执行判定。</x:v>
      </x:c>
    </x:row>
    <x:row r="40" ht="70.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V40&lt;&gt;"已确认","依据待确认",IF('本批提测'!$B$8="","版本待填写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IF(D40="否","不适用",IF(D40&lt;&gt;"是","未纳入本批",IF(OR(F40&lt;&gt;"已确认",'本批提测'!$H$53&lt;&gt;"已确认",AND('本批提测'!$H$40&lt;&gt;"已确认",'本批提测'!$H$40&lt;&gt;"已记录后置")),"待确认","已确认")))</x:f>
        <x:v>未纳入本批</x:v>
      </x:c>
      <x:c r="W40" s="10" t="str">
        <x:v>保留／按批次选取</x:v>
      </x:c>
      <x:c r="X40" s="10" t="str">
        <x:v>设计复核后保留；关联DEC14、DEC01确认后方可执行判定。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V41&lt;&gt;"已确认","依据待确认",IF('本批提测'!$B$8="","版本待填写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IF(D41="否","不适用",IF(D41&lt;&gt;"是","未纳入本批",IF(OR(F41&lt;&gt;"已确认",'本批提测'!$H$53&lt;&gt;"已确认",AND('本批提测'!$H$40&lt;&gt;"已确认",'本批提测'!$H$40&lt;&gt;"已记录后置")),"待确认","已确认")))</x:f>
        <x:v>未纳入本批</x:v>
      </x:c>
      <x:c r="W41" s="10" t="str">
        <x:v>保留／按批次选取</x:v>
      </x:c>
      <x:c r="X41" s="10" t="str">
        <x:v>设计复核后保留；关联DEC14、DEC01确认后方可执行判定。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V42&lt;&gt;"已确认","依据待确认",IF('本批提测'!$B$8="","版本待填写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IF(D42="否","不适用",IF(D42&lt;&gt;"是","未纳入本批",IF(OR(F42&lt;&gt;"已确认",'本批提测'!$H$53&lt;&gt;"已确认",AND('本批提测'!$H$40&lt;&gt;"已确认",'本批提测'!$H$40&lt;&gt;"已记录后置")),"待确认","已确认")))</x:f>
        <x:v>未纳入本批</x:v>
      </x:c>
      <x:c r="W42" s="10" t="str">
        <x:v>保留／按批次选取</x:v>
      </x:c>
      <x:c r="X42" s="10" t="str">
        <x:v>设计复核后保留；关联DEC14、DEC01确认后方可执行判定。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V43&lt;&gt;"已确认","依据待确认",IF('本批提测'!$B$8="","版本待填写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IF(D43="否","不适用",IF(D43&lt;&gt;"是","未纳入本批",IF(OR(F43&lt;&gt;"已确认",'本批提测'!$H$53&lt;&gt;"已确认",AND('本批提测'!$H$40&lt;&gt;"已确认",'本批提测'!$H$40&lt;&gt;"已记录后置")),"待确认","已确认")))</x:f>
        <x:v>未纳入本批</x:v>
      </x:c>
      <x:c r="W43" s="10" t="str">
        <x:v>保留／按批次选取</x:v>
      </x:c>
      <x:c r="X43" s="10" t="str">
        <x:v>设计复核后保留；关联DEC14、DEC01确认后方可执行判定。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V44&lt;&gt;"已确认","依据待确认",IF('本批提测'!$B$8="","版本待填写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IF(D44="否","不适用",IF(D44&lt;&gt;"是","未纳入本批",IF(OR(F44&lt;&gt;"已确认",'本批提测'!$H$52&lt;&gt;"已确认",AND('本批提测'!$H$40&lt;&gt;"已确认",'本批提测'!$H$40&lt;&gt;"已记录后置")),"待确认","已确认")))</x:f>
        <x:v>未纳入本批</x:v>
      </x:c>
      <x:c r="W44" s="10" t="str">
        <x:v>本轮修正</x:v>
      </x:c>
      <x:c r="X44" s="10" t="str">
        <x:v>边界/批量/公式矩阵调整为专项回归；冒烟正向闭环由本模块主链路覆盖。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V45&lt;&gt;"已确认","依据待确认",IF('本批提测'!$B$8="","版本待填写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冒烟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IF(D45="否","不适用",IF(D45&lt;&gt;"是","未纳入本批",IF(OR(F45&lt;&gt;"已确认",'本批提测'!$H$52&lt;&gt;"已确认",AND('本批提测'!$H$40&lt;&gt;"已确认",'本批提测'!$H$40&lt;&gt;"已记录后置")),"待确认","已确认")))</x:f>
        <x:v>未纳入本批</x:v>
      </x:c>
      <x:c r="W45" s="10" t="str">
        <x:v>保留／按批次选取</x:v>
      </x:c>
      <x:c r="X45" s="10" t="str">
        <x:v>设计复核后保留；关联DEC13、DEC01确认后方可执行判定。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V46&lt;&gt;"已确认","依据待确认",IF('本批提测'!$B$8="","版本待填写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IF(D46="否","不适用",IF(D46&lt;&gt;"是","未纳入本批",IF(OR(F46&lt;&gt;"已确认",'本批提测'!$H$58&lt;&gt;"已确认",AND('本批提测'!$H$40&lt;&gt;"已确认",'本批提测'!$H$40&lt;&gt;"已记录后置")),"待确认","已确认")))</x:f>
        <x:v>未纳入本批</x:v>
      </x:c>
      <x:c r="W46" s="10" t="str">
        <x:v>保留／按批次选取</x:v>
      </x:c>
      <x:c r="X46" s="10" t="str">
        <x:v>设计复核后保留；关联DEC19、DEC01确认后方可执行判定。</x:v>
      </x:c>
    </x:row>
    <x:row r="47" ht="70.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V47&lt;&gt;"已确认","依据待确认",IF('本批提测'!$B$8="","版本待填写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IF(D47="否","不适用",IF(D47&lt;&gt;"是","未纳入本批",IF(OR(F47&lt;&gt;"已确认",'本批提测'!$H$51&lt;&gt;"已确认",AND('本批提测'!$H$40&lt;&gt;"已确认",'本批提测'!$H$40&lt;&gt;"已记录后置")),"待确认","已确认")))</x:f>
        <x:v>未纳入本批</x:v>
      </x:c>
      <x:c r="W47" s="10" t="str">
        <x:v>保留／按批次选取</x:v>
      </x:c>
      <x:c r="X47" s="10" t="str">
        <x:v>设计复核后保留；关联DEC12、DEC01确认后方可执行判定。</x:v>
      </x:c>
    </x:row>
    <x:row r="48" ht="157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V48&lt;&gt;"已确认","依据待确认",IF('本批提测'!$B$8="","版本待填写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</x:f>
        <x:v>未纳入本批</x:v>
      </x:c>
      <x:c r="J48" s="10" t="str">
        <x:v>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</x:v>
      </x:c>
      <x:c r="V48" s="10" t="str">
        <x:f>IF(D48="否","不适用",IF(D48&lt;&gt;"是","未纳入本批",IF(OR(F48&lt;&gt;"已确认",'本批提测'!$H$48&lt;&gt;"已确认",AND('本批提测'!$H$40&lt;&gt;"已确认",'本批提测'!$H$40&lt;&gt;"已记录后置")),"待确认","已确认")))</x:f>
        <x:v>未纳入本批</x:v>
      </x:c>
      <x:c r="W48" s="10" t="str">
        <x:v>保留／按批次选取</x:v>
      </x:c>
      <x:c r="X48" s="10" t="str">
        <x:v>设计复核后保留；关联DEC09、DEC01确认后方可执行判定。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V49&lt;&gt;"已确认","依据待确认",IF('本批提测'!$B$8="","版本待填写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V50&lt;&gt;"已确认","依据待确认",IF('本批提测'!$B$8="","版本待填写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V51&lt;&gt;"已确认","依据待确认",IF('本批提测'!$B$8="","版本待填写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冒烟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V52&lt;&gt;"已确认","依据待确认",IF('本批提测'!$B$8="","版本待填写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IF(D52="否","不适用",IF(D52&lt;&gt;"是","未纳入本批",IF(OR(F52&lt;&gt;"已确认",'本批提测'!$H$58&lt;&gt;"已确认",AND('本批提测'!$H$40&lt;&gt;"已确认",'本批提测'!$H$40&lt;&gt;"已记录后置")),"待确认","已确认")))</x:f>
        <x:v>未纳入本批</x:v>
      </x:c>
      <x:c r="W52" s="10" t="str">
        <x:v>保留／按批次选取</x:v>
      </x:c>
      <x:c r="X52" s="10" t="str">
        <x:v>设计复核后保留；关联DEC19、DEC01确认后方可执行判定。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V53&lt;&gt;"已确认","依据待确认",IF('本批提测'!$B$8="","版本待填写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IF(D53="否","不适用",IF(D53&lt;&gt;"是","未纳入本批",IF(OR(F53&lt;&gt;"已确认",'本批提测'!$H$58&lt;&gt;"已确认",AND('本批提测'!$H$40&lt;&gt;"已确认",'本批提测'!$H$40&lt;&gt;"已记录后置")),"待确认","已确认")))</x:f>
        <x:v>未纳入本批</x:v>
      </x:c>
      <x:c r="W53" s="10" t="str">
        <x:v>保留／按批次选取</x:v>
      </x:c>
      <x:c r="X53" s="10" t="str">
        <x:v>设计复核后保留；关联DEC19、DEC01确认后方可执行判定。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V54&lt;&gt;"已确认","依据待确认",IF('本批提测'!$B$8="","版本待填写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V55&lt;&gt;"已确认","依据待确认",IF('本批提测'!$B$8="","版本待填写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F55&lt;&gt;"已确认",'本批提测'!$H$50&lt;&gt;"已确认",'本批提测'!$H$55&lt;&gt;"已确认",AND('本批提测'!$H$40&lt;&gt;"已确认",'本批提测'!$H$40&lt;&gt;"已记录后置")),"待确认","已确认")))</x:f>
        <x:v>未纳入本批</x:v>
      </x:c>
      <x:c r="W55" s="10" t="str">
        <x:v>保留／按批次选取</x:v>
      </x:c>
      <x:c r="X55" s="10" t="str">
        <x:v>设计复核后保留；关联DEC11、DEC16、DEC01确认后方可执行判定。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V56&lt;&gt;"已确认","依据待确认",IF('本批提测'!$B$8="","版本待填写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</x:row>
    <x:row r="57" ht="157.5" customHeight="1">
      <x:c r="A57" s="10" t="str">
        <x:v>SM52</x:v>
      </x:c>
      <x:c r="B57" s="10" t="str">
        <x:v>计算模拟</x:v>
      </x:c>
      <x:c r="C57" s="10" t="str">
        <x:v>产品抛比与重量算例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V57&lt;&gt;"已确认","依据待确认",IF('本批提测'!$B$8="","版本待填写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</x:f>
        <x:v>未纳入本批</x:v>
      </x:c>
      <x:c r="J57" s="10" t="str">
        <x:v>前置：批准的测试配置为产品抛比6000、订单计费重向上按1KG进位；实重8KG。该舍入策略须DEC19确认，非系统默认。
操作：先用60×50×40cm，再用67×30×60cm；分别核对体积重、原始计费重和订单计费重；再不填尺寸，输入重量0、负尺寸／货值及非数。</x:v>
      </x:c>
      <x:c r="K57" s="10" t="str">
        <x:v>60×50×40÷6000=20KG，原始及订单计费重均20KG。
67×30×60÷6000=20.1KG，原始计费重20.1KG，按批准1KG向上进位后为21KG，不能仍为20.1或20。
使用产品最终抛比；无尺寸体积重0，按实重8KG；重量必须&gt;0，负尺寸／货值和非数拦截。若批准进位策略不同须改算例预期，不把向上进位作为通用需求。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专项回归</x:v>
      </x:c>
      <x:c r="Q57" s="86"/>
      <x:c r="R57" s="86"/>
      <x:c r="S57" s="10" t="str">
        <x:v>需求正文</x:v>
      </x:c>
      <x:c r="T57" s="10" t="str">
        <x:v>用整数和非整数计费重对照验证进位，避免20→20无法检测漏进位；同时区分体积重、原始计费重和订单计费重。</x:v>
      </x:c>
      <x:c r="U57" s="10" t="str">
        <x:v>批准配置6000抛比、向上按1KG进位：8KG与60×50×40cm为20→20；67×30×60cm为20.1→21；无尺寸按实重。配置及舍入须DEC19确认。</x:v>
      </x:c>
      <x:c r="V57" s="10" t="str">
        <x:f>IF(D57="否","不适用",IF(D57&lt;&gt;"是","未纳入本批",IF(OR(F57&lt;&gt;"已确认",'本批提测'!$H$58&lt;&gt;"已确认",AND('本批提测'!$H$40&lt;&gt;"已确认",'本批提测'!$H$40&lt;&gt;"已记录后置")),"待确认","已确认")))</x:f>
        <x:v>未纳入本批</x:v>
      </x:c>
      <x:c r="W57" s="10" t="str">
        <x:v>本轮修正</x:v>
      </x:c>
      <x:c r="X57" s="10" t="str">
        <x:v>边界/批量/公式矩阵调整为专项回归；冒烟正向闭环由本模块主链路覆盖。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V58&lt;&gt;"已确认","依据待确认",IF('本批提测'!$B$8="","版本待填写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冒烟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V59&lt;&gt;"已确认","依据待确认",IF('本批提测'!$B$8="","版本待填写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V60&lt;&gt;"已确认","依据待确认",IF('本批提测'!$B$8="","版本待填写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IF(D60="否","不适用",IF(D60&lt;&gt;"是","未纳入本批",IF(OR(F60&lt;&gt;"已确认"),"待确认","已确认")))</x:f>
        <x:v>未纳入本批</x:v>
      </x:c>
      <x:c r="W60" s="10" t="str">
        <x:v>保留／按批次选取</x:v>
      </x:c>
      <x:c r="X60" s="10" t="str">
        <x:v>设计复核后保留；按交付范围及批准现行基线执行。</x:v>
      </x:c>
    </x:row>
    <x:row r="61" ht="84.7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V61&lt;&gt;"已确认","依据待确认",IF('本批提测'!$B$8="","版本待填写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IF(D61="否","不适用",IF(D61&lt;&gt;"是","未纳入本批",IF(OR(F61&lt;&gt;"已确认",'本批提测'!$H$58&lt;&gt;"已确认",AND('本批提测'!$H$40&lt;&gt;"已确认",'本批提测'!$H$40&lt;&gt;"已记录后置")),"待确认","已确认")))</x:f>
        <x:v>未纳入本批</x:v>
      </x:c>
      <x:c r="W61" s="10" t="str">
        <x:v>保留／按批次选取</x:v>
      </x:c>
      <x:c r="X61" s="10" t="str">
        <x:v>设计复核后保留；关联DEC19、DEC01确认后方可执行判定。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V62&lt;&gt;"已确认","依据待确认",IF('本批提测'!$B$8="","版本待填写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</x:row>
    <x:row r="63" ht="70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V63&lt;&gt;"已确认","依据待确认",IF('本批提测'!$B$8="","版本待填写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</x:f>
        <x:v>未纳入本批</x:v>
      </x:c>
      <x:c r="J63" s="10" t="str">
        <x:v>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</x:v>
      </x:c>
      <x:c r="V63" s="10" t="str">
        <x:f>IF(D63="否","不适用",IF(D63&lt;&gt;"是","未纳入本批",IF(OR(F63&lt;&gt;"已确认",'本批提测'!$H$48&lt;&gt;"已确认",AND('本批提测'!$H$40&lt;&gt;"已确认",'本批提测'!$H$40&lt;&gt;"已记录后置")),"待确认","已确认")))</x:f>
        <x:v>未纳入本批</x:v>
      </x:c>
      <x:c r="W63" s="10" t="str">
        <x:v>保留／按批次选取</x:v>
      </x:c>
      <x:c r="X63" s="10" t="str">
        <x:v>设计复核后保留；关联DEC09、DEC01确认后方可执行判定。</x:v>
      </x:c>
    </x:row>
    <x:row r="64" ht="70.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V64&lt;&gt;"已确认","依据待确认",IF('本批提测'!$B$8="","版本待填写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冒烟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IF(D64="否","不适用",IF(D64&lt;&gt;"是","未纳入本批",IF(OR(F64&lt;&gt;"已确认",'本批提测'!$H$60&lt;&gt;"已确认",AND('本批提测'!$H$40&lt;&gt;"已确认",'本批提测'!$H$40&lt;&gt;"已记录后置")),"待确认","已确认")))</x:f>
        <x:v>未纳入本批</x:v>
      </x:c>
      <x:c r="W64" s="10" t="str">
        <x:v>保留／按批次选取</x:v>
      </x:c>
      <x:c r="X64" s="10" t="str">
        <x:v>设计复核后保留；关联DEC21、DEC01确认后方可执行判定。</x:v>
      </x:c>
    </x:row>
    <x:row r="65" ht="84.7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V65&lt;&gt;"已确认","依据待确认",IF('本批提测'!$B$8="","版本待填写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IF(D65="否","不适用",IF(D65&lt;&gt;"是","未纳入本批",IF(OR(F65&lt;&gt;"已确认",'本批提测'!$H$60&lt;&gt;"已确认",AND('本批提测'!$H$40&lt;&gt;"已确认",'本批提测'!$H$40&lt;&gt;"已记录后置")),"待确认","已确认")))</x:f>
        <x:v>未纳入本批</x:v>
      </x:c>
      <x:c r="W65" s="10" t="str">
        <x:v>保留／按批次选取</x:v>
      </x:c>
      <x:c r="X65" s="10" t="str">
        <x:v>设计复核后保留；关联DEC21、DEC01确认后方可执行判定。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V66&lt;&gt;"已确认","依据待确认",IF('本批提测'!$B$8="","版本待填写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V67&lt;&gt;"已确认","依据待确认",IF('本批提测'!$B$8="","版本待填写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V68&lt;&gt;"已确认","依据待确认",IF('本批提测'!$B$8="","版本待填写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V69&lt;&gt;"已确认","依据待确认",IF('本批提测'!$B$8="","版本待填写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V70&lt;&gt;"已确认","依据待确认",IF('本批提测'!$B$8="","版本待填写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V71&lt;&gt;"已确认","依据待确认",IF('本批提测'!$B$8="","版本待填写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V72&lt;&gt;"已确认","依据待确认",IF('本批提测'!$B$8="","版本待填写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V73&lt;&gt;"已确认","依据待确认",IF('本批提测'!$B$8="","版本待填写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V74&lt;&gt;"已确认","依据待确认",IF('本批提测'!$B$8="","版本待填写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V75&lt;&gt;"已确认","依据待确认",IF('本批提测'!$B$8="","版本待填写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V76&lt;&gt;"已确认","依据待确认",IF('本批提测'!$B$8="","版本待填写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</x:row>
    <x:row r="77" ht="202.5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V77&lt;&gt;"已确认","依据待确认",IF('本批提测'!$B$8="","版本待填写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</x:f>
        <x:v>未纳入本批</x:v>
      </x:c>
      <x:c r="J77" s="10" t="str">
        <x:v>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</x:v>
      </x:c>
      <x:c r="V77" s="10" t="str">
        <x:f>IF(D77="否","不适用",IF(D77&lt;&gt;"是","未纳入本批",IF(OR(F77&lt;&gt;"已确认"),"待确认","已确认")))</x:f>
        <x:v>未纳入本批</x:v>
      </x:c>
      <x:c r="W77" s="10" t="str">
        <x:v>保留／按批次选取</x:v>
      </x:c>
      <x:c r="X77" s="10" t="str">
        <x:v>设计复核后保留；按交付范围及批准现行基线执行。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V78&lt;&gt;"已确认","依据待确认",IF('本批提测'!$B$8="","版本待填写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V79&lt;&gt;"已确认","依据待确认",IF('本批提测'!$B$8="","版本待填写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V80&lt;&gt;"已确认","依据待确认",IF('本批提测'!$B$8="","版本待填写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V81&lt;&gt;"已确认","依据待确认",IF('本批提测'!$B$8="","版本待填写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V82&lt;&gt;"已确认","依据待确认",IF('本批提测'!$B$8="","版本待填写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V83&lt;&gt;"已确认","依据待确认",IF('本批提测'!$B$8="","版本待填写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</x:row>
    <x:row r="84" ht="202.5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V84&lt;&gt;"已确认","依据待确认",IF('本批提测'!$B$8="","版本待填写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</x:v>
      </x:c>
      <x:c r="V84" s="10" t="str">
        <x:f>IF(D84="否","不适用",IF(D84&lt;&gt;"是","未纳入本批",IF(OR(F84&lt;&gt;"已确认",'本批提测'!$H$58&lt;&gt;"已确认"),"待确认","已确认")))</x:f>
        <x:v>未纳入本批</x:v>
      </x:c>
      <x:c r="W84" s="10" t="str">
        <x:v>保留／按批次选取</x:v>
      </x:c>
      <x:c r="X84" s="10" t="str">
        <x:v>设计复核后保留；关联DEC19确认后方可执行判定。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V85&lt;&gt;"已确认","依据待确认",IF('本批提测'!$B$8="","版本待填写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V86&lt;&gt;"已确认","依据待确认",IF('本批提测'!$B$8="","版本待填写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V87&lt;&gt;"已确认","依据待确认",IF('本批提测'!$B$8="","版本待填写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</x:row>
    <x:row r="88" ht="138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V88&lt;&gt;"已确认","依据待确认",IF('本批提测'!$B$8="","版本待填写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</x:f>
        <x:v>未纳入本批</x:v>
      </x:c>
      <x:c r="J88" s="10" t="str">
        <x:v>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</x:v>
      </x:c>
      <x:c r="V88" s="10" t="str">
        <x:f>IF(D88="否","不适用",IF(D88&lt;&gt;"是","未纳入本批",IF(OR(F88&lt;&gt;"已确认"),"待确认","已确认")))</x:f>
        <x:v>未纳入本批</x:v>
      </x:c>
      <x:c r="W88" s="10" t="str">
        <x:v>本轮补充</x:v>
      </x:c>
      <x:c r="X88" s="10" t="str">
        <x:v>补具体步骤、预期与分支证据；待本批确认并执行。</x:v>
      </x:c>
    </x:row>
    <x:row r="89" ht="112.5" customHeight="1">
      <x:c r="A89" s="10" t="str">
        <x:v>SM84</x:v>
      </x:c>
      <x:c r="B89" s="10" t="str">
        <x:v>费用项</x:v>
      </x:c>
      <x:c r="C89" s="10" t="str">
        <x:v>必填、默认来源及财务生效保护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V89&lt;&gt;"已确认","依据待确认",IF('本批提测'!$B$8="","版本待填写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</x:f>
        <x:v>未纳入本批</x:v>
      </x:c>
      <x:c r="J89" s="10" t="str">
        <x:v>前置：专用费用项，已批准财务生效流程DEC25；准备有／无价卡引用、类型和结算币种字典。
1.分别缺编码／名称／类型／默认币种，重复编码；名称63／64／65字符。
2.创建后尝试改编码，修改名称，再修改类型／默认币种。
3.按批准的财务确认前后分别读费用项及新价卡明细默认币种。
4.有引用时删，取消删除，再对未引用测试项确认删除。</x:v>
      </x:c>
      <x:c r="K89" s="10" t="str">
        <x:v>四字段必填，编码唯一且创建后不可改，名称最多64字符。类型来自费用项类型字典（正文列9类），默认币种来自结算币种；新增价卡明细按当前有效默认币种带出。类型／默认币种变更按正文经财务审批后生效，不把服务单元／价卡／产品无审批一概推广至费用项。已引用项禁止删除并提示引用数量；未定义审批入口及过程按DEC25确认，缺实际证据不计通过。</x:v>
      </x:c>
      <x:c r="L89" s="10" t="str">
        <x:v>REQ §6.5 费用项；§6.1无工单／审批的对象范围为服务单元、成本价卡、产品；审批落地细则待DEC25。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</x:v>
      </x:c>
      <x:c r="V89" s="10" t="str">
        <x:f>IF(D89="否","不适用",IF(D89&lt;&gt;"是","未纳入本批",IF(OR(F89&lt;&gt;"已确认",'本批提测'!$H$117&lt;&gt;"已确认"),"待确认","已确认")))</x:f>
        <x:v>未纳入本批</x:v>
      </x:c>
      <x:c r="W89" s="10" t="str">
        <x:v>本轮补充</x:v>
      </x:c>
      <x:c r="X89" s="10" t="str">
        <x:v>补具体步骤、预期与分支证据；待本批确认并执行。</x:v>
      </x:c>
    </x:row>
    <x:row r="90" ht="151.5" customHeight="1">
      <x:c r="A90" s="10" t="str">
        <x:v>SM85</x:v>
      </x:c>
      <x:c r="B90" s="10" t="str">
        <x:v>币种汇率</x:v>
      </x:c>
      <x:c r="C90" s="10" t="str">
        <x:v>币种对、精度、唯一键及版本口径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V90&lt;&gt;"已确认","依据待确认",IF('本批提测'!$B$8="","版本待填写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</x:f>
        <x:v>未纳入本批</x:v>
      </x:c>
      <x:c r="J90" s="10" t="str">
        <x:v>前置：DEC24确认编辑或新增版本及乘除口径、DEC25确认财务生效流程；专用币种对、生效日期与只读默认CNY→CNY记录。
1.逐项缺源／目标币种、汇率、生效日期；提交0／负数／正数／非数及4／5位小数。
2.新增同币种对，重复源＋目标＋生效日期，再用同币种对不同日期。
3.按批准版本方式变更汇率，核查财务确认前后的有效版本。
4.有引用尝试删除；无引用测试项取消及确认删除；检查旧计费快照。</x:v>
      </x:c>
      <x:c r="K90" s="10" t="str">
        <x:v>四字段必填，汇率&gt;0且最多4位小数；新增普通汇率源目标不能相同，预置CNY→CNY=1.0000为例外；币种对＋生效日期不能重复，不将同币种对所有日期都判重复。5位小数的拒绝／规范化方式以批准方案为准，不擅定舍入。正文编辑／财务审批与§七29不编辑、新版本、乘除的口径先DEC24/25统一；引用仍存在时拦截删除，旧订单快照不变。</x:v>
      </x:c>
      <x:c r="L90" s="10" t="str">
        <x:v>REQ §6.5 币种汇率；§七第29项乘除／不编辑／新增版本尚无确认状态，不能替换正式契约。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</x:v>
      </x:c>
      <x:c r="V90" s="10" t="str">
        <x:f>IF(D90="否","不适用",IF(D90&lt;&gt;"是","未纳入本批",IF(OR(F90&lt;&gt;"已确认",'本批提测'!$H$116&lt;&gt;"已确认",'本批提测'!$H$117&lt;&gt;"已确认"),"待确认","已确认")))</x:f>
        <x:v>未纳入本批</x:v>
      </x:c>
      <x:c r="W90" s="10" t="str">
        <x:v>本轮补充</x:v>
      </x:c>
      <x:c r="X90" s="10" t="str">
        <x:v>补具体步骤、预期与分支证据；待本批确认并执行。</x:v>
      </x:c>
    </x:row>
    <x:row r="91" ht="138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V91&lt;&gt;"已确认","依据待确认",IF('本批提测'!$B$8="","版本待填写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</x:f>
        <x:v>未纳入本批</x:v>
      </x:c>
      <x:c r="J91" s="10" t="str">
        <x:v>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</x:v>
      </x:c>
      <x:c r="V91" s="10" t="str">
        <x:f>IF(D91="否","不适用",IF(D91&lt;&gt;"是","未纳入本批",IF(OR(F91&lt;&gt;"已确认"),"待确认","已确认")))</x:f>
        <x:v>未纳入本批</x:v>
      </x:c>
      <x:c r="W91" s="10" t="str">
        <x:v>本轮补充</x:v>
      </x:c>
      <x:c r="X91" s="10" t="str">
        <x:v>补具体步骤、预期与分支证据；待本批确认并执行。</x:v>
      </x:c>
    </x:row>
    <x:row r="92" ht="112.5" customHeight="1">
      <x:c r="A92" s="10" t="str">
        <x:v>SM87</x:v>
      </x:c>
      <x:c r="B92" s="10" t="str">
        <x:v>可接货型</x:v>
      </x:c>
      <x:c r="C92" s="10" t="str">
        <x:v>名称唯一、同源选项及历史保留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V92&lt;&gt;"已确认","依据待确认",IF('本批提测'!$B$8="","版本待填写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</x:f>
        <x:v>未纳入本批</x:v>
      </x:c>
      <x:c r="J92" s="10" t="str">
        <x:v>前置：专用货型及引用该类型的历史测试单据；记录可接货型列表和业务字典同源值。
1.名称空保存、有效新增、提交同名称；名称归一规则先取本批批准口径。
2.编辑名称保存，重新进入服务单元货物准入类型选择。
3.取消删除后读回，再确认删除专用货型；查看新建／编辑候选及历史单据。</x:v>
      </x:c>
      <x:c r="K92" s="10" t="str">
        <x:v>货型名称必填且不能重复创建；编辑后相关同源候选展示当前有效名称；删除确认后不再出现在新建／编辑表单，历史单据不受影响。不因页面不展示编码而要求无后台编码；数据库唯一标识与名称归一策略不自行设计。</x:v>
      </x:c>
      <x:c r="L92" s="10" t="str">
        <x:v>REQ §6.5 可接货型及评论：名称唯一；同源只按业务可观察值核对。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</x:v>
      </x:c>
      <x:c r="V92" s="10" t="str">
        <x:f>IF(D92="否","不适用",IF(D92&lt;&gt;"是","未纳入本批",IF(OR(F92&lt;&gt;"已确认"),"待确认","已确认")))</x:f>
        <x:v>未纳入本批</x:v>
      </x:c>
      <x:c r="W92" s="10" t="str">
        <x:v>本轮补充</x:v>
      </x:c>
      <x:c r="X92" s="10" t="str">
        <x:v>补具体步骤、预期与分支证据；待本批确认并执行。</x:v>
      </x:c>
    </x:row>
    <x:row r="93" ht="151.5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V93&lt;&gt;"已确认","依据待确认",IF('本批提测'!$B$8="","版本待填写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16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301099fa2546cb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16.8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本轮为用例设计复核，全部未执行。按交付项选“是”；AF列综合本批依据与关联决策，未确认不计通过。每个适用分支都完成并留证后才能标整行通过。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</x:row>
    <x:row r="6" ht="112.5" customHeight="1">
      <x:c r="A6" s="10" t="str">
        <x:v>UI01</x:v>
      </x:c>
      <x:c r="B6" s="10" t="str">
        <x:v>基础配置</x:v>
      </x:c>
      <x:c r="C6" s="10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F6&lt;&gt;"已确认","依据待确认",IF('本批提测'!$B$8="","版本待填写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G6,"结果待填写"))))))))))</x:f>
        <x:v>未纳入本批</x:v>
      </x:c>
      <x:c r="J6" s="10" t="str">
        <x:v>前置：取得本批专项设计稿并确认DEC01。
1.切换主数据／计价底座。
2.分别切换内容区子项并核对列表。
3.从右侧列表顶部点击新增选项，核对弹出表单所属分类。</x:v>
      </x:c>
      <x:c r="K6" s="10" t="str">
        <x:v>1.主数据／计价底座位于页头一级Tab；子项独立位于内容区，选中态、分类与列表一致。
2.新增选项位于右侧当前列表顶部，创建目标属于当前分类。
3.层级承载依专项稿；Tabs样式与交互另见UI33/34，不能把子项强制做成同层嵌套Tabs。</x:v>
      </x:c>
      <x:c r="L6" s="10" t="str">
        <x:v>REVIEW review-67fb39add5；2026-10-12当前视图rev628；建议按本批批准基线采纳，来源状态不等于实测结果。</x:v>
      </x:c>
      <x:c r="M6" s="86"/>
      <x:c r="N6" s="86"/>
      <x:c r="O6" s="86"/>
      <x:c r="P6" s="14" t="str">
        <x:v>P0</x:v>
      </x:c>
      <x:c r="Q6" s="14" t="str">
        <x:v>已修改</x:v>
      </x:c>
      <x:c r="R6" s="14" t="str">
        <x:v>无法覆盖</x:v>
      </x:c>
      <x:c r="S6" s="14" t="str">
        <x:v>UI</x:v>
      </x:c>
      <x:c r="T6" s="10" t="str">
        <x:v>UI核对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来源状态由修改中变为已修改；本批批准稿与开发实现仍需分别留证。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</x:v>
      </x:c>
      <x:c r="AF6" s="10" t="str">
        <x:f>IF(D6="否","不适用",IF(D6&lt;&gt;"是","未纳入本批",IF(OR(F6&lt;&gt;"已确认",AND('本批提测'!$H$40&lt;&gt;"已确认",'本批提测'!$H$40&lt;&gt;"已记录后置"),'本批提测'!$H$57&lt;&gt;"已确认"),"待确认","已确认")))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本轮修正</x:v>
      </x:c>
      <x:c r="AH6" s="10" t="str">
        <x:v>同步2026-10-12 Review记录；来源状态与本批采纳、实测结果独立。</x:v>
      </x:c>
    </x:row>
    <x:row r="7" ht="151.5" customHeight="1">
      <x:c r="A7" s="10" t="str">
        <x:v>UI02</x:v>
      </x:c>
      <x:c r="B7" s="10" t="str">
        <x:v>左侧菜单</x:v>
      </x:c>
      <x:c r="C7" s="10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F7&lt;&gt;"已确认","依据待确认",IF('本批提测'!$B$8="","版本待填写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G7,"结果待填写"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review-4122ab1853；2026-10-12当前视图rev628；建议按本批批准基线采纳，来源状态不等于实测结果。</x:v>
      </x:c>
      <x:c r="M7" s="86"/>
      <x:c r="N7" s="86"/>
      <x:c r="O7" s="86"/>
      <x:c r="P7" s="14" t="str">
        <x:v>P1</x:v>
      </x:c>
      <x:c r="Q7" s="14" t="str">
        <x:v>修改中</x:v>
      </x:c>
      <x:c r="R7" s="14" t="str">
        <x:v>无法覆盖</x:v>
      </x:c>
      <x:c r="S7" s="14" t="str">
        <x:v>UI</x:v>
      </x:c>
      <x:c r="T7" s="10" t="str">
        <x:v>UI核对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F7&lt;&gt;"已确认",AND('本批提测'!$H$41&lt;&gt;"已确认",'本批提测'!$H$41&lt;&gt;"已记录后置"),AND('本批提测'!$H$40&lt;&gt;"已确认",'本批提测'!$H$40&lt;&gt;"已记录后置"),'本批提测'!$H$57&lt;&gt;"已确认"),"待确认","已确认")))</x:f>
        <x:v>未纳入本批</x:v>
      </x:c>
      <x:c r="AG7" s="10" t="str">
        <x:v>本轮修正</x:v>
      </x:c>
      <x:c r="AH7" s="10" t="str">
        <x:v>同步2026-10-12 Review记录；来源状态与本批采纳、实测结果独立。</x:v>
      </x:c>
    </x:row>
    <x:row r="8" ht="112.5" customHeight="1">
      <x:c r="A8" s="10" t="str">
        <x:v>UI03</x:v>
      </x:c>
      <x:c r="B8" s="10" t="str">
        <x:v>服务单元</x:v>
      </x:c>
      <x:c r="C8" s="10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F8&lt;&gt;"已确认","依据待确认",IF('本批提测'!$B$8="","版本待填写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G8,"结果待填写"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review-24220c26b9；2026-10-12当前视图rev628；建议按本批批准基线采纳，来源状态不等于实测结果。</x:v>
      </x:c>
      <x:c r="M8" s="86"/>
      <x:c r="N8" s="86"/>
      <x:c r="O8" s="86"/>
      <x:c r="P8" s="14" t="str">
        <x:v>P0</x:v>
      </x:c>
      <x:c r="Q8" s="14" t="str">
        <x:v>待确认</x:v>
      </x:c>
      <x:c r="R8" s="14" t="str">
        <x:v>组合复用</x:v>
      </x:c>
      <x:c r="S8" s="14" t="str">
        <x:v>UI、开发</x:v>
      </x:c>
      <x:c r="T8" s="10" t="str">
        <x:v>UI核对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F8&lt;&gt;"已确认",'本批提测'!$H$61&lt;&gt;"已确认",AND('本批提测'!$H$40&lt;&gt;"已确认",'本批提测'!$H$40&lt;&gt;"已记录后置"),'本批提测'!$H$57&lt;&gt;"已确认"),"待确认","已确认")))</x:f>
        <x:v>未纳入本批</x:v>
      </x:c>
      <x:c r="AG8" s="10" t="str">
        <x:v>本轮修正</x:v>
      </x:c>
      <x:c r="AH8" s="10" t="str">
        <x:v>同步2026-10-12 Review记录；来源状态与本批采纳、实测结果独立。</x:v>
      </x:c>
    </x:row>
    <x:row r="9" ht="112.5" customHeight="1">
      <x:c r="A9" s="10" t="str">
        <x:v>UI04</x:v>
      </x:c>
      <x:c r="B9" s="10" t="str">
        <x:v>服务单元</x:v>
      </x:c>
      <x:c r="C9" s="1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F9&lt;&gt;"已确认","依据待确认",IF('本批提测'!$B$8="","版本待填写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G9,"结果待填写"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review-c79c73690c；2026-10-12当前视图rev628；建议按本批批准基线采纳，来源状态不等于实测结果。</x:v>
      </x:c>
      <x:c r="M9" s="86"/>
      <x:c r="N9" s="86"/>
      <x:c r="O9" s="86"/>
      <x:c r="P9" s="14" t="str">
        <x:v>P1</x:v>
      </x:c>
      <x:c r="Q9" s="14" t="str">
        <x:v>待确认</x:v>
      </x:c>
      <x:c r="R9" s="14" t="str">
        <x:v>调整后复用</x:v>
      </x:c>
      <x:c r="S9" s="14" t="str">
        <x:v>UI、产品</x:v>
      </x:c>
      <x:c r="T9" s="10" t="str">
        <x:v>UI核对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IF(D9="否","不适用",IF(D9&lt;&gt;"是","未纳入本批",IF(OR(F9&lt;&gt;"已确认",'本批提测'!$H$57&lt;&gt;"已确认"),"待确认","已确认")))</x:f>
        <x:v>未纳入本批</x:v>
      </x:c>
      <x:c r="AG9" s="10" t="str">
        <x:v>本轮修正</x:v>
      </x:c>
      <x:c r="AH9" s="10" t="str">
        <x:v>同步2026-10-12 Review记录；来源状态与本批采纳、实测结果独立。</x:v>
      </x:c>
    </x:row>
    <x:row r="10" ht="112.5" customHeight="1">
      <x:c r="A10" s="10" t="str">
        <x:v>UI05</x:v>
      </x:c>
      <x:c r="B10" s="10" t="str">
        <x:v>全局</x:v>
      </x:c>
      <x:c r="C10" s="10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F10&lt;&gt;"已确认","依据待确认",IF('本批提测'!$B$8="","版本待填写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G10,"结果待填写"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review-5cb0b5dcb6；2026-10-12当前视图rev628；建议按本批批准基线采纳，来源状态不等于实测结果。</x:v>
      </x:c>
      <x:c r="M10" s="86"/>
      <x:c r="N10" s="86"/>
      <x:c r="O10" s="86"/>
      <x:c r="P10" s="14" t="str">
        <x:v>P0</x:v>
      </x:c>
      <x:c r="Q10" s="14" t="str">
        <x:v>待确认</x:v>
      </x:c>
      <x:c r="R10" s="14" t="str">
        <x:v>业务交互、信息待明确</x:v>
      </x:c>
      <x:c r="S10" s="14" t="str">
        <x:v>产品</x:v>
      </x:c>
      <x:c r="T10" s="10" t="str">
        <x:v>UI核对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IF(D10="否","不适用",IF(D10&lt;&gt;"是","未纳入本批",IF(OR(F10&lt;&gt;"已确认",'本批提测'!$H$57&lt;&gt;"已确认"),"待确认","已确认")))</x:f>
        <x:v>未纳入本批</x:v>
      </x:c>
      <x:c r="AG10" s="10" t="str">
        <x:v>本轮修正</x:v>
      </x:c>
      <x:c r="AH10" s="10" t="str">
        <x:v>同步2026-10-12 Review记录；来源状态与本批采纳、实测结果独立。</x:v>
      </x:c>
    </x:row>
    <x:row r="11" ht="112.5" customHeight="1">
      <x:c r="A11" s="10" t="str">
        <x:v>UI06</x:v>
      </x:c>
      <x:c r="B11" s="10" t="str">
        <x:v>左侧菜单</x:v>
      </x:c>
      <x:c r="C11" s="10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F11&lt;&gt;"已确认","依据待确认",IF('本批提测'!$B$8="","版本待填写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G11,"结果待填写"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review-e3abcc238c；2026-10-12当前视图rev628；建议按本批批准基线采纳，来源状态不等于实测结果。</x:v>
      </x:c>
      <x:c r="M11" s="86"/>
      <x:c r="N11" s="86"/>
      <x:c r="O11" s="86"/>
      <x:c r="P11" s="14" t="str">
        <x:v>P2</x:v>
      </x:c>
      <x:c r="Q11" s="14" t="str">
        <x:v>待确认</x:v>
      </x:c>
      <x:c r="R11" s="14" t="str">
        <x:v>直接复用</x:v>
      </x:c>
      <x:c r="S11" s="14" t="str">
        <x:v>开发</x:v>
      </x:c>
      <x:c r="T11" s="10" t="str">
        <x:v>UI核对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IF(D11="否","不适用",IF(D11&lt;&gt;"是","未纳入本批",IF(OR(F11&lt;&gt;"已确认",'本批提测'!$H$57&lt;&gt;"已确认"),"待确认","已确认")))</x:f>
        <x:v>未纳入本批</x:v>
      </x:c>
      <x:c r="AG11" s="10" t="str">
        <x:v>本轮修正</x:v>
      </x:c>
      <x:c r="AH11" s="10" t="str">
        <x:v>同步2026-10-12 Review记录；来源状态与本批采纳、实测结果独立。</x:v>
      </x:c>
    </x:row>
    <x:row r="12" ht="112.5" customHeight="1">
      <x:c r="A12" s="10" t="str">
        <x:v>UI07</x:v>
      </x:c>
      <x:c r="B12" s="10" t="str">
        <x:v>顶部导航</x:v>
      </x:c>
      <x:c r="C12" s="10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F12&lt;&gt;"已确认","依据待确认",IF('本批提测'!$B$8="","版本待填写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G12,"结果待填写"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review-a2a817eb2a；2026-10-12当前视图rev628；建议按本批批准基线采纳，来源状态不等于实测结果。</x:v>
      </x:c>
      <x:c r="M12" s="86"/>
      <x:c r="N12" s="86"/>
      <x:c r="O12" s="86"/>
      <x:c r="P12" s="14" t="str">
        <x:v>P2</x:v>
      </x:c>
      <x:c r="Q12" s="14" t="str">
        <x:v>待确认</x:v>
      </x:c>
      <x:c r="R12" s="14" t="str">
        <x:v>直接复用</x:v>
      </x:c>
      <x:c r="S12" s="14" t="str">
        <x:v>开发</x:v>
      </x:c>
      <x:c r="T12" s="10" t="str">
        <x:v>UI核对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IF(D12="否","不适用",IF(D12&lt;&gt;"是","未纳入本批",IF(OR(F12&lt;&gt;"已确认",'本批提测'!$H$57&lt;&gt;"已确认"),"待确认","已确认")))</x:f>
        <x:v>未纳入本批</x:v>
      </x:c>
      <x:c r="AG12" s="10" t="str">
        <x:v>本轮修正</x:v>
      </x:c>
      <x:c r="AH12" s="10" t="str">
        <x:v>同步2026-10-12 Review记录；来源状态与本批采纳、实测结果独立。</x:v>
      </x:c>
    </x:row>
    <x:row r="13" ht="112.5" customHeight="1">
      <x:c r="A13" s="10" t="str">
        <x:v>UI08</x:v>
      </x:c>
      <x:c r="B13" s="10" t="str">
        <x:v>所有页头栏</x:v>
      </x:c>
      <x:c r="C13" s="10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F13&lt;&gt;"已确认","依据待确认",IF('本批提测'!$B$8="","版本待填写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G13,"结果待填写"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review-716a17fbb6；2026-10-12当前视图rev628；建议按本批批准基线采纳，来源状态不等于实测结果。</x:v>
      </x:c>
      <x:c r="M13" s="86"/>
      <x:c r="N13" s="86"/>
      <x:c r="O13" s="86"/>
      <x:c r="P13" s="14" t="str">
        <x:v>P1</x:v>
      </x:c>
      <x:c r="Q13" s="14" t="str">
        <x:v>待确认</x:v>
      </x:c>
      <x:c r="R13" s="14" t="str">
        <x:v>直接复用</x:v>
      </x:c>
      <x:c r="S13" s="14" t="str">
        <x:v>产品、开发</x:v>
      </x:c>
      <x:c r="T13" s="10" t="str">
        <x:v>UI核对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IF(D13="否","不适用",IF(D13&lt;&gt;"是","未纳入本批",IF(OR(F13&lt;&gt;"已确认",'本批提测'!$H$57&lt;&gt;"已确认"),"待确认","已确认")))</x:f>
        <x:v>未纳入本批</x:v>
      </x:c>
      <x:c r="AG13" s="10" t="str">
        <x:v>本轮修正</x:v>
      </x:c>
      <x:c r="AH13" s="10" t="str">
        <x:v>同步2026-10-12 Review记录；来源状态与本批采纳、实测结果独立。</x:v>
      </x:c>
    </x:row>
    <x:row r="14" ht="112.5" customHeight="1">
      <x:c r="A14" s="10" t="str">
        <x:v>UI09</x:v>
      </x:c>
      <x:c r="B14" s="10" t="str">
        <x:v>所有查询区</x:v>
      </x:c>
      <x:c r="C14" s="10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F14&lt;&gt;"已确认","依据待确认",IF('本批提测'!$B$8="","版本待填写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G14,"结果待填写"))))))))))</x:f>
        <x:v>未纳入本批</x:v>
      </x:c>
      <x:c r="J14" s="10" t="str">
        <x:v>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review-96579d37d7；2026-10-12当前视图rev628；建议按本批批准基线采纳，来源状态不等于实测结果。</x:v>
      </x:c>
      <x:c r="M14" s="86"/>
      <x:c r="N14" s="86"/>
      <x:c r="O14" s="86"/>
      <x:c r="P14" s="14" t="str">
        <x:v>P2</x:v>
      </x:c>
      <x:c r="Q14" s="14" t="str">
        <x:v>待确认</x:v>
      </x:c>
      <x:c r="R14" s="14" t="str">
        <x:v>直接复用</x:v>
      </x:c>
      <x:c r="S14" s="14" t="str">
        <x:v>开发</x:v>
      </x:c>
      <x:c r="T14" s="10" t="str">
        <x:v>UI核对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完整覆盖5条建议；3字段只是原场景，不升为全站固定3列；补“不拉伸填满”。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</x:v>
      </x:c>
      <x:c r="AF14" s="10" t="str">
        <x:f>IF(D14="否","不适用",IF(D14&lt;&gt;"是","未纳入本批",IF(OR(F14&lt;&gt;"已确认",'本批提测'!$H$48&lt;&gt;"已确认",AND('本批提测'!$H$40&lt;&gt;"已确认",'本批提测'!$H$40&lt;&gt;"已记录后置"),'本批提测'!$H$57&lt;&gt;"已确认"),"待确认","已确认")))</x:f>
        <x:v>未纳入本批</x:v>
      </x:c>
      <x:c r="AG14" s="10" t="str">
        <x:v>本轮修正</x:v>
      </x:c>
      <x:c r="AH14" s="10" t="str">
        <x:v>同步2026-10-12 Review记录；来源状态与本批采纳、实测结果独立。</x:v>
      </x:c>
    </x:row>
    <x:row r="15" ht="112.5" customHeight="1">
      <x:c r="A15" s="10" t="str">
        <x:v>UI10</x:v>
      </x:c>
      <x:c r="B15" s="10" t="str">
        <x:v>所有列表区</x:v>
      </x:c>
      <x:c r="C15" s="10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F15&lt;&gt;"已确认","依据待确认",IF('本批提测'!$B$8="","版本待填写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G15,"结果待填写"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review-92624f2e97；2026-10-12当前视图rev628；建议按本批批准基线采纳，来源状态不等于实测结果。</x:v>
      </x:c>
      <x:c r="M15" s="86"/>
      <x:c r="N15" s="86"/>
      <x:c r="O15" s="86"/>
      <x:c r="P15" s="14" t="str">
        <x:v>P2</x:v>
      </x:c>
      <x:c r="Q15" s="14" t="str">
        <x:v>待确认</x:v>
      </x:c>
      <x:c r="R15" s="14" t="str">
        <x:v>直接复用</x:v>
      </x:c>
      <x:c r="S15" s="14" t="str">
        <x:v>开发</x:v>
      </x:c>
      <x:c r="T15" s="10" t="str">
        <x:v>UI核对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IF(D15="否","不适用",IF(D15&lt;&gt;"是","未纳入本批",IF(OR(F15&lt;&gt;"已确认",'本批提测'!$H$57&lt;&gt;"已确认"),"待确认","已确认")))</x:f>
        <x:v>未纳入本批</x:v>
      </x:c>
      <x:c r="AG15" s="10" t="str">
        <x:v>本轮修正</x:v>
      </x:c>
      <x:c r="AH15" s="10" t="str">
        <x:v>同步2026-10-12 Review记录；来源状态与本批采纳、实测结果独立。</x:v>
      </x:c>
    </x:row>
    <x:row r="16" ht="112.5" customHeight="1">
      <x:c r="A16" s="10" t="str">
        <x:v>UI11</x:v>
      </x:c>
      <x:c r="B16" s="10" t="str">
        <x:v>所有列表区</x:v>
      </x:c>
      <x:c r="C16" s="10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F16&lt;&gt;"已确认","依据待确认",IF('本批提测'!$B$8="","版本待填写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G16,"结果待填写"))))))))))</x:f>
        <x:v>未纳入本批</x:v>
      </x:c>
      <x:c r="J16" s="10" t="str">
        <x:v>前置：确认本批页条数选项及是否提供跳页。
1.检查总数、页码、每页条数组件与布局。
2.切换页码、条数并核对实际记录。
3.仅已交付跳页时检查有效/无效页码；无跳页时核对采用方案。</x:v>
      </x:c>
      <x:c r="K16" s="10" t="str">
        <x:v>总数、页码切换、每页条数等基础能力和布局复用框架，展示与实际数据一致。具体条数及是否展示页码跳转按业务配置；不能从框架示例强制要求全站10/50/100或必须跳页，已有模块明确要求另按正文。</x:v>
      </x:c>
      <x:c r="L16" s="10" t="str">
        <x:v>REVIEW review-08ef6a1468；2026-10-12当前视图rev628；建议按本批批准基线采纳，来源状态不等于实测结果。</x:v>
      </x:c>
      <x:c r="M16" s="86"/>
      <x:c r="N16" s="86"/>
      <x:c r="O16" s="86"/>
      <x:c r="P16" s="14" t="str">
        <x:v>P1</x:v>
      </x:c>
      <x:c r="Q16" s="14" t="str">
        <x:v>待确认</x:v>
      </x:c>
      <x:c r="R16" s="14" t="str">
        <x:v>直接复用</x:v>
      </x:c>
      <x:c r="S16" s="14" t="str">
        <x:v>开发</x:v>
      </x:c>
      <x:c r="T16" s="10" t="str">
        <x:v>UI核对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明确基础能力必须核对；条数/跳页是业务配置，不把示例作为通用要求。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</x:v>
      </x:c>
      <x:c r="AF16" s="10" t="str">
        <x:f>IF(D16="否","不适用",IF(D16&lt;&gt;"是","未纳入本批",IF(OR(F16&lt;&gt;"已确认",'本批提测'!$H$57&lt;&gt;"已确认"),"待确认","已确认")))</x:f>
        <x:v>未纳入本批</x:v>
      </x:c>
      <x:c r="AG16" s="10" t="str">
        <x:v>本轮修正</x:v>
      </x:c>
      <x:c r="AH16" s="10" t="str">
        <x:v>同步2026-10-12 Review记录；来源状态与本批采纳、实测结果独立。</x:v>
      </x:c>
    </x:row>
    <x:row r="17" ht="112.5" customHeight="1">
      <x:c r="A17" s="10" t="str">
        <x:v>UI12</x:v>
      </x:c>
      <x:c r="B17" s="10" t="str">
        <x:v>所有列表区</x:v>
      </x:c>
      <x:c r="C17" s="10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F17&lt;&gt;"已确认","依据待确认",IF('本批提测'!$B$8="","版本待填写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G17,"结果待填写"))))))))))</x:f>
        <x:v>未纳入本批</x:v>
      </x:c>
      <x:c r="J17" s="10" t="str">
        <x:v>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review-79dfb7278b；2026-10-12当前视图rev628；建议按本批批准基线采纳，来源状态不等于实测结果。</x:v>
      </x:c>
      <x:c r="M17" s="86"/>
      <x:c r="N17" s="86"/>
      <x:c r="O17" s="86"/>
      <x:c r="P17" s="14" t="str">
        <x:v>P1</x:v>
      </x:c>
      <x:c r="Q17" s="14" t="str">
        <x:v>待确认</x:v>
      </x:c>
      <x:c r="R17" s="14" t="str">
        <x:v>直接复用</x:v>
      </x:c>
      <x:c r="S17" s="14" t="str">
        <x:v>开发</x:v>
      </x:c>
      <x:c r="T17" s="10" t="str">
        <x:v>UI核对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补普通字段滚动、中间展示空间及核心字段条件，避免固定列过度冻结。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</x:v>
      </x:c>
      <x:c r="AF17" s="10" t="str">
        <x:f>IF(D17="否","不适用",IF(D17&lt;&gt;"是","未纳入本批",IF(OR(F17&lt;&gt;"已确认",'本批提测'!$H$57&lt;&gt;"已确认"),"待确认","已确认")))</x:f>
        <x:v>未纳入本批</x:v>
      </x:c>
      <x:c r="AG17" s="10" t="str">
        <x:v>本轮修正</x:v>
      </x:c>
      <x:c r="AH17" s="10" t="str">
        <x:v>同步2026-10-12 Review记录；来源状态与本批采纳、实测结果独立。</x:v>
      </x:c>
    </x:row>
    <x:row r="18" ht="112.5" customHeight="1">
      <x:c r="A18" s="10" t="str">
        <x:v>UI13</x:v>
      </x:c>
      <x:c r="B18" s="10" t="str">
        <x:v>所有列表区</x:v>
      </x:c>
      <x:c r="C18" s="10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F18&lt;&gt;"已确认","依据待确认",IF('本批提测'!$B$8="","版本待填写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G18,"结果待填写"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review-42f80e1fec；2026-10-12当前视图rev628；建议按本批批准基线采纳，来源状态不等于实测结果。</x:v>
      </x:c>
      <x:c r="M18" s="86"/>
      <x:c r="N18" s="86"/>
      <x:c r="O18" s="86"/>
      <x:c r="P18" s="14" t="str">
        <x:v>P1</x:v>
      </x:c>
      <x:c r="Q18" s="14" t="str">
        <x:v>待确认</x:v>
      </x:c>
      <x:c r="R18" s="14" t="str">
        <x:v>直接复用</x:v>
      </x:c>
      <x:c r="S18" s="14" t="str">
        <x:v>开发</x:v>
      </x:c>
      <x:c r="T18" s="10" t="str">
        <x:v>UI核对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F18&lt;&gt;"已确认",'本批提测'!$H$47&lt;&gt;"已确认",AND('本批提测'!$H$40&lt;&gt;"已确认",'本批提测'!$H$40&lt;&gt;"已记录后置"),'本批提测'!$H$57&lt;&gt;"已确认"),"待确认","已确认")))</x:f>
        <x:v>未纳入本批</x:v>
      </x:c>
      <x:c r="AG18" s="10" t="str">
        <x:v>本轮修正</x:v>
      </x:c>
      <x:c r="AH18" s="10" t="str">
        <x:v>同步2026-10-12 Review记录；来源状态与本批采纳、实测结果独立。</x:v>
      </x:c>
    </x:row>
    <x:row r="19" ht="112.5" customHeight="1">
      <x:c r="A19" s="10" t="str">
        <x:v>UI14</x:v>
      </x:c>
      <x:c r="B19" s="10" t="str">
        <x:v>所有列表区</x:v>
      </x:c>
      <x:c r="C19" s="10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F19&lt;&gt;"已确认","依据待确认",IF('本批提测'!$B$8="","版本待填写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G19,"结果待填写"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review-6436a27114；2026-10-12当前视图rev628；建议按本批批准基线采纳，来源状态不等于实测结果。</x:v>
      </x:c>
      <x:c r="M19" s="86"/>
      <x:c r="N19" s="86"/>
      <x:c r="O19" s="86"/>
      <x:c r="P19" s="14" t="str">
        <x:v>P2</x:v>
      </x:c>
      <x:c r="Q19" s="14" t="str">
        <x:v>待确认</x:v>
      </x:c>
      <x:c r="R19" s="14" t="str">
        <x:v>直接复用</x:v>
      </x:c>
      <x:c r="S19" s="14" t="str">
        <x:v>开发</x:v>
      </x:c>
      <x:c r="T19" s="10" t="str">
        <x:v>UI核对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IF(D19="否","不适用",IF(D19&lt;&gt;"是","未纳入本批",IF(OR(F19&lt;&gt;"已确认",'本批提测'!$H$57&lt;&gt;"已确认"),"待确认","已确认")))</x:f>
        <x:v>未纳入本批</x:v>
      </x:c>
      <x:c r="AG19" s="10" t="str">
        <x:v>本轮修正</x:v>
      </x:c>
      <x:c r="AH19" s="10" t="str">
        <x:v>同步2026-10-12 Review记录；来源状态与本批采纳、实测结果独立。</x:v>
      </x:c>
    </x:row>
    <x:row r="20" ht="112.5" customHeight="1">
      <x:c r="A20" s="10" t="str">
        <x:v>UI15</x:v>
      </x:c>
      <x:c r="B20" s="10" t="str">
        <x:v>所有列表区</x:v>
      </x:c>
      <x:c r="C20" s="10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F20&lt;&gt;"已确认","依据待确认",IF('本批提测'!$B$8="","版本待填写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G20,"结果待填写"))))))))))</x:f>
        <x:v>未纳入本批</x:v>
      </x:c>
      <x:c r="J20" s="10" t="str">
        <x:v>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review-a7e8b941e2；2026-10-12当前视图rev628；建议按本批批准基线采纳，来源状态不等于实测结果。</x:v>
      </x:c>
      <x:c r="M20" s="86"/>
      <x:c r="N20" s="86"/>
      <x:c r="O20" s="86"/>
      <x:c r="P20" s="14" t="str">
        <x:v>P0</x:v>
      </x:c>
      <x:c r="Q20" s="14" t="str">
        <x:v>待确认</x:v>
      </x:c>
      <x:c r="R20" s="14" t="str">
        <x:v>直接复用</x:v>
      </x:c>
      <x:c r="S20" s="14" t="str">
        <x:v>产品</x:v>
      </x:c>
      <x:c r="T20" s="10" t="str">
        <x:v>UI核对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先确认服务单元编码是否需要承担详情入口；不需要则取消蓝色链接态，需要则补充可点击交互。@人员04</x:v>
      </x:c>
      <x:c r="AB20" s="14" t="str">
        <x:v>review-a7e8b941e2</x:v>
      </x:c>
      <x:c r="AC20" s="14" t="str">
        <x:v>补链接/纯文本双分支与正确对象；区分服务单元待决策和已定义编码入口。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</x:v>
      </x:c>
      <x:c r="AF20" s="10" t="str">
        <x:f>IF(D20="否","不适用",IF(D20&lt;&gt;"是","未纳入本批",IF(OR(F20&lt;&gt;"已确认",'本批提测'!$H$43&lt;&gt;"已确认",AND('本批提测'!$H$40&lt;&gt;"已确认",'本批提测'!$H$40&lt;&gt;"已记录后置"),'本批提测'!$H$57&lt;&gt;"已确认"),"待确认","已确认")))</x:f>
        <x:v>未纳入本批</x:v>
      </x:c>
      <x:c r="AG20" s="10" t="str">
        <x:v>本轮修正</x:v>
      </x:c>
      <x:c r="AH20" s="10" t="str">
        <x:v>同步2026-10-12 Review记录；来源状态与本批采纳、实测结果独立。</x:v>
      </x:c>
    </x:row>
    <x:row r="21" ht="112.5" customHeight="1">
      <x:c r="A21" s="10" t="str">
        <x:v>UI16</x:v>
      </x:c>
      <x:c r="B21" s="10" t="str">
        <x:v>Ai 建档解析</x:v>
      </x:c>
      <x:c r="C21" s="10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F21&lt;&gt;"已确认","依据待确认",IF('本批提测'!$B$8="","版本待填写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G21,"结果待填写"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review-f228825adf；2026-10-12当前视图rev628；建议按本批批准基线采纳，来源状态不等于实测结果。</x:v>
      </x:c>
      <x:c r="M21" s="86"/>
      <x:c r="N21" s="86"/>
      <x:c r="O21" s="86"/>
      <x:c r="P21" s="14" t="str">
        <x:v>P0</x:v>
      </x:c>
      <x:c r="Q21" s="14" t="str">
        <x:v>待确认</x:v>
      </x:c>
      <x:c r="R21" s="14" t="str">
        <x:v>直接复用</x:v>
      </x:c>
      <x:c r="S21" s="14" t="str">
        <x:v>产品</x:v>
      </x:c>
      <x:c r="T21" s="10" t="str">
        <x:v>UI核对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F21&lt;&gt;"已确认",'本批提测'!$H$44&lt;&gt;"已确认",'本批提测'!$H$56&lt;&gt;"已确认",AND('本批提测'!$H$40&lt;&gt;"已确认",'本批提测'!$H$40&lt;&gt;"已记录后置"),'本批提测'!$H$57&lt;&gt;"已确认"),"待确认","已确认")))</x:f>
        <x:v>未纳入本批</x:v>
      </x:c>
      <x:c r="AG21" s="10" t="str">
        <x:v>本轮修正</x:v>
      </x:c>
      <x:c r="AH21" s="10" t="str">
        <x:v>同步2026-10-12 Review记录；来源状态与本批采纳、实测结果独立。</x:v>
      </x:c>
    </x:row>
    <x:row r="22" ht="112.5" customHeight="1">
      <x:c r="A22" s="10" t="str">
        <x:v>UI17</x:v>
      </x:c>
      <x:c r="B22" s="10" t="str">
        <x:v>全局</x:v>
      </x:c>
      <x:c r="C22" s="10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F22&lt;&gt;"已确认","依据待确认",IF('本批提测'!$B$8="","版本待填写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G22,"结果待填写"))))))))))</x:f>
        <x:v>未纳入本批</x:v>
      </x:c>
      <x:c r="J22" s="10" t="str">
        <x:v>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review-70bd2614ce；2026-10-12当前视图rev628；建议按本批批准基线采纳，来源状态不等于实测结果。</x:v>
      </x:c>
      <x:c r="M22" s="86"/>
      <x:c r="N22" s="86"/>
      <x:c r="O22" s="86"/>
      <x:c r="P22" s="14" t="str">
        <x:v>P1</x:v>
      </x:c>
      <x:c r="Q22" s="14" t="str">
        <x:v>待确认</x:v>
      </x:c>
      <x:c r="R22" s="14" t="str">
        <x:v>直接复用</x:v>
      </x:c>
      <x:c r="S22" s="14" t="str">
        <x:v>开发</x:v>
      </x:c>
      <x:c r="T22" s="10" t="str">
        <x:v>UI核对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补路由前后比对、特殊跳转及必要状态边界，避免过度要求所有UI状态保留。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</x:v>
      </x:c>
      <x:c r="AF22" s="10" t="str">
        <x:f>IF(D22="否","不适用",IF(D22&lt;&gt;"是","未纳入本批",IF(OR(F22&lt;&gt;"已确认",'本批提测'!$H$57&lt;&gt;"已确认"),"待确认","已确认")))</x:f>
        <x:v>未纳入本批</x:v>
      </x:c>
      <x:c r="AG22" s="10" t="str">
        <x:v>本轮修正</x:v>
      </x:c>
      <x:c r="AH22" s="10" t="str">
        <x:v>同步2026-10-12 Review记录；来源状态与本批采纳、实测结果独立。</x:v>
      </x:c>
    </x:row>
    <x:row r="23" ht="112.5" customHeight="1">
      <x:c r="A23" s="10" t="str">
        <x:v>UI18</x:v>
      </x:c>
      <x:c r="B23" s="10" t="str">
        <x:v>服务单元</x:v>
      </x:c>
      <x:c r="C23" s="10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F23&lt;&gt;"已确认","依据待确认",IF('本批提测'!$B$8="","版本待填写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G23,"结果待填写"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review-f828afea0f；2026-10-12当前视图rev628；建议按本批批准基线采纳，来源状态不等于实测结果。</x:v>
      </x:c>
      <x:c r="M23" s="86"/>
      <x:c r="N23" s="86"/>
      <x:c r="O23" s="86"/>
      <x:c r="P23" s="14" t="str">
        <x:v>P0</x:v>
      </x:c>
      <x:c r="Q23" s="14" t="str">
        <x:v>待确认</x:v>
      </x:c>
      <x:c r="R23" s="14" t="str">
        <x:v>直接复用</x:v>
      </x:c>
      <x:c r="S23" s="14" t="str">
        <x:v>开发、产品</x:v>
      </x:c>
      <x:c r="T23" s="10" t="str">
        <x:v>UI核对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F23&lt;&gt;"已确认",AND('本批提测'!$H$42&lt;&gt;"已确认",'本批提测'!$H$42&lt;&gt;"已记录后置"),AND('本批提测'!$H$40&lt;&gt;"已确认",'本批提测'!$H$40&lt;&gt;"已记录后置"),'本批提测'!$H$57&lt;&gt;"已确认"),"待确认","已确认")))</x:f>
        <x:v>未纳入本批</x:v>
      </x:c>
      <x:c r="AG23" s="10" t="str">
        <x:v>本轮修正</x:v>
      </x:c>
      <x:c r="AH23" s="10" t="str">
        <x:v>同步2026-10-12 Review记录；来源状态与本批采纳、实测结果独立。</x:v>
      </x:c>
    </x:row>
    <x:row r="24" ht="84.7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F24&lt;&gt;"已确认","依据待确认",IF('本批提测'!$B$8="","版本待填写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G24,"结果待填写"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UI核对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IF(D24="否","不适用",IF(D24&lt;&gt;"是","未纳入本批",IF(OR(F24&lt;&gt;"已确认",'本批提测'!$H$57&lt;&gt;"已确认",AND('本批提测'!$H$40&lt;&gt;"已确认",'本批提测'!$H$40&lt;&gt;"已记录后置")),"待确认","已确认")))</x:f>
        <x:v>未纳入本批</x:v>
      </x:c>
      <x:c r="AG24" s="10" t="str">
        <x:v>保留／按批次选取</x:v>
      </x:c>
      <x:c r="AH24" s="10" t="str">
        <x:v>设计复核后保留；关联DEC18、DEC01确认后方可执行判定。</x:v>
      </x:c>
    </x:row>
    <x:row r="25" ht="70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F25&lt;&gt;"已确认","依据待确认",IF('本批提测'!$B$8="","版本待填写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G25,"结果待填写"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UI核对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/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IF(D25="否","不适用",IF(D25&lt;&gt;"是","未纳入本批",IF(OR(F25&lt;&gt;"已确认",'本批提测'!$H$57&lt;&gt;"已确认",AND('本批提测'!$H$40&lt;&gt;"已确认",'本批提测'!$H$40&lt;&gt;"已记录后置")),"待确认","已确认")))</x:f>
        <x:v>未纳入本批</x:v>
      </x:c>
      <x:c r="AG25" s="10" t="str">
        <x:v>保留／按批次选取</x:v>
      </x:c>
      <x:c r="AH25" s="10" t="str">
        <x:v>设计复核后保留；关联DEC18、DEC01确认后方可执行判定。</x:v>
      </x:c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F26&lt;&gt;"已确认","依据待确认",IF('本批提测'!$B$8="","版本待填写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G26,"结果待填写"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UI核对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IF(D26="否","不适用",IF(D26&lt;&gt;"是","未纳入本批",IF(OR(F26&lt;&gt;"已确认",'本批提测'!$H$57&lt;&gt;"已确认",AND('本批提测'!$H$40&lt;&gt;"已确认",'本批提测'!$H$40&lt;&gt;"已记录后置")),"待确认","已确认")))</x:f>
        <x:v>未纳入本批</x:v>
      </x:c>
      <x:c r="AG26" s="10" t="str">
        <x:v>保留／按批次选取</x:v>
      </x:c>
      <x:c r="AH26" s="10" t="str">
        <x:v>设计复核后保留；关联DEC18、DEC01确认后方可执行判定。</x:v>
      </x:c>
    </x:row>
    <x:row r="27" ht="63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F27&lt;&gt;"已确认","依据待确认",IF('本批提测'!$B$8="","版本待填写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G27,"结果待填写"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UI核对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F27&lt;&gt;"已确认",'本批提测'!$H$49&lt;&gt;"已确认",'本批提测'!$H$57&lt;&gt;"已确认",AND('本批提测'!$H$40&lt;&gt;"已确认",'本批提测'!$H$40&lt;&gt;"已记录后置")),"待确认","已确认")))</x:f>
        <x:v>未纳入本批</x:v>
      </x:c>
      <x:c r="AG27" s="10" t="str">
        <x:v>保留／按批次选取</x:v>
      </x:c>
      <x:c r="AH27" s="10" t="str">
        <x:v>设计复核后保留；关联DEC10、DEC18、DEC01确认后方可执行判定。</x:v>
      </x:c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F28&lt;&gt;"已确认","依据待确认",IF('本批提测'!$B$8="","版本待填写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G28,"结果待填写"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UI核对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IF(D28="否","不适用",IF(D28&lt;&gt;"是","未纳入本批",IF(OR(F28&lt;&gt;"已确认",'本批提测'!$H$57&lt;&gt;"已确认",AND('本批提测'!$H$40&lt;&gt;"已确认",'本批提测'!$H$40&lt;&gt;"已记录后置")),"待确认","已确认")))</x:f>
        <x:v>未纳入本批</x:v>
      </x:c>
      <x:c r="AG28" s="10" t="str">
        <x:v>保留／按批次选取</x:v>
      </x:c>
      <x:c r="AH28" s="10" t="str">
        <x:v>设计复核后保留；关联DEC18、DEC01确认后方可执行判定。</x:v>
      </x:c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F29&lt;&gt;"已确认","依据待确认",IF('本批提测'!$B$8="","版本待填写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G29,"结果待填写"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UI核对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IF(D29="否","不适用",IF(D29&lt;&gt;"是","未纳入本批",IF(OR(F29&lt;&gt;"已确认",'本批提测'!$H$57&lt;&gt;"已确认",AND('本批提测'!$H$40&lt;&gt;"已确认",'本批提测'!$H$40&lt;&gt;"已记录后置")),"待确认","已确认")))</x:f>
        <x:v>未纳入本批</x:v>
      </x:c>
      <x:c r="AG29" s="10" t="str">
        <x:v>保留／按批次选取</x:v>
      </x:c>
      <x:c r="AH29" s="10" t="str">
        <x:v>设计复核后保留；关联DEC18、DEC01确认后方可执行判定。</x:v>
      </x:c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F30&lt;&gt;"已确认","依据待确认",IF('本批提测'!$B$8="","版本待填写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G30,"结果待填写"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UI核对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IF(D30="否","不适用",IF(D30&lt;&gt;"是","未纳入本批",IF(OR(F30&lt;&gt;"已确认",'本批提测'!$H$57&lt;&gt;"已确认",AND('本批提测'!$H$40&lt;&gt;"已确认",'本批提测'!$H$40&lt;&gt;"已记录后置")),"待确认","已确认")))</x:f>
        <x:v>未纳入本批</x:v>
      </x:c>
      <x:c r="AG30" s="10" t="str">
        <x:v>保留／按批次选取</x:v>
      </x:c>
      <x:c r="AH30" s="10" t="str">
        <x:v>设计复核后保留；关联DEC18、DEC01确认后方可执行判定。</x:v>
      </x:c>
    </x:row>
    <x:row r="31" ht="63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F31&lt;&gt;"已确认","依据待确认",IF('本批提测'!$B$8="","版本待填写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G31,"结果待填写"))))))))))</x:f>
        <x:v>未纳入本批</x:v>
      </x:c>
      <x:c r="J31" s="10" t="str">
        <x:v>使用长名称、多行规则及较多记录，检查列表、弹窗和抽屉。</x:v>
      </x:c>
      <x:c r="K31" s="10" t="str">
        <x:v>表格长文本单行省略且hover Tooltip显示完整；详情文字最多3行，超出折叠并可展开；容器可滚动，关键操作不遮挡。</x:v>
      </x:c>
      <x:c r="L31" s="10" t="str">
        <x:v>SPEC §9.4；REVIEW 第10、18项；长内容数据为测试建议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UI核对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/>
      <x:c r="AD31" s="10" t="str">
        <x:v>长文本长度类触发省略和展开，表格与详情采用不同承载；必须验证完整信息可取得。</x:v>
      </x:c>
      <x:c r="AE31" s="10" t="str">
        <x:v>短文本及明显超过容器的长文本对照；表格一行省略Tooltip，详情三行展开／滚动，实际查看完整内容而非只测省略号。</x:v>
      </x:c>
      <x:c r="AF31" s="10" t="str">
        <x:f>IF(D31="否","不适用",IF(D31&lt;&gt;"是","未纳入本批",IF(OR(F31&lt;&gt;"已确认",'本批提测'!$H$57&lt;&gt;"已确认",AND('本批提测'!$H$40&lt;&gt;"已确认",'本批提测'!$H$40&lt;&gt;"已记录后置")),"待确认","已确认")))</x:f>
        <x:v>未纳入本批</x:v>
      </x:c>
      <x:c r="AG31" s="10" t="str">
        <x:v>保留／按批次选取</x:v>
      </x:c>
      <x:c r="AH31" s="10" t="str">
        <x:v>设计复核后保留；关联DEC18、DEC01确认后方可执行判定。</x:v>
      </x:c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F32&lt;&gt;"已确认","依据待确认",IF('本批提测'!$B$8="","版本待填写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G32,"结果待填写"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UI核对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IF(D32="否","不适用",IF(D32&lt;&gt;"是","未纳入本批",IF(OR(F32&lt;&gt;"已确认",'本批提测'!$H$57&lt;&gt;"已确认",AND('本批提测'!$H$40&lt;&gt;"已确认",'本批提测'!$H$40&lt;&gt;"已记录后置")),"待确认","已确认")))</x:f>
        <x:v>未纳入本批</x:v>
      </x:c>
      <x:c r="AG32" s="10" t="str">
        <x:v>保留／按批次选取</x:v>
      </x:c>
      <x:c r="AH32" s="10" t="str">
        <x:v>设计复核后保留；关联DEC18、DEC01确认后方可执行判定。</x:v>
      </x:c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F33&lt;&gt;"已确认","依据待确认",IF('本批提测'!$B$8="","版本待填写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G33,"结果待填写"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UI核对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IF(D33="否","不适用",IF(D33&lt;&gt;"是","未纳入本批",IF(OR(F33&lt;&gt;"已确认",'本批提测'!$H$57&lt;&gt;"已确认",AND('本批提测'!$H$40&lt;&gt;"已确认",'本批提测'!$H$40&lt;&gt;"已记录后置")),"待确认","已确认")))</x:f>
        <x:v>未纳入本批</x:v>
      </x:c>
      <x:c r="AG33" s="10" t="str">
        <x:v>保留／按批次选取</x:v>
      </x:c>
      <x:c r="AH33" s="10" t="str">
        <x:v>设计复核后保留；关联DEC18、DEC01确认后方可执行判定。</x:v>
      </x:c>
    </x:row>
    <x:row r="34" ht="63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F34&lt;&gt;"已确认","依据待确认",IF('本批提测'!$B$8="","版本待填写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G34,"结果待填写"))))))))))</x:f>
        <x:v>未纳入本批</x:v>
      </x:c>
      <x:c r="J34" s="10" t="str">
        <x:v>分别展示无值、0、件数和重量字段。</x:v>
      </x:c>
      <x:c r="K34" s="10" t="str">
        <x:v>无值用—，不能以0替代；真实0正常显示；金额口径见 DEC10，重量保留3位小数并带单位；件数整数与千分位。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UI核对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/>
      <x:c r="AD34" s="10" t="str">
        <x:v>空值和真实0分属不同数据类；数值格式按金额、重量、数量分别验证，防止格式化改变意义。</x:v>
      </x:c>
      <x:c r="AE34" s="10" t="str">
        <x:v>用null、0、小数、千位数及单位样本；核对—、重量三位与单位、数量整数分组。金额冲突另按UI22／DEC10，不混用统一格式。</x:v>
      </x:c>
      <x:c r="AF34" s="10" t="str">
        <x:f>IF(D34="否","不适用",IF(D34&lt;&gt;"是","未纳入本批",IF(OR(F34&lt;&gt;"已确认",'本批提测'!$H$49&lt;&gt;"已确认",'本批提测'!$H$57&lt;&gt;"已确认",AND('本批提测'!$H$40&lt;&gt;"已确认",'本批提测'!$H$40&lt;&gt;"已记录后置")),"待确认","已确认")))</x:f>
        <x:v>未纳入本批</x:v>
      </x:c>
      <x:c r="AG34" s="10" t="str">
        <x:v>保留／按批次选取</x:v>
      </x:c>
      <x:c r="AH34" s="10" t="str">
        <x:v>设计复核后保留；关联DEC10、DEC18、DEC01确认后方可执行判定。</x:v>
      </x:c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F35&lt;&gt;"已确认","依据待确认",IF('本批提测'!$B$8="","版本待填写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G35,"结果待填写"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UI核对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IF(D35="否","不适用",IF(D35&lt;&gt;"是","未纳入本批",IF(OR(F35&lt;&gt;"已确认",'本批提测'!$H$57&lt;&gt;"已确认",AND('本批提测'!$H$40&lt;&gt;"已确认",'本批提测'!$H$40&lt;&gt;"已记录后置")),"待确认","已确认")))</x:f>
        <x:v>未纳入本批</x:v>
      </x:c>
      <x:c r="AG35" s="10" t="str">
        <x:v>保留／按批次选取</x:v>
      </x:c>
      <x:c r="AH35" s="10" t="str">
        <x:v>设计复核后保留；关联DEC18、DEC01确认后方可执行判定。</x:v>
      </x:c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F36&lt;&gt;"已确认","依据待确认",IF('本批提测'!$B$8="","版本待填写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G36,"结果待填写"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UI核对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IF(D36="否","不适用",IF(D36&lt;&gt;"是","未纳入本批",IF(OR(F36&lt;&gt;"已确认",'本批提测'!$H$57&lt;&gt;"已确认",AND('本批提测'!$H$40&lt;&gt;"已确认",'本批提测'!$H$40&lt;&gt;"已记录后置")),"待确认","已确认")))</x:f>
        <x:v>未纳入本批</x:v>
      </x:c>
      <x:c r="AG36" s="10" t="str">
        <x:v>保留／按批次选取</x:v>
      </x:c>
      <x:c r="AH36" s="10" t="str">
        <x:v>设计复核后保留；关联DEC18、DEC01确认后方可执行判定。</x:v>
      </x:c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F37&lt;&gt;"已确认","依据待确认",IF('本批提测'!$B$8="","版本待填写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G37,"结果待填写"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UI核对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IF(D37="否","不适用",IF(D37&lt;&gt;"是","未纳入本批",IF(OR(F37&lt;&gt;"已确认",'本批提测'!$H$57&lt;&gt;"已确认",AND('本批提测'!$H$40&lt;&gt;"已确认",'本批提测'!$H$40&lt;&gt;"已记录后置")),"待确认","已确认")))</x:f>
        <x:v>未纳入本批</x:v>
      </x:c>
      <x:c r="AG37" s="10" t="str">
        <x:v>保留／按批次选取</x:v>
      </x:c>
      <x:c r="AH37" s="10" t="str">
        <x:v>设计复核后保留；关联DEC18、DEC01确认后方可执行判定。</x:v>
      </x:c>
    </x:row>
    <x:row r="38" ht="84.7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F38&lt;&gt;"已确认","依据待确认",IF('本批提测'!$B$8="","版本待填写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G38,"结果待填写"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UI核对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IF(D38="否","不适用",IF(D38&lt;&gt;"是","未纳入本批",IF(OR(F38&lt;&gt;"已确认",'本批提测'!$H$57&lt;&gt;"已确认",AND('本批提测'!$H$40&lt;&gt;"已确认",'本批提测'!$H$40&lt;&gt;"已记录后置")),"待确认","已确认")))</x:f>
        <x:v>未纳入本批</x:v>
      </x:c>
      <x:c r="AG38" s="10" t="str">
        <x:v>保留／按批次选取</x:v>
      </x:c>
      <x:c r="AH38" s="10" t="str">
        <x:v>设计复核后保留；关联DEC18、DEC01确认后方可执行判定。</x:v>
      </x:c>
    </x:row>
    <x:row r="39" ht="70.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F39&lt;&gt;"已确认","依据待确认",IF('本批提测'!$B$8="","版本待填写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G39,"结果待填写"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UI核对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IF(D39="否","不适用",IF(D39&lt;&gt;"是","未纳入本批",IF(OR(F39&lt;&gt;"已确认",'本批提测'!$H$57&lt;&gt;"已确认",AND('本批提测'!$H$40&lt;&gt;"已确认",'本批提测'!$H$40&lt;&gt;"已记录后置")),"待确认","已确认")))</x:f>
        <x:v>未纳入本批</x:v>
      </x:c>
      <x:c r="AG39" s="10" t="str">
        <x:v>保留／按批次选取</x:v>
      </x:c>
      <x:c r="AH39" s="10" t="str">
        <x:v>设计复核后保留；关联DEC18、DEC01确认后方可执行判定。</x:v>
      </x:c>
    </x:row>
    <x:row r="40" ht="124.5" customHeight="1">
      <x:c r="A40" s="10" t="str">
        <x:v>UI35</x:v>
      </x:c>
      <x:c r="B40" s="10" t="str">
        <x:v>服务单元</x:v>
      </x:c>
      <x:c r="C40" s="10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F40&lt;&gt;"已确认","依据待确认",IF('本批提测'!$B$8="","版本待填写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G40,"结果待填写"))))))))))</x:f>
        <x:v>未纳入本批</x:v>
      </x:c>
      <x:c r="J40" s="10" t="str"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K40" s="10" t="str"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L40" s="10" t="str">
        <x:v>REVIEW review-de7057751b；2026-10-12读取当前视图rev628；REQ §6.2新建弹窗冲突DEC23。</x:v>
      </x:c>
      <x:c r="M40" s="162"/>
      <x:c r="N40" s="162"/>
      <x:c r="O40" s="162"/>
      <x:c r="P40" s="10" t="str">
        <x:v>P1</x:v>
      </x:c>
      <x:c r="Q40" s="10" t="str">
        <x:v>修改中</x:v>
      </x:c>
      <x:c r="R40" s="10" t="str">
        <x:v>组合复用</x:v>
      </x:c>
      <x:c r="S40" s="10" t="str">
        <x:v>开发</x:v>
      </x:c>
      <x:c r="T40" s="10" t="str">
        <x:v>UI核对</x:v>
      </x:c>
      <x:c r="U40" s="162"/>
      <x:c r="V40" s="162"/>
      <x:c r="W40" s="10" t="str">
        <x:v>未批准Review建议</x:v>
      </x:c>
      <x:c r="X40" s="10" t="str">
        <x:v>组件使用、信息层级</x:v>
      </x:c>
      <x:c r="Y40" s="1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本轮补充；来源采纳、交付范围与实测分别记录。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IF(D40="否","不适用",IF(D40&lt;&gt;"是","未纳入本批",IF(OR(F40&lt;&gt;"已确认",AND('本批提测'!$H$115&lt;&gt;"已确认",'本批提测'!$H$115&lt;&gt;"已记录后置"),'本批提测'!$H$57&lt;&gt;"已确认"),"待确认","已确认")))</x:f>
        <x:v>未纳入本批</x:v>
      </x:c>
      <x:c r="AG40" s="10" t="str">
        <x:v>本轮补充</x:v>
      </x:c>
      <x:c r="AH40" s="10" t="str">
        <x:v>补具体步骤、预期与分支证据；待本批确认并执行。</x:v>
      </x:c>
    </x:row>
    <x:row r="41" ht="112.5" customHeight="1">
      <x:c r="A41" s="10" t="str">
        <x:v>UI36</x:v>
      </x:c>
      <x:c r="B41" s="10" t="str">
        <x:v>服务单元列表</x:v>
      </x:c>
      <x:c r="C41" s="10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F41&lt;&gt;"已确认","依据待确认",IF('本批提测'!$B$8="","版本待填写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G41,"结果待填写"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review-b8b8e36a2b；2026-10-12新增于旧表之外；SPEC列表页/页头框架。</x:v>
      </x:c>
      <x:c r="M41" s="162"/>
      <x:c r="N41" s="162"/>
      <x:c r="O41" s="162"/>
      <x:c r="P41" s="10" t="str">
        <x:v>P0</x:v>
      </x:c>
      <x:c r="Q41" s="10" t="str">
        <x:v>待确认</x:v>
      </x:c>
      <x:c r="R41" s="10" t="str">
        <x:v>直接复用</x:v>
      </x:c>
      <x:c r="S41" s="10" t="str">
        <x:v>开发</x:v>
      </x:c>
      <x:c r="T41" s="10" t="str">
        <x:v>UI核对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IF(D41="否","不适用",IF(D41&lt;&gt;"是","未纳入本批",IF(OR(F41&lt;&gt;"已确认",'本批提测'!$H$57&lt;&gt;"已确认"),"待确认","已确认")))</x:f>
        <x:v>未纳入本批</x:v>
      </x:c>
      <x:c r="AG41" s="10" t="str">
        <x:v>本轮补充</x:v>
      </x:c>
      <x:c r="AH41" s="10" t="str">
        <x:v>补具体步骤、预期与分支证据；待本批确认并执行。</x:v>
      </x:c>
    </x:row>
    <x:row r="42" ht="112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F42&lt;&gt;"已确认","依据待确认",IF('本批提测'!$B$8="","版本待填写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G42,"结果待填写"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UI核对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</x:row>
    <x:row r="43" ht="112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F43&lt;&gt;"已确认","依据待确认",IF('本批提测'!$B$8="","版本待填写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G43,"结果待填写"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UI核对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</x:row>
    <x:row r="44" ht="112.5" customHeight="1">
      <x:c r="A44" s="10" t="str">
        <x:v>UI39</x:v>
      </x:c>
      <x:c r="B44" s="10" t="str">
        <x:v>通用色彩与图标</x:v>
      </x:c>
      <x:c r="C44" s="10" t="str">
        <x:v>背景、语义色、状态文字与图标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F44&lt;&gt;"已确认","依据待确认",IF('本批提测'!$B$8="","版本待填写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G44,"结果待填写"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emoji不作业务图标。hover/active取相应规格，项目例外先记录，不从截图凭目测猜色值。</x:v>
      </x:c>
      <x:c r="L44" s="10" t="str">
        <x:v>SPEC §3.1/3.7/§5.12；内嵌9Bg6Q2、hezLMm、P8qsx6，2026-10-12只读复核。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UI核对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IF(D44="否","不适用",IF(D44&lt;&gt;"是","未纳入本批",IF(OR(F44&lt;&gt;"已确认",'本批提测'!$H$57&lt;&gt;"已确认"),"待确认","已确认")))</x:f>
        <x:v>未纳入本批</x:v>
      </x:c>
      <x:c r="AG44" s="10" t="str">
        <x:v>本轮补充</x:v>
      </x:c>
      <x:c r="AH44" s="10" t="str">
        <x:v>补具体步骤、预期与分支证据；待本批确认并执行。</x:v>
      </x:c>
    </x:row>
    <x:row r="45" ht="124.5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F45&lt;&gt;"已确认","依据待确认",IF('本批提测'!$B$8="","版本待填写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G45,"结果待填写"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UI核对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dataValidations count="8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6c2a4650245a3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20.1→21批准算例；每行不同步长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通用色彩与图标：背景、语义色、状态文字与图标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1722089b794845a7"/>
  </x:tableParts>
</x:worksheet>
</file>