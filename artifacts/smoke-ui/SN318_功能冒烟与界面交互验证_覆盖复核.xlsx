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3c13ddec6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23ca623524754f7e"/>
    <x:sheet xmlns:r="http://schemas.openxmlformats.org/officeDocument/2006/relationships" name="冒烟用例" sheetId="2" r:id="R831e612c5e104490"/>
    <x:sheet xmlns:r="http://schemas.openxmlformats.org/officeDocument/2006/relationships" name="UI检查" sheetId="3" r:id="R6634e736c116483d"/>
    <x:sheet xmlns:r="http://schemas.openxmlformats.org/officeDocument/2006/relationships" name="需求对照" sheetId="4" r:id="R80c711c8529f426d"/>
    <x:sheet xmlns:r="http://schemas.openxmlformats.org/officeDocument/2006/relationships" name="网站详情对照" sheetId="5" r:id="Rc2b472d03a714ca0"/>
    <x:sheet xmlns:r="http://schemas.openxmlformats.org/officeDocument/2006/relationships" name="开发冒烟" sheetId="6" r:id="R05e6fc335c5144f2"/>
    <x:sheet xmlns:r="http://schemas.openxmlformats.org/officeDocument/2006/relationships" name="UI走查" sheetId="7" r:id="R6aad07f9e9a84b40"/>
    <x:sheet xmlns:r="http://schemas.openxmlformats.org/officeDocument/2006/relationships" name="UI修改清单" sheetId="8" r:id="R1688325dad52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26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  <x:font>
      <x:b/>
      <x:sz val="14"/>
      <x:color rgb="FF213B62"/>
      <x:name val="Arial"/>
    </x:font>
  </x:fonts>
  <x:fills count="64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213B62"/>
      </x:patternFill>
    </x:fill>
    <x:fill>
      <x:patternFill patternType="solid">
        <x:fgColor rgb="FFFFFFFF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4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7" fillId="49" borderId="0" xfId="0" applyNumberFormat="1" applyFont="1" applyFill="1" applyBorder="1" applyAlignment="1">
      <x:alignment vertical="center" wrapText="1"/>
    </x:xf>
    <x:xf numFmtId="0" fontId="18" fillId="49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5" fillId="50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center" wrapText="1"/>
    </x:xf>
    <x:xf numFmtId="0" fontId="16" fillId="51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8" fillId="53" borderId="0" xfId="0" applyNumberFormat="1" applyFont="1" applyFill="1" applyBorder="1" applyAlignment="1">
      <x:alignment vertical="center" wrapText="1"/>
    </x:xf>
    <x:xf numFmtId="0" fontId="15" fillId="54" borderId="0" xfId="0" applyNumberFormat="1" applyFont="1" applyFill="1" applyBorder="1" applyAlignment="1">
      <x:alignment vertical="center" wrapText="1"/>
    </x:xf>
    <x:xf numFmtId="0" fontId="19" fillId="54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15" fillId="56" borderId="0" xfId="0" applyNumberFormat="1" applyFont="1" applyFill="1" applyBorder="1"/>
    <x:xf numFmtId="0" fontId="0" fillId="57" borderId="0" xfId="0" applyNumberFormat="1" applyFont="1" applyFill="1" applyBorder="1"/>
    <x:xf numFmtId="0" fontId="18" fillId="57" borderId="0" xfId="0" applyNumberFormat="1" applyFont="1" applyFill="1" applyBorder="1"/>
    <x:xf numFmtId="0" fontId="0" fillId="58" borderId="0" xfId="0" applyNumberFormat="1" applyFont="1" applyFill="1" applyBorder="1"/>
    <x:xf numFmtId="0" fontId="17" fillId="58" borderId="0" xfId="0" applyNumberFormat="1" applyFont="1" applyFill="1" applyBorder="1"/>
    <x:xf numFmtId="0" fontId="0" fillId="59" borderId="0" xfId="0" applyNumberFormat="1" applyFont="1" applyFill="1" applyBorder="1"/>
    <x:xf numFmtId="0" fontId="24" fillId="59" borderId="0" xfId="0" applyNumberFormat="1" applyFont="1" applyFill="1" applyBorder="1"/>
    <x:xf numFmtId="0" fontId="0" fillId="60" borderId="0" xfId="0" applyNumberFormat="1" applyFont="1" applyFill="1" applyBorder="1"/>
    <x:xf numFmtId="0" fontId="16" fillId="60" borderId="0" xfId="0" applyNumberFormat="1" applyFont="1" applyFill="1" applyBorder="1"/>
    <x:xf numFmtId="0" fontId="1" fillId="56" borderId="0" xfId="0" applyNumberFormat="1" applyFont="1" applyFill="1" applyBorder="1"/>
    <x:xf numFmtId="0" fontId="1" fillId="57" borderId="0" xfId="0" applyNumberFormat="1" applyFont="1" applyFill="1" applyBorder="1"/>
    <x:xf numFmtId="0" fontId="1" fillId="58" borderId="0" xfId="0" applyNumberFormat="1" applyFont="1" applyFill="1" applyBorder="1"/>
    <x:xf numFmtId="0" fontId="1" fillId="59" borderId="0" xfId="0" applyNumberFormat="1" applyFont="1" applyFill="1" applyBorder="1"/>
    <x:xf numFmtId="0" fontId="1" fillId="60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wrapText="1"/>
    </x:xf>
    <x:xf numFmtId="0" fontId="1" fillId="58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 applyAlignment="1">
      <x:alignment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8" fillId="54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15" fillId="56" borderId="0" xfId="0" applyNumberFormat="1" applyFont="1" applyFill="1" applyBorder="1" applyAlignment="1">
      <x:alignment vertical="center" wrapText="1"/>
    </x:xf>
    <x:xf numFmtId="0" fontId="18" fillId="57" borderId="0" xfId="0" applyNumberFormat="1" applyFont="1" applyFill="1" applyBorder="1" applyAlignment="1">
      <x:alignment vertical="center" wrapText="1"/>
    </x:xf>
    <x:xf numFmtId="0" fontId="17" fillId="58" borderId="0" xfId="0" applyNumberFormat="1" applyFont="1" applyFill="1" applyBorder="1" applyAlignment="1">
      <x:alignment vertical="center" wrapText="1"/>
    </x:xf>
    <x:xf numFmtId="0" fontId="24" fillId="59" borderId="0" xfId="0" applyNumberFormat="1" applyFont="1" applyFill="1" applyBorder="1" applyAlignment="1">
      <x:alignment vertical="center" wrapText="1"/>
    </x:xf>
    <x:xf numFmtId="0" fontId="16" fillId="60" borderId="0" xfId="0" applyNumberFormat="1" applyFont="1" applyFill="1" applyBorder="1" applyAlignment="1">
      <x:alignment vertical="center" wrapText="1"/>
    </x:xf>
    <x:xf numFmtId="0" fontId="1" fillId="62" borderId="0" xfId="0" applyNumberFormat="1" applyFont="1" applyFill="1" applyBorder="1" applyAlignment="1">
      <x:alignment vertical="center" wrapText="1"/>
    </x:xf>
    <x:xf numFmtId="0" fontId="4" fillId="6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6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5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>
          <x:bgColor rgb="FFFDE7E9"/>
        </x:patternFill>
      </x:fill>
    </x:dxf>
    <x:dxf>
      <x:font>
        <x:color rgb="FF991B1B"/>
      </x:font>
      <x:fill>
        <x:patternFill>
          <x:bgColor rgb="FFFDE7E9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2ee2ed61f4d0d" /><Relationship Type="http://schemas.openxmlformats.org/officeDocument/2006/relationships/theme" Target="/xl/theme/theme1.xml" Id="R51e31c0f13da46ff" /><Relationship Type="http://schemas.openxmlformats.org/officeDocument/2006/relationships/sharedStrings" Target="/xl/sharedStrings.xml" Id="R0eaac04b3aaf4502" /><Relationship Type="http://schemas.openxmlformats.org/officeDocument/2006/relationships/worksheet" Target="/xl/worksheets/sheet1.xml" Id="R23ca623524754f7e" /><Relationship Type="http://schemas.openxmlformats.org/officeDocument/2006/relationships/worksheet" Target="/xl/worksheets/sheet2.xml" Id="R831e612c5e104490" /><Relationship Type="http://schemas.openxmlformats.org/officeDocument/2006/relationships/worksheet" Target="/xl/worksheets/sheet3.xml" Id="R6634e736c116483d" /><Relationship Type="http://schemas.openxmlformats.org/officeDocument/2006/relationships/worksheet" Target="/xl/worksheets/sheet4.xml" Id="R80c711c8529f426d" /><Relationship Type="http://schemas.openxmlformats.org/officeDocument/2006/relationships/worksheet" Target="/xl/worksheets/sheet5.xml" Id="Rc2b472d03a714ca0" /><Relationship Type="http://schemas.openxmlformats.org/officeDocument/2006/relationships/worksheet" Target="/xl/worksheets/sheet6.xml" Id="R05e6fc335c5144f2" /><Relationship Type="http://schemas.openxmlformats.org/officeDocument/2006/relationships/worksheet" Target="/xl/worksheets/sheet7.xml" Id="R6aad07f9e9a84b40" /><Relationship Type="http://schemas.openxmlformats.org/officeDocument/2006/relationships/worksheet" Target="/xl/worksheets/sheet8.xml" Id="R1688325dad524641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2" name="SmokeCases" displayName="SmokeCases" ref="A5:AB96" headerRowCount="1" totalsRowCount="0" totalsRowShown="0">
  <x:tableColumns count="28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正式测试层次（原分组）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  <x:tableColumn id="27" name="开发冒烟参考场景"/>
    <x:tableColumn id="28" name="正式测试策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3" name="UiCases" displayName="UiCases" ref="A5:AM54" headerRowCount="1" totalsRowCount="0" totalsRowShown="0">
  <x:tableColumns count="39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（局部覆盖）"/>
    <x:tableColumn id="37" name="验收所需依据"/>
    <x:tableColumn id="38" name="层级来源"/>
    <x:tableColumn id="39" name="功能关联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4" name="RequirementTrace" displayName="RequirementTrace" ref="A5:H131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SiteEvidence" displayName="SiteEvidence" ref="A5:H15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6" name="DeveloperSmoke" displayName="DeveloperSmoke" ref="A6:R22" headerRowCount="1" totalsRowCount="0" totalsRowShown="0">
  <x:tableColumns count="18">
    <x:tableColumn id="1" name="编号"/>
    <x:tableColumn id="2" name="模块"/>
    <x:tableColumn id="3" name="主流程场景"/>
    <x:tableColumn id="4" name="步骤/合法测试数据"/>
    <x:tableColumn id="5" name="主流程预期"/>
    <x:tableColumn id="6" name="参考完整case"/>
    <x:tableColumn id="7" name="本批适用"/>
    <x:tableColumn id="8" name="场景规则确认"/>
    <x:tableColumn id="9" name="执行结果"/>
    <x:tableColumn id="10" name="执行Build"/>
    <x:tableColumn id="11" name="执行需求基线"/>
    <x:tableColumn id="12" name="实际结果/证据"/>
    <x:tableColumn id="13" name="执行人"/>
    <x:tableColumn id="14" name="本阶段有效结果"/>
    <x:tableColumn id="15" name="问题/未纳入理由"/>
    <x:tableColumn id="16" name="待决口径及正式补充"/>
    <x:tableColumn id="17" name="DS03本次普通对象"/>
    <x:tableColumn id="18" name="DS03对象契约与合法数据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5" name="UIPageExecution" displayName="UIPageExecution" ref="A61:R111" headerRowCount="1" totalsRowCount="0" totalsRowShown="0">
  <x:tableColumns count="18">
    <x:tableColumn id="1" name="页面实例ID"/>
    <x:tableColumn id="2" name="关联UI case"/>
    <x:tableColumn id="3" name="页面/对象·组件·视口"/>
    <x:tableColumn id="4" name="URL/实际菜单路径"/>
    <x:tableColumn id="5" name="本批适用"/>
    <x:tableColumn id="6" name="必验状态/批准裁剪/数据"/>
    <x:tableColumn id="7" name="本次采用UI依据版本"/>
    <x:tableColumn id="8" name="页面执行结果"/>
    <x:tableColumn id="9" name="执行Build"/>
    <x:tableColumn id="10" name="动作及实际结果证据"/>
    <x:tableColumn id="11" name="执行人"/>
    <x:tableColumn id="12" name="问题/受阻/缺依据说明"/>
    <x:tableColumn id="13" name="关联修改清单ID"/>
    <x:tableColumn id="14" name="不适用依据"/>
    <x:tableColumn id="15" name="页面记录有效结果"/>
    <x:tableColumn id="16" name="case操作步骤"/>
    <x:tableColumn id="17" name="case批准预期"/>
    <x:tableColumn id="18" name="来源适配层级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7" name="UIWalkthrough" displayName="UIWalkthrough" ref="A6:Y55" headerRowCount="1" totalsRowCount="0" totalsRowShown="0">
  <x:tableColumns count="25">
    <x:tableColumn id="1" name="UI case"/>
    <x:tableColumn id="2" name="页面/模块"/>
    <x:tableColumn id="3" name="验证点"/>
    <x:tableColumn id="4" name="适配层级"/>
    <x:tableColumn id="5" name="当前走查策略"/>
    <x:tableColumn id="6" name="实际系统操作"/>
    <x:tableColumn id="7" name="批准预期/裁剪边界"/>
    <x:tableColumn id="8" name="本批走查适用"/>
    <x:tableColumn id="9" name="走查状态"/>
    <x:tableColumn id="10" name="页面与走查证据"/>
    <x:tableColumn id="11" name="缺依据/实际问题"/>
    <x:tableColumn id="12" name="主修改清单ID"/>
    <x:tableColumn id="13" name="走查人"/>
    <x:tableColumn id="14" name="走查Build"/>
    <x:tableColumn id="15" name="本轮采用依据版本"/>
    <x:tableColumn id="16" name="复查人"/>
    <x:tableColumn id="17" name="复查Build"/>
    <x:tableColumn id="18" name="复查证据"/>
    <x:tableColumn id="19" name="本轮流程记录"/>
    <x:tableColumn id="20" name="正式测试有效结果"/>
    <x:tableColumn id="21" name="页面范围核定"/>
    <x:tableColumn id="22" name="适用页面实例"/>
    <x:tableColumn id="23" name="已有有效记录"/>
    <x:tableColumn id="24" name="页面实例通过"/>
    <x:tableColumn id="25" name="页面覆盖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1" name="UIModificationList" displayName="UIModificationList" ref="A6:U37" headerRowCount="1" totalsRowCount="0" totalsRowShown="0">
  <x:tableColumns count="21">
    <x:tableColumn id="1" name="清单ID"/>
    <x:tableColumn id="2" name="关联UI case"/>
    <x:tableColumn id="3" name="页面/组件"/>
    <x:tableColumn id="4" name="记录类型"/>
    <x:tableColumn id="5" name="适配层级"/>
    <x:tableColumn id="6" name="待核对点/实际问题"/>
    <x:tableColumn id="7" name="处理建议"/>
    <x:tableColumn id="8" name="实际影响"/>
    <x:tableColumn id="9" name="复现/现象证据"/>
    <x:tableColumn id="10" name="发现Build"/>
    <x:tableColumn id="11" name="来源处理角色（参考）"/>
    <x:tableColumn id="12" name="本批责任人"/>
    <x:tableColumn id="13" name="计划修复版本"/>
    <x:tableColumn id="14" name="处理状态"/>
    <x:tableColumn id="15" name="复查Build"/>
    <x:tableColumn id="16" name="复查证据"/>
    <x:tableColumn id="17" name="核对/复查人"/>
    <x:tableColumn id="18" name="最终处置"/>
    <x:tableColumn id="19" name="无需整改/后置/不适用依据"/>
    <x:tableColumn id="20" name="来源"/>
    <x:tableColumn id="21" name="记录有效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a6b9a8154f4bd0" /><Relationship Type="http://schemas.openxmlformats.org/officeDocument/2006/relationships/table" Target="/xl/tables/table2.xml" Id="Ra9749a0519f14c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45c04ab4faa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2893cbb4e1e44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ea5ba18ed0a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5de176245344c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64c074dc86e49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c34d9adbb67439a" /><Relationship Type="http://schemas.openxmlformats.org/officeDocument/2006/relationships/table" Target="/xl/tables/table9.xml" Id="R73881c79f60a4a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f9c819b61a394e14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策略调整：开发主流程冒烟、界面交互走查/修改清单、正式完整测试分别记录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正式测试执行前提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开发自测看DS01—16，按交付选择；原28条完整场景属于正式主流程回归，全部适用分支完成才计通过。</x:v>
      </x:c>
      <x:c r="G8" s="18" t="str">
        <x:v>冒烟最小集合</x:v>
      </x:c>
      <x:c r="H8" s="10" t="str">
        <x:v>开发每个交付模块选合法主流程和保存读回，计价核DS10成本+重量及DS11关键失败；字段/边界/引用矩阵归正式测试。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 rev642：2设计完毕、2修改中、17待确认；颜色为适配方式，源状态不等于实现、走查完成或实测通过。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正式主流程回归</x:v>
      </x:c>
      <x:c r="B19" s="88" t="str">
        <x:v>当前记录</x:v>
      </x:c>
      <x:c r="C19" s="2"/>
      <x:c r="D19" s="2"/>
      <x:c r="E19" s="88" t="str">
        <x:v>正式UI交互验收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COUNTIFS('冒烟用例'!$D$6:$D$96,"是",'冒烟用例'!$P$6:$P$96,"主流程回归")</x:f>
        <x:v>5</x:v>
      </x:c>
      <x:c r="C20" s="2"/>
      <x:c r="D20" s="2"/>
      <x:c r="E20" s="2" t="str">
        <x:v>适用检查数</x:v>
      </x:c>
      <x:c r="F20" s="25" t="n">
        <x:f>COUNTIFS('UI检查'!$D$6:$D$54,"是")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COUNTIFS('冒烟用例'!$D$6:$D$96,"是",'冒烟用例'!$P$6:$P$96,"主流程回归",'冒烟用例'!$E$6:$E$96,"是")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COUNTIFS('UI检查'!$D$6:$D$54,"是",'UI检查'!$E$6:$E$54,"是")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COUNTIFS('冒烟用例'!$D$6:$D$96,"是",'冒烟用例'!$P$6:$P$96,"主流程回归",'冒烟用例'!$I$6:$I$96,"通过")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COUNTIFS('UI检查'!$D$6:$D$54,"是",'UI检查'!$I$6:$I$54,"通过")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COUNTIFS('冒烟用例'!$D$6:$D$96,"是",'冒烟用例'!$P$6:$P$96,"主流程回归",'冒烟用例'!$I$6:$I$96,"失败")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COUNTIFS('UI检查'!$D$6:$D$54,"是",'UI检查'!$I$6:$I$54,"失败")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主流程回归")-COUNTIFS('冒烟用例'!$D$6:$D$96,"是",'冒烟用例'!$P$6:$P$96,"主流程回归",'冒烟用例'!$I$6:$I$96,"通过")-COUNTIFS('冒烟用例'!$D$6:$D$96,"是",'冒烟用例'!$P$6:$P$96,"主流程回归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COUNTIFS('UI检查'!$D$6:$D$54,"是")-COUNTIFS('UI检查'!$D$6:$D$54,"是",'UI检查'!$I$6:$I$54,"通过")-COUNTIFS('UI检查'!$D$6:$D$54,"是",'UI检查'!$I$6:$I$54,"失败")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COUNTIFS('冒烟用例'!$D$6:$D$96,"是",'冒烟用例'!$P$6:$P$96,"主流程回归")-COUNTIFS('冒烟用例'!$D$6:$D$96,"是",'冒烟用例'!$P$6:$P$96,"主流程回归",'冒烟用例'!$V$6:$V$96,"已确认")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COUNTIFS('UI检查'!$D$6:$D$54,"是")-COUNTIFS('UI检查'!$D$6:$D$54,"是",'UI检查'!$AF$6:$AF$54,"已确认")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COUNTIFS('冒烟用例'!$D$6:$D$96,"待选择",'冒烟用例'!$P$6:$P$96,"主流程回归")</x:f>
        <x:v>23</x:v>
      </x:c>
      <x:c r="C26" s="2"/>
      <x:c r="D26" s="2"/>
      <x:c r="E26" s="2" t="str">
        <x:v>库内待筛选（提示）</x:v>
      </x:c>
      <x:c r="F26" s="25" t="n">
        <x:f>COUNTIFS('UI检查'!$D$6:$D$54,"待选择")</x:f>
        <x:v>49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COUNTIFS('冒烟用例'!$D$6:$D$96,"是",'冒烟用例'!$P$6:$P$96,"主流程回归",'冒烟用例'!$E$6:$E$96,"是",'冒烟用例'!$I$6:$I$96,"失败")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COUNTIFS('UI检查'!$D$6:$D$54,"是",'UI检查'!$E$6:$E$54,"是",'UI检查'!$I$6:$I$54,"失败")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主流程回归",'冒烟用例'!$E$6:$E$96,"是")-COUNTIFS('冒烟用例'!$D$6:$D$96,"是",'冒烟用例'!$P$6:$P$96,"主流程回归",'冒烟用例'!$E$6:$E$96,"是",'冒烟用例'!$I$6:$I$96,"通过")-COUNTIFS('冒烟用例'!$D$6:$D$96,"是",'冒烟用例'!$P$6:$P$96,"主流程回归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COUNTIFS('UI检查'!$D$6:$D$54,"是",'UI检查'!$E$6:$E$54,"是")-COUNTIFS('UI检查'!$D$6:$D$54,"是",'UI检查'!$E$6:$E$54,"是",'UI检查'!$I$6:$I$54,"通过")-COUNTIFS('UI检查'!$D$6:$D$54,"是",'UI检查'!$E$6:$E$54,"是",'UI检查'!$I$6:$I$54,"失败")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主流程回归",'冒烟用例'!$V$6:$V$96,"已确认")=0,"无已确认项",COUNTIFS('冒烟用例'!$D$6:$D$96,"是",'冒烟用例'!$P$6:$P$96,"主流程回归",'冒烟用例'!$I$6:$I$96,"通过")/COUNTIFS('冒烟用例'!$D$6:$D$96,"是",'冒烟用例'!$P$6:$P$96,"主流程回归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IF(COUNTIFS('UI检查'!$D$6:$D$54,"是",'UI检查'!$AF$6:$AF$54,"已确认")=0,"无已确认项",COUNTIFS('UI检查'!$D$6:$D$54,"是",'UI检查'!$I$6:$I$54,"通过")/COUNTIFS('UI检查'!$D$6:$D$54,"是",'UI检查'!$AF$6:$AF$54,"已确认"))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COUNTIFS('冒烟用例'!$D$6:$D$96,"是")-COUNTIFS('冒烟用例'!$D$6:$D$96,"是",'冒烟用例'!$Q$6:$Q$96,"&lt;&gt;")+COUNTIFS('UI检查'!$D$6:$D$54,"是")-COUNTIFS('UI检查'!$D$6:$D$54,"是",'UI检查'!$U$6:$U$54,"&lt;&gt;")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IF(F20=0,"无适用项",COUNTIFS('UI检查'!$D$6:$D$54,"是",'UI检查'!$AF$6:$AF$54,"已确认")/F20)</x:f>
        <x:v>无适用项</x:v>
      </x:c>
      <x:c r="G32" s="10" t="str">
        <x:v>已确认但未完成</x:v>
      </x:c>
      <x:c r="H32" s="10" t="n">
        <x:f>COUNTIFS('UI检查'!$D$6:$D$54,"是",'UI检查'!$AF$6:$AF$54,"已确认")-F22-F23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$54,"UI01",'UI检查'!$D$6:$D$54,"是"))&gt;0,D40="否"),"范围矛盾",IF(OR(D40="是",(COUNTIFS('UI检查'!$A$6:$A$54,"UI01",'UI检查'!$D$6:$D$54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$54,"UI02",'UI检查'!$D$6:$D$54,"是"))&gt;0,D41="否"),"范围矛盾",IF(OR(D41="是",(COUNTIFS('UI检查'!$A$6:$A$54,"UI02",'UI检查'!$D$6:$D$54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$54,"UI18",'UI检查'!$D$6:$D$54,"是"))&gt;0,D42="否"),"范围矛盾",IF(OR(D42="是",(COUNTIFS('UI检查'!$A$6:$A$54,"UI18",'UI检查'!$D$6:$D$54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$54,"UI15",'UI检查'!$D$6:$D$54,"是"))&gt;0,D43="否"),"范围矛盾",IF(OR(D43="是",(COUNTIFS('UI检查'!$A$6:$A$54,"UI15",'UI检查'!$D$6:$D$54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$54,"UI16",'UI检查'!$D$6:$D$54,"是")+COUNTIFS('冒烟用例'!$A$6:$A$96,"SM27",'冒烟用例'!$D$6:$D$96,"是"))&gt;0,D44="否"),"范围矛盾",IF(OR(D44="是",(COUNTIFS('UI检查'!$A$6:$A$54,"UI16",'UI检查'!$D$6:$D$54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$54,"UI13",'UI检查'!$D$6:$D$54,"是"))&gt;0,D47="否"),"范围矛盾",IF(OR(D47="是",(COUNTIFS('冒烟用例'!$A$6:$A$96,"SM28",'冒烟用例'!$D$6:$D$96,"是")+COUNTIFS('冒烟用例'!$A$6:$A$96,"SM55",'冒烟用例'!$D$6:$D$96,"是")+COUNTIFS('UI检查'!$A$6:$A$54,"UI13",'UI检查'!$D$6:$D$54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$54,"UI09",'UI检查'!$D$6:$D$54,"是"))&gt;0,D48="否"),"范围矛盾",IF(OR(D48="是",(COUNTIFS('冒烟用例'!$A$6:$A$96,"SM43",'冒烟用例'!$D$6:$D$96,"是")+COUNTIFS('冒烟用例'!$A$6:$A$96,"SM58",'冒烟用例'!$D$6:$D$96,"是")+COUNTIFS('UI检查'!$A$6:$A$54,"UI09",'UI检查'!$D$6:$D$54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$54,"UI22",'UI检查'!$D$6:$D$54,"是")+COUNTIFS('UI检查'!$A$6:$A$54,"UI29",'UI检查'!$D$6:$D$54,"是"))&gt;0,D49="否"),"范围矛盾",IF(OR(D49="是",(COUNTIFS('UI检查'!$A$6:$A$54,"UI22",'UI检查'!$D$6:$D$54,"是")+COUNTIFS('UI检查'!$A$6:$A$54,"UI29",'UI检查'!$D$6:$D$54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,D56="否"),"范围矛盾",IF(OR(D56="是",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UI01—49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,D57="否"),"范围矛盾",IF(OR(D57="是",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$54,"UI03",'UI检查'!$D$6:$D$54,"是")+COUNTIFS('冒烟用例'!$A$6:$A$96,"SM63",'冒烟用例'!$D$6:$D$96,"是"))&gt;0,D61="否"),"范围矛盾",IF(OR(D61="是",(COUNTIFS('UI检查'!$A$6:$A$54,"UI03",'UI检查'!$D$6:$D$54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Review视图rev642，22条＝21有效＋1空；UI01/02设计完毕，UI03/35新增同一表单截图已读，仍须本批采用与交互规则确认。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正式库140条：91功能（28主流程回归＋63专项）＋49UI；另16开发冒烟小场景、49走查过程行与21修改候选独立记录，不相加为正式测试通过数。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策略以功能主流程冒烟＋基于UI规范的系统界面交互验证为中心。公共基准v1.2 rev95按需裁剪；新增UI43—49，不强加排序/快捷键/移动端/自动草稿等未交付能力。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$54,"UI35",'UI检查'!$D$6:$D$54,"是"))&gt;0,D115="否"),"范围矛盾",IF(OR(D115="是",(COUNTIFS('UI检查'!$A$6:$A$54,"UI35",'UI检查'!$D$6:$D$54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阶段分工</x:v>
      </x:c>
      <x:c r="C124" s="10"/>
      <x:c r="D124" s="10" t="str">
        <x:v>开发自测：DS01—16最小主流程；前端/测试：49UI交互走查＋修改清单；正式介入：91功能与49UI完整分支及影响回归。各阶段证据独立。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$54,"UI42",'UI检查'!$D$6:$D$54,"是")&gt;0,D160="否"),"范围矛盾",IF(OR(D160="是",COUNTIFS('UI检查'!$A$6:$A$54,"UI42",'UI检查'!$D$6:$D$54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配套功能case（局部覆盖）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SM02、SM03、SM05、SM11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无直接配套；UI case独立执行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核现有标准组件组合后的布局、状态联动与完整流程，重点检查选中反馈、返回、跨页/未保存数据保护。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SM04、SM06、SM07、SM08
SM21、SM27、SM28、SM58
SM82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Review→UI case每条映射一次；功能配套仅覆盖重叠检查点，具体范围见UI检查AM列。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58.5" customHeight="1">
      <x:c r="A176" s="10" t="str">
        <x:v>补充用例</x:v>
      </x:c>
      <x:c r="B176" s="10" t="str">
        <x:v>UI19—UI34、UI37—UI41为规范或网站补充，共21条；没有直接Review记录，不强行套五色。按实际组件配套使用，如UI33/34配套UI01、UI37/38配套UI16。</x:v>
      </x:c>
      <x:c r="C176" s="10"/>
      <x:c r="D176" s="10"/>
      <x:c r="E176" s="10"/>
      <x:c r="F176" s="10"/>
      <x:c r="G176" s="10"/>
      <x:c r="H176" s="10"/>
    </x:row>
    <x:row r="177" ht="82.5" customHeight="1">
      <x:c r="A177" s="10" t="str">
        <x:v>来源</x:v>
      </x:c>
      <x:c r="B177" s="10" t="str">
        <x:v>飞书视图rev637及框架适配字段说明，2026-10-12只读获取；字段定义明确UI/开发/产品分工。https://example.invalid/source/e04459bb0b</x:v>
      </x:c>
      <x:c r="C177" s="10"/>
      <x:c r="D177" s="10"/>
      <x:c r="E177" s="10"/>
      <x:c r="F177" s="10"/>
      <x:c r="G177" s="10"/>
      <x:c r="H177" s="10"/>
    </x:row>
    <x:row r="179" ht="71.25" customHeight="1">
      <x:c r="A179" s="10" t="str">
        <x:v>独立复查修正</x:v>
      </x:c>
      <x:c r="B179" s="10" t="str">
        <x:v>主颜色映射不变；功能配套收紧到相同检查点，并明确局部覆盖。54条检查曾错误依赖DEC01，现仅保留决策表声明的真实关联，基础配置布局仍约束UI01。</x:v>
      </x:c>
      <x:c r="C179" s="10"/>
      <x:c r="D179" s="10"/>
      <x:c r="E179" s="10"/>
      <x:c r="F179" s="10"/>
      <x:c r="G179" s="10"/>
      <x:c r="H179" s="10"/>
    </x:row>
    <x:row r="182" ht="39" customHeight="1">
      <x:c r="A182" s="246" t="str">
        <x:v>本轮执行策略与交付物</x:v>
      </x:c>
      <x:c r="B182" s="246"/>
      <x:c r="C182" s="246"/>
      <x:c r="D182" s="246"/>
      <x:c r="E182" s="246"/>
      <x:c r="F182" s="246"/>
      <x:c r="G182" s="246"/>
      <x:c r="H182" s="246"/>
    </x:row>
    <x:row r="183" ht="39" customHeight="1">
      <x:c r="A183" s="246" t="str">
        <x:v>阶段</x:v>
      </x:c>
      <x:c r="B183" s="246" t="str">
        <x:v>主要目标</x:v>
      </x:c>
      <x:c r="C183" s="246" t="str">
        <x:v>执行依据</x:v>
      </x:c>
      <x:c r="D183" s="246" t="str">
        <x:v>执行清单</x:v>
      </x:c>
      <x:c r="E183" s="246" t="str">
        <x:v>负责人角色</x:v>
      </x:c>
      <x:c r="F183" s="246" t="str">
        <x:v>输出</x:v>
      </x:c>
      <x:c r="G183" s="246" t="str">
        <x:v>完成口径</x:v>
      </x:c>
      <x:c r="H183" s="246" t="str">
        <x:v>未明确处理</x:v>
      </x:c>
    </x:row>
    <x:row r="184" ht="112.5" customHeight="1">
      <x:c r="A184" s="10" t="str">
        <x:v>UI规范/交互走查</x:v>
      </x:c>
      <x:c r="B184" s="10" t="str">
        <x:v>实际系统是否按规范实现</x:v>
      </x:c>
      <x:c r="C184" s="10" t="str">
        <x:v>批准UI规范/专项稿＋Review642＋公共基准95（裁剪）</x:v>
      </x:c>
      <x:c r="D184" s="10" t="str">
        <x:v>UI走查49条</x:v>
      </x:c>
      <x:c r="E184" s="10" t="str">
        <x:v>测试/前端；UI、产品提供明确规则</x:v>
      </x:c>
      <x:c r="F184" s="10" t="str">
        <x:v>实际差异、缺依据、复现证据及UI修改清单</x:v>
      </x:c>
      <x:c r="G184" s="10" t="str">
        <x:v>适用项已操作并留证、实际问题已登记；过程完成不等于全部通过</x:v>
      </x:c>
      <x:c r="H184" s="10" t="str">
        <x:v>已明确部分先查，灰色/行内组件等缺口登记，不凭猜测判失败</x:v>
      </x:c>
    </x:row>
    <x:row r="185" ht="112.5" customHeight="1">
      <x:c r="A185" s="10" t="str">
        <x:v>开发提测前冒烟</x:v>
      </x:c>
      <x:c r="B185" s="10" t="str">
        <x:v>本批主流程可用、核心数据可读回</x:v>
      </x:c>
      <x:c r="C185" s="10" t="str">
        <x:v>本批交付/需求；只使用批准合法算例</x:v>
      </x:c>
      <x:c r="D185" s="10" t="str">
        <x:v>开发冒烟16候选小场景</x:v>
      </x:c>
      <x:c r="E185" s="10" t="str">
        <x:v>开发自测</x:v>
      </x:c>
      <x:c r="F185" s="10" t="str">
        <x:v>DS结果、Build/需求基线、实际证据与阻断项</x:v>
      </x:c>
      <x:c r="G185" s="10" t="str">
        <x:v>适用主流程完成；失败/受阻/依据未定明确报告，不把DS通过当正式库全通过</x:v>
      </x:c>
      <x:c r="H185" s="10" t="str">
        <x:v>按交付选；未交付或OMS环境未具备写理由</x:v>
      </x:c>
    </x:row>
    <x:row r="186" ht="112.5" customHeight="1">
      <x:c r="A186" s="10" t="str">
        <x:v>修改与复查</x:v>
      </x:c>
      <x:c r="B186" s="10" t="str">
        <x:v>问题修复和状态/交互一致</x:v>
      </x:c>
      <x:c r="C186" s="10" t="str">
        <x:v>已批准预期＋实际差异清单</x:v>
      </x:c>
      <x:c r="D186" s="10" t="str">
        <x:v>UI修改清单；受影响UI和DS</x:v>
      </x:c>
      <x:c r="E186" s="10" t="str">
        <x:v>开发修改，测试/前端复查；产品/UI裁决差异</x:v>
      </x:c>
      <x:c r="F186" s="10" t="str">
        <x:v>当前修复Build、复查证据、责任/计划版本</x:v>
      </x:c>
      <x:c r="G186" s="10" t="str">
        <x:v>复查闭环有Build/证据/复查人；后置或不适用另留确认依据</x:v>
      </x:c>
      <x:c r="H186" s="10" t="str">
        <x:v>关键操作阻断/业务规则未明确不可自动后置</x:v>
      </x:c>
    </x:row>
    <x:row r="187" ht="112.5" customHeight="1">
      <x:c r="A187" s="10" t="str">
        <x:v>正式测试介入</x:v>
      </x:c>
      <x:c r="B187" s="10" t="str">
        <x:v>完整功能/交互及风险回归</x:v>
      </x:c>
      <x:c r="C187" s="10" t="str">
        <x:v>PRD、UI/公共基准裁剪、交付影响</x:v>
      </x:c>
      <x:c r="D187" s="10" t="str">
        <x:v>原91功能＋49UI完整库</x:v>
      </x:c>
      <x:c r="E187" s="10" t="str">
        <x:v>测试</x:v>
      </x:c>
      <x:c r="F187" s="10" t="str">
        <x:v>完整分支结果、异常/边界/引用历史与影响回归</x:v>
      </x:c>
      <x:c r="G187" s="10" t="str">
        <x:v>使用本批正式统计与人工评审；不继承设计/走查/DS过程状态为通过</x:v>
      </x:c>
      <x:c r="H187" s="10" t="str">
        <x:v>按实际交付扩大范围，不把公共库全量项强加本期</x:v>
      </x:c>
    </x:row>
    <x:row r="188">
      <x:c r="A188" s="10"/>
      <x:c r="B188" s="10"/>
      <x:c r="C188" s="10"/>
      <x:c r="D188" s="10"/>
      <x:c r="E188" s="10"/>
      <x:c r="F188" s="10"/>
      <x:c r="G188" s="10"/>
      <x:c r="H188" s="10"/>
    </x:row>
    <x:row r="189" ht="63.75" customHeight="1">
      <x:c r="A189" s="10" t="str">
        <x:v>补充来源：通用公共用例基准库v1.2 revision95（2026-10-12只读取得）https://example.invalid/source/92f788d9b2；重点§3/§5及实际控件§1，业务审批/性能/AI专项按交付裁剪。</x:v>
      </x:c>
      <x:c r="B189" s="10"/>
      <x:c r="C189" s="10"/>
      <x:c r="D189" s="10"/>
      <x:c r="E189" s="10"/>
      <x:c r="F189" s="10"/>
      <x:c r="G189" s="10"/>
      <x:c r="H189" s="10"/>
    </x:row>
    <x:row r="191" ht="45" customHeight="1">
      <x:c r="A191" s="281" t="str">
        <x:v>覆盖复核修订：用例定义、页面范围与执行证据分开登记</x:v>
      </x:c>
      <x:c r="B191" s="281"/>
      <x:c r="C191" s="281"/>
      <x:c r="D191" s="281"/>
      <x:c r="E191" s="281"/>
      <x:c r="F191" s="281"/>
      <x:c r="G191" s="281"/>
      <x:c r="H191" s="281"/>
    </x:row>
    <x:row r="192" ht="56.25" customHeight="1">
      <x:c r="A192" s="10" t="str">
        <x:v>UI走查下方新增页面执行明细，逐case核定本批页面/组件/视口；适用页面未登记、漏页、旧Build、缺依据或问题未闭环时不能计正式UI通过。已覆盖不等于全部通过。预置10行仅为已观察页面的候选示例，其他交付页面须补齐。</x:v>
      </x:c>
      <x:c r="B192" s="10"/>
      <x:c r="C192" s="10"/>
      <x:c r="D192" s="10"/>
      <x:c r="E192" s="10"/>
      <x:c r="F192" s="10"/>
      <x:c r="G192" s="10"/>
      <x:c r="H192" s="10"/>
    </x:row>
    <x:row r="193" ht="56.25" customHeight="1">
      <x:c r="A193" s="10" t="str">
        <x:v>DS03新增普通对象与契约输入，按对象校验DEC06/26/28；汇率、费用项和Zone成员使用专用场景。所有本轮新增页面执行行未执行，未取得本批交付范围或系统通过证据。</x:v>
      </x:c>
      <x:c r="B193" s="10"/>
      <x:c r="C193" s="10"/>
      <x:c r="D193" s="10"/>
      <x:c r="E193" s="10"/>
      <x:c r="F193" s="10"/>
      <x:c r="G193" s="10"/>
      <x:c r="H193" s="10"/>
    </x:row>
    <x:row r="194" ht="56.25" customHeight="1">
      <x:c r="A194" s="10" t="str">
        <x:v>来源：2026-10-12只读复取UI Review revision642（22条/21有效，未变）；页面候选引用本工作簿网站详情对照及已留存只读观察；通用公共用例基准v1.2 revision95按需裁剪。</x:v>
      </x:c>
      <x:c r="B194" s="10"/>
      <x:c r="C194" s="10"/>
      <x:c r="D194" s="10"/>
      <x:c r="E194" s="10"/>
      <x:c r="F194" s="10"/>
      <x:c r="G194" s="10"/>
      <x:c r="H194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  <x:mergeCell ref="B179:H179"/>
    <x:mergeCell ref="A182:H182"/>
    <x:mergeCell ref="A189:H189"/>
    <x:mergeCell ref="A191:H191"/>
    <x:mergeCell ref="A192:H192"/>
    <x:mergeCell ref="A193:H193"/>
    <x:mergeCell ref="A194:H194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0a6b9a8154f4bd0"/>
    <x:tablePart xmlns:r="http://schemas.openxmlformats.org/officeDocument/2006/relationships" r:id="Ra9749a0519f14c12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  <x:col min="27" max="27" width="25" hidden="0" customWidth="1"/>
    <x:col min="28" max="28" width="5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本表为正式功能用例库，91条保留。原28冒烟分组改称主流程回归，63专项回归不变；开发提测前最小功能清单见开发冒烟DS01—16，DS结果不自动回填本表。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正式测试层次（原分组）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  <x:c r="AA5" s="246" t="str">
        <x:v>开发冒烟参考场景</x:v>
      </x:c>
      <x:c r="AB5" s="246" t="str">
        <x:v>正式测试策略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主流程回归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233" t="str">
        <x:v>功能专项，无直接Review配套</x:v>
      </x:c>
      <x:c r="AA6" s="10" t="str">
        <x:v>DS01</x:v>
      </x:c>
      <x:c r="AB6" s="10" t="str">
        <x:v>正式阶段执行本条全部适用分支，覆盖字段/权限/异常/边界/引用历史；开发DS仅为最小场景，不代表本条通过。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主流程回归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235" t="str">
        <x:v>红色：无法覆盖（局部配套）</x:v>
      </x:c>
      <x:c r="AA7" s="10"/>
      <x:c r="AB7" s="10" t="str">
        <x:v>正式阶段执行本条全部适用分支，覆盖字段/权限/异常/边界/引用历史；开发DS仅为最小场景，不代表本条通过。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主流程回归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</x:v>
      </x:c>
      <x:c r="Z8" s="235" t="str">
        <x:v>红色：无法覆盖（局部配套）</x:v>
      </x:c>
      <x:c r="AA8" s="10" t="str">
        <x:v>DS01</x:v>
      </x:c>
      <x:c r="AB8" s="10" t="str">
        <x:v>正式阶段执行本条全部适用分支，覆盖字段/权限/异常/边界/引用历史；开发DS仅为最小场景，不代表本条通过。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主流程回归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UI17</x:v>
      </x:c>
      <x:c r="Z9" s="237" t="str">
        <x:v>绿色：直接复用（局部配套）</x:v>
      </x:c>
      <x:c r="AA9" s="10"/>
      <x:c r="AB9" s="10" t="str">
        <x:v>正式阶段执行本条全部适用分支，覆盖字段/权限/异常/边界/引用历史；开发DS仅为最小场景，不代表本条通过。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主流程回归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UI42</x:v>
      </x:c>
      <x:c r="Z10" s="235" t="str">
        <x:v>红色：无法覆盖（局部配套）</x:v>
      </x:c>
      <x:c r="AA10" s="10"/>
      <x:c r="AB10" s="10" t="str">
        <x:v>正式阶段执行本条全部适用分支，覆盖字段/权限/异常/边界/引用历史；开发DS仅为最小场景，不代表本条通过。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主流程回归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</x:v>
      </x:c>
      <x:c r="Z11" s="237" t="str">
        <x:v>绿色：直接复用（局部配套）</x:v>
      </x:c>
      <x:c r="AA11" s="10" t="str">
        <x:v>DS02</x:v>
      </x:c>
      <x:c r="AB11" s="10" t="str">
        <x:v>正式阶段执行本条全部适用分支，覆盖字段/权限/异常/边界/引用历史；开发DS仅为最小场景，不代表本条通过。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主流程回归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237" t="str">
        <x:v>绿色：直接复用（局部配套）</x:v>
      </x:c>
      <x:c r="AA12" s="10" t="str">
        <x:v>DS02</x:v>
      </x:c>
      <x:c r="AB12" s="10" t="str">
        <x:v>正式阶段执行本条全部适用分支，覆盖字段/权限/异常/边界/引用历史；开发DS仅为最小场景，不代表本条通过。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UI11</x:v>
      </x:c>
      <x:c r="Z13" s="237" t="str">
        <x:v>绿色：直接复用（局部配套）</x:v>
      </x:c>
      <x:c r="AA13" s="10"/>
      <x:c r="AB13" s="10" t="str">
        <x:v>正式阶段执行本条全部适用分支，覆盖字段/权限/异常/边界/引用历史；开发DS仅为最小场景，不代表本条通过。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主流程回归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233" t="str">
        <x:v>功能专项，无直接Review配套</x:v>
      </x:c>
      <x:c r="AA14" s="10"/>
      <x:c r="AB14" s="10" t="str">
        <x:v>正式阶段执行本条全部适用分支，覆盖字段/权限/异常/边界/引用历史；开发DS仅为最小场景，不代表本条通过。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主流程回归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IF(D15="否","不适用",IF(D15&lt;&gt;"是","未纳入本批",IF(OR(LEN(TRIM('本批提测'!$B$10))=0,LEN(TRIM('本批提测'!$B$11))=0,'本批提测'!$B$12&lt;&gt;"已确认",F15&lt;&gt;"已确认",'本批提测'!$H$45&lt;&gt;"已确认"),"待确认","已确认")))</x:f>
        <x:v>未纳入本批</x:v>
      </x:c>
      <x:c r="W15" s="10" t="str">
        <x:v>复查修正</x:v>
      </x:c>
      <x:c r="X15" s="10" t="str">
        <x:v>用实际IATA/ICAO/国家表单修订航空公司分支。
移除不属于本条的DEC01基础配置布局门槛，保留本条实际关联决策及全部执行前提。</x:v>
      </x:c>
      <x:c r="Y15" s="187"/>
      <x:c r="Z15" s="233" t="str">
        <x:v>功能专项，无直接Review配套</x:v>
      </x:c>
      <x:c r="AA15" s="10"/>
      <x:c r="AB15" s="10" t="str">
        <x:v>正式阶段执行本条全部适用分支，覆盖字段/权限/异常/边界/引用历史；开发DS仅为最小场景，不代表本条通过。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主流程回归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</x:v>
      </x:c>
      <x:c r="Z16" s="235" t="str">
        <x:v>红色：无法覆盖（局部配套）</x:v>
      </x:c>
      <x:c r="AA16" s="10" t="str">
        <x:v>DS03</x:v>
      </x:c>
      <x:c r="AB16" s="10" t="str">
        <x:v>正式阶段执行本条全部适用分支，覆盖字段/权限/异常/边界/引用历史；开发DS仅为最小场景，不代表本条通过。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主流程回归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/>
      <x:c r="Z17" s="233" t="str">
        <x:v>功能专项，无直接Review配套</x:v>
      </x:c>
      <x:c r="AA17" s="10" t="str">
        <x:v>DS03</x:v>
      </x:c>
      <x:c r="AB17" s="10" t="str">
        <x:v>正式阶段执行本条全部适用分支，覆盖字段/权限/异常/边界/引用历史；开发DS仅为最小场景，不代表本条通过。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/>
      <x:c r="Z18" s="233" t="str">
        <x:v>功能专项，无直接Review配套</x:v>
      </x:c>
      <x:c r="AA18" s="10"/>
      <x:c r="AB18" s="10" t="str">
        <x:v>正式阶段执行本条全部适用分支，覆盖字段/权限/异常/边界/引用历史；开发DS仅为最小场景，不代表本条通过。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主流程回归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233" t="str">
        <x:v>功能专项，无直接Review配套</x:v>
      </x:c>
      <x:c r="AA19" s="10"/>
      <x:c r="AB19" s="10" t="str">
        <x:v>正式阶段执行本条全部适用分支，覆盖字段/权限/异常/边界/引用历史；开发DS仅为最小场景，不代表本条通过。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主流程回归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233" t="str">
        <x:v>功能专项，无直接Review配套</x:v>
      </x:c>
      <x:c r="AA20" s="10"/>
      <x:c r="AB20" s="10" t="str">
        <x:v>正式阶段执行本条全部适用分支，覆盖字段/权限/异常/边界/引用历史；开发DS仅为最小场景，不代表本条通过。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IF(D21="否","不适用",IF(D21&lt;&gt;"是","未纳入本批",IF(OR(LEN(TRIM('本批提测'!$B$10))=0,LEN(TRIM('本批提测'!$B$11))=0,'本批提测'!$B$12&lt;&gt;"已确认",F21&lt;&gt;"已确认",'本批提测'!$H$45&lt;&gt;"已确认"),"待确认","已确认")))</x:f>
        <x:v>未纳入本批</x:v>
      </x:c>
      <x:c r="W21" s="10" t="str">
        <x:v>复查修正</x:v>
      </x:c>
      <x:c r="X21" s="10" t="str">
        <x:v>重复编码使用真实新增路径，区分各对象唯一键。
移除不属于本条的DEC01基础配置布局门槛，保留本条实际关联决策及全部执行前提。</x:v>
      </x:c>
      <x:c r="Y21" s="187"/>
      <x:c r="Z21" s="233" t="str">
        <x:v>功能专项，无直接Review配套</x:v>
      </x:c>
      <x:c r="AA21" s="10"/>
      <x:c r="AB21" s="10" t="str">
        <x:v>正式阶段执行本条全部适用分支，覆盖字段/权限/异常/边界/引用历史；开发DS仅为最小场景，不代表本条通过。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'本批提测'!$H$156&lt;&gt;"已确认"),"待确认","已确认")))</x:f>
        <x:v>未纳入本批</x:v>
      </x:c>
      <x:c r="W22" s="10" t="str">
        <x:v>复查修正</x:v>
      </x:c>
      <x:c r="X22" s="10" t="str">
        <x:v>区分固定目录切换和分类自身CRUD。
移除不属于本条的DEC01基础配置布局门槛，保留本条实际关联决策及全部执行前提。</x:v>
      </x:c>
      <x:c r="Y22" s="187"/>
      <x:c r="Z22" s="233" t="str">
        <x:v>功能专项，无直接Review配套</x:v>
      </x:c>
      <x:c r="AA22" s="10"/>
      <x:c r="AB22" s="10" t="str">
        <x:v>正式阶段执行本条全部适用分支，覆盖字段/权限/异常/边界/引用历史；开发DS仅为最小场景，不代表本条通过。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主流程回归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233" t="str">
        <x:v>功能专项，无直接Review配套</x:v>
      </x:c>
      <x:c r="AA23" s="10" t="str">
        <x:v>DS04</x:v>
      </x:c>
      <x:c r="AB23" s="10" t="str">
        <x:v>正式阶段执行本条全部适用分支，覆盖字段/权限/异常/边界/引用历史；开发DS仅为最小场景，不代表本条通过。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233" t="str">
        <x:v>功能专项，无直接Review配套</x:v>
      </x:c>
      <x:c r="AA24" s="10"/>
      <x:c r="AB24" s="10" t="str">
        <x:v>正式阶段执行本条全部适用分支，覆盖字段/权限/异常/边界/引用历史；开发DS仅为最小场景，不代表本条通过。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233" t="str">
        <x:v>功能专项，无直接Review配套</x:v>
      </x:c>
      <x:c r="AA25" s="10"/>
      <x:c r="AB25" s="10" t="str">
        <x:v>正式阶段执行本条全部适用分支，覆盖字段/权限/异常/边界/引用历史；开发DS仅为最小场景，不代表本条通过。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主流程回归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IF(D26="否","不适用",IF(D26&lt;&gt;"是","未纳入本批",IF(OR(LEN(TRIM('本批提测'!$B$10))=0,LEN(TRIM('本批提测'!$B$11))=0,'本批提测'!$B$12&lt;&gt;"已确认",F26&lt;&gt;"已确认",'本批提测'!$H$52&lt;&gt;"已确认"),"待确认","已确认")))</x:f>
        <x:v>未纳入本批</x:v>
      </x:c>
      <x:c r="W26" s="10" t="str">
        <x:v>复查修正</x:v>
      </x:c>
      <x:c r="X26" s="10" t="str">
        <x:v>设计复核后保留；关联DEC13、DEC01确认后方可执行判定。
移除不属于本条的DEC01基础配置布局门槛，保留本条实际关联决策及全部执行前提。</x:v>
      </x:c>
      <x:c r="Y26" s="187" t="str">
        <x:v>UI35、UI36</x:v>
      </x:c>
      <x:c r="Z26" s="233" t="str">
        <x:v>蓝色：组合复用（局部配套）；绿色：直接复用（局部配套）</x:v>
      </x:c>
      <x:c r="AA26" s="10" t="str">
        <x:v>DS05</x:v>
      </x:c>
      <x:c r="AB26" s="10" t="str">
        <x:v>正式阶段执行本条全部适用分支，覆盖字段/权限/异常/边界/引用历史；开发DS仅为最小场景，不代表本条通过。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主流程回归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239" t="str">
        <x:v>黄色：调整后复用（局部配套）</x:v>
      </x:c>
      <x:c r="AA27" s="10"/>
      <x:c r="AB27" s="10" t="str">
        <x:v>正式阶段执行本条全部适用分支，覆盖字段/权限/异常/边界/引用历史；开发DS仅为最小场景，不代表本条通过。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主流程回归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IF(D28="否","不适用",IF(D28&lt;&gt;"是","未纳入本批",IF(OR(LEN(TRIM('本批提测'!$B$10))=0,LEN(TRIM('本批提测'!$B$11))=0,'本批提测'!$B$12&lt;&gt;"已确认",F28&lt;&gt;"已确认",'本批提测'!$H$58&lt;&gt;"已确认"),"待确认","已确认")))</x:f>
        <x:v>未纳入本批</x:v>
      </x:c>
      <x:c r="W28" s="10" t="str">
        <x:v>复查修正</x:v>
      </x:c>
      <x:c r="X28" s="10" t="str">
        <x:v>设计复核后保留；关联DEC19、DEC01确认后方可执行判定。
移除不属于本条的DEC01基础配置布局门槛，保留本条实际关联决策及全部执行前提。</x:v>
      </x:c>
      <x:c r="Y28" s="187"/>
      <x:c r="Z28" s="233" t="str">
        <x:v>功能专项，无直接Review配套</x:v>
      </x:c>
      <x:c r="AA28" s="10" t="str">
        <x:v>DS07</x:v>
      </x:c>
      <x:c r="AB28" s="10" t="str">
        <x:v>正式阶段执行本条全部适用分支，覆盖字段/权限/异常/边界/引用历史；开发DS仅为最小场景，不代表本条通过。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主流程回归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IF(D29="否","不适用",IF(D29&lt;&gt;"是","未纳入本批",IF(OR(LEN(TRIM('本批提测'!$B$10))=0,LEN(TRIM('本批提测'!$B$11))=0,'本批提测'!$B$12&lt;&gt;"已确认",F29&lt;&gt;"已确认",'本批提测'!$H$50&lt;&gt;"已确认"),"待确认","已确认")))</x:f>
        <x:v>未纳入本批</x:v>
      </x:c>
      <x:c r="W29" s="10" t="str">
        <x:v>复查修正</x:v>
      </x:c>
      <x:c r="X29" s="10" t="str">
        <x:v>设计复核后保留；关联DEC11、DEC01确认后方可执行判定。
移除不属于本条的DEC01基础配置布局门槛，保留本条实际关联决策及全部执行前提。</x:v>
      </x:c>
      <x:c r="Y29" s="187"/>
      <x:c r="Z29" s="233" t="str">
        <x:v>功能专项，无直接Review配套</x:v>
      </x:c>
      <x:c r="AA29" s="10" t="str">
        <x:v>DS09</x:v>
      </x:c>
      <x:c r="AB29" s="10" t="str">
        <x:v>正式阶段执行本条全部适用分支，覆盖字段/权限/异常/边界/引用历史；开发DS仅为最小场景，不代表本条通过。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主流程回归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IF(D30="否","不适用",IF(D30&lt;&gt;"是","未纳入本批",IF(OR(LEN(TRIM('本批提测'!$B$10))=0,LEN(TRIM('本批提测'!$B$11))=0,'本批提测'!$B$12&lt;&gt;"已确认",F30&lt;&gt;"已确认",'本批提测'!$H$58&lt;&gt;"已确认"),"待确认","已确认")))</x:f>
        <x:v>未纳入本批</x:v>
      </x:c>
      <x:c r="W30" s="10" t="str">
        <x:v>复查修正</x:v>
      </x:c>
      <x:c r="X30" s="10" t="str">
        <x:v>设计复核后保留；关联DEC19、DEC01确认后方可执行判定。
移除不属于本条的DEC01基础配置布局门槛，保留本条实际关联决策及全部执行前提。</x:v>
      </x:c>
      <x:c r="Y30" s="187"/>
      <x:c r="Z30" s="233" t="str">
        <x:v>功能专项，无直接Review配套</x:v>
      </x:c>
      <x:c r="AA30" s="10" t="str">
        <x:v>DS10</x:v>
      </x:c>
      <x:c r="AB30" s="10" t="str">
        <x:v>正式阶段执行本条全部适用分支，覆盖字段/权限/异常/边界/引用历史；开发DS仅为最小场景，不代表本条通过。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主流程回归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IF(D31="否","不适用",IF(D31&lt;&gt;"是","未纳入本批",IF(OR(LEN(TRIM('本批提测'!$B$10))=0,LEN(TRIM('本批提测'!$B$11))=0,'本批提测'!$B$12&lt;&gt;"已确认",F31&lt;&gt;"已确认",'本批提测'!$H$60&lt;&gt;"已确认"),"待确认","已确认")))</x:f>
        <x:v>未纳入本批</x:v>
      </x:c>
      <x:c r="W31" s="10" t="str">
        <x:v>复查修正</x:v>
      </x:c>
      <x:c r="X31" s="10" t="str">
        <x:v>设计复核后保留；关联DEC21、DEC01确认后方可执行判定。
移除不属于本条的DEC01基础配置布局门槛，保留本条实际关联决策及全部执行前提。</x:v>
      </x:c>
      <x:c r="Y31" s="187"/>
      <x:c r="Z31" s="233" t="str">
        <x:v>功能专项，无直接Review配套</x:v>
      </x:c>
      <x:c r="AA31" s="10"/>
      <x:c r="AB31" s="10" t="str">
        <x:v>正式阶段执行本条全部适用分支，覆盖字段/权限/异常/边界/引用历史；开发DS仅为最小场景，不代表本条通过。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主流程回归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),"待确认","已确认")))</x:f>
        <x:v>未纳入本批</x:v>
      </x:c>
      <x:c r="W32" s="10" t="str">
        <x:v>复查修正</x:v>
      </x:c>
      <x:c r="X32" s="10" t="str">
        <x:v>设计复核后保留；关联DEC05、DEC17、DEC01确认后方可执行判定。
移除不属于本条的DEC01基础配置布局门槛，保留本条实际关联决策及全部执行前提。</x:v>
      </x:c>
      <x:c r="Y32" s="187" t="str">
        <x:v>UI16、UI36</x:v>
      </x:c>
      <x:c r="Z32" s="237" t="str">
        <x:v>绿色：直接复用（局部配套）</x:v>
      </x:c>
      <x:c r="AA32" s="10" t="str">
        <x:v>DS12</x:v>
      </x:c>
      <x:c r="AB32" s="10" t="str">
        <x:v>正式阶段执行本条全部适用分支，覆盖字段/权限/异常/边界/引用历史；开发DS仅为最小场景，不代表本条通过。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IF(D33="否","不适用",IF(D33&lt;&gt;"是","未纳入本批",IF(OR(LEN(TRIM('本批提测'!$B$10))=0,LEN(TRIM('本批提测'!$B$11))=0,'本批提测'!$B$12&lt;&gt;"已确认",F33&lt;&gt;"已确认",'本批提测'!$H$47&lt;&gt;"已确认"),"待确认","已确认")))</x:f>
        <x:v>未纳入本批</x:v>
      </x:c>
      <x:c r="W33" s="10" t="str">
        <x:v>复查修正</x:v>
      </x:c>
      <x:c r="X33" s="10" t="str">
        <x:v>设计复核后保留；关联DEC08、DEC01确认后方可执行判定。
移除不属于本条的DEC01基础配置布局门槛，保留本条实际关联决策及全部执行前提。</x:v>
      </x:c>
      <x:c r="Y33" s="187" t="str">
        <x:v>UI03、UI13、UI14</x:v>
      </x:c>
      <x:c r="Z33" s="233" t="str">
        <x:v>蓝色：组合复用（局部配套）；绿色：直接复用（局部配套）</x:v>
      </x:c>
      <x:c r="AA33" s="10"/>
      <x:c r="AB33" s="10" t="str">
        <x:v>正式阶段执行本条全部适用分支，覆盖字段/权限/异常/边界/引用历史；开发DS仅为最小场景，不代表本条通过。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IF(D34="否","不适用",IF(D34&lt;&gt;"是","未纳入本批",IF(OR(LEN(TRIM('本批提测'!$B$10))=0,LEN(TRIM('本批提测'!$B$11))=0,'本批提测'!$B$12&lt;&gt;"已确认",F34&lt;&gt;"已确认",'本批提测'!$H$54&lt;&gt;"已确认"),"待确认","已确认")))</x:f>
        <x:v>未纳入本批</x:v>
      </x:c>
      <x:c r="W34" s="10" t="str">
        <x:v>复查修正</x:v>
      </x:c>
      <x:c r="X34" s="10" t="str">
        <x:v>设计复核后保留；关联DEC15、DEC01确认后方可执行判定。
移除不属于本条的DEC01基础配置布局门槛，保留本条实际关联决策及全部执行前提。</x:v>
      </x:c>
      <x:c r="Y34" s="187" t="str">
        <x:v>UI35</x:v>
      </x:c>
      <x:c r="Z34" s="241" t="str">
        <x:v>蓝色：组合复用（局部配套）</x:v>
      </x:c>
      <x:c r="AA34" s="10" t="str">
        <x:v>DS05</x:v>
      </x:c>
      <x:c r="AB34" s="10" t="str">
        <x:v>正式阶段执行本条全部适用分支，覆盖字段/权限/异常/边界/引用历史；开发DS仅为最小场景，不代表本条通过。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主流程回归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IF(D35="否","不适用",IF(D35&lt;&gt;"是","未纳入本批",IF(OR(LEN(TRIM('本批提测'!$B$10))=0,LEN(TRIM('本批提测'!$B$11))=0,'本批提测'!$B$12&lt;&gt;"已确认",F35&lt;&gt;"已确认",'本批提测'!$H$52&lt;&gt;"已确认"),"待确认","已确认")))</x:f>
        <x:v>未纳入本批</x:v>
      </x:c>
      <x:c r="W35" s="10" t="str">
        <x:v>复查修正</x:v>
      </x:c>
      <x:c r="X35" s="10" t="str">
        <x:v>设计复核后保留；关联DEC13、DEC01确认后方可执行判定。
移除不属于本条的DEC01基础配置布局门槛，保留本条实际关联决策及全部执行前提。</x:v>
      </x:c>
      <x:c r="Y35" s="187"/>
      <x:c r="Z35" s="233" t="str">
        <x:v>功能专项，无直接Review配套</x:v>
      </x:c>
      <x:c r="AA35" s="10"/>
      <x:c r="AB35" s="10" t="str">
        <x:v>正式阶段执行本条全部适用分支，覆盖字段/权限/异常/边界/引用历史；开发DS仅为最小场景，不代表本条通过。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主流程回归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/>
      <x:c r="Z36" s="233" t="str">
        <x:v>功能专项，无直接Review配套</x:v>
      </x:c>
      <x:c r="AA36" s="10" t="str">
        <x:v>DS06</x:v>
      </x:c>
      <x:c r="AB36" s="10" t="str">
        <x:v>正式阶段执行本条全部适用分支，覆盖字段/权限/异常/边界/引用历史；开发DS仅为最小场景，不代表本条通过。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IF(D37="否","不适用",IF(D37&lt;&gt;"是","未纳入本批",IF(OR(LEN(TRIM('本批提测'!$B$10))=0,LEN(TRIM('本批提测'!$B$11))=0,'本批提测'!$B$12&lt;&gt;"已确认",F37&lt;&gt;"已确认",'本批提测'!$H$53&lt;&gt;"已确认"),"待确认","已确认")))</x:f>
        <x:v>未纳入本批</x:v>
      </x:c>
      <x:c r="W37" s="10" t="str">
        <x:v>复查修正</x:v>
      </x:c>
      <x:c r="X37" s="10" t="str">
        <x:v>设计复核后保留；关联DEC14、DEC01确认后方可执行判定。
移除不属于本条的DEC01基础配置布局门槛，保留本条实际关联决策及全部执行前提。</x:v>
      </x:c>
      <x:c r="Y37" s="187"/>
      <x:c r="Z37" s="233" t="str">
        <x:v>功能专项，无直接Review配套</x:v>
      </x:c>
      <x:c r="AA37" s="10" t="str">
        <x:v>DS06</x:v>
      </x:c>
      <x:c r="AB37" s="10" t="str">
        <x:v>正式阶段执行本条全部适用分支，覆盖字段/权限/异常/边界/引用历史；开发DS仅为最小场景，不代表本条通过。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233" t="str">
        <x:v>功能专项，无直接Review配套</x:v>
      </x:c>
      <x:c r="AA38" s="10"/>
      <x:c r="AB38" s="10" t="str">
        <x:v>正式阶段执行本条全部适用分支，覆盖字段/权限/异常/边界/引用历史；开发DS仅为最小场景，不代表本条通过。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IF(D39="否","不适用",IF(D39&lt;&gt;"是","未纳入本批",IF(OR(LEN(TRIM('本批提测'!$B$10))=0,LEN(TRIM('本批提测'!$B$11))=0,'本批提测'!$B$12&lt;&gt;"已确认",F39&lt;&gt;"已确认",'本批提测'!$H$53&lt;&gt;"已确认"),"待确认","已确认")))</x:f>
        <x:v>未纳入本批</x:v>
      </x:c>
      <x:c r="W39" s="10" t="str">
        <x:v>复查修正</x:v>
      </x:c>
      <x:c r="X39" s="10" t="str">
        <x:v>设计复核后保留；关联DEC14、DEC01确认后方可执行判定。
移除不属于本条的DEC01基础配置布局门槛，保留本条实际关联决策及全部执行前提。</x:v>
      </x:c>
      <x:c r="Y39" s="187"/>
      <x:c r="Z39" s="233" t="str">
        <x:v>功能专项，无直接Review配套</x:v>
      </x:c>
      <x:c r="AA39" s="10"/>
      <x:c r="AB39" s="10" t="str">
        <x:v>正式阶段执行本条全部适用分支，覆盖字段/权限/异常/边界/引用历史；开发DS仅为最小场景，不代表本条通过。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IF(D40="否","不适用",IF(D40&lt;&gt;"是","未纳入本批",IF(OR(LEN(TRIM('本批提测'!$B$10))=0,LEN(TRIM('本批提测'!$B$11))=0,'本批提测'!$B$12&lt;&gt;"已确认",F40&lt;&gt;"已确认",'本批提测'!$H$53&lt;&gt;"已确认"),"待确认","已确认")))</x:f>
        <x:v>未纳入本批</x:v>
      </x:c>
      <x:c r="W40" s="10" t="str">
        <x:v>复查修正</x:v>
      </x:c>
      <x:c r="X40" s="10" t="str">
        <x:v>设计复核后保留；关联DEC14、DEC01确认后方可执行判定。
移除不属于本条的DEC01基础配置布局门槛，保留本条实际关联决策及全部执行前提。</x:v>
      </x:c>
      <x:c r="Y40" s="187"/>
      <x:c r="Z40" s="233" t="str">
        <x:v>功能专项，无直接Review配套</x:v>
      </x:c>
      <x:c r="AA40" s="10"/>
      <x:c r="AB40" s="10" t="str">
        <x:v>正式阶段执行本条全部适用分支，覆盖字段/权限/异常/边界/引用历史；开发DS仅为最小场景，不代表本条通过。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IF(D41="否","不适用",IF(D41&lt;&gt;"是","未纳入本批",IF(OR(LEN(TRIM('本批提测'!$B$10))=0,LEN(TRIM('本批提测'!$B$11))=0,'本批提测'!$B$12&lt;&gt;"已确认",F41&lt;&gt;"已确认",'本批提测'!$H$53&lt;&gt;"已确认"),"待确认","已确认")))</x:f>
        <x:v>未纳入本批</x:v>
      </x:c>
      <x:c r="W41" s="10" t="str">
        <x:v>复查修正</x:v>
      </x:c>
      <x:c r="X41" s="10" t="str">
        <x:v>设计复核后保留；关联DEC14、DEC01确认后方可执行判定。
移除不属于本条的DEC01基础配置布局门槛，保留本条实际关联决策及全部执行前提。</x:v>
      </x:c>
      <x:c r="Y41" s="187"/>
      <x:c r="Z41" s="233" t="str">
        <x:v>功能专项，无直接Review配套</x:v>
      </x:c>
      <x:c r="AA41" s="10"/>
      <x:c r="AB41" s="10" t="str">
        <x:v>正式阶段执行本条全部适用分支，覆盖字段/权限/异常/边界/引用历史；开发DS仅为最小场景，不代表本条通过。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IF(D42="否","不适用",IF(D42&lt;&gt;"是","未纳入本批",IF(OR(LEN(TRIM('本批提测'!$B$10))=0,LEN(TRIM('本批提测'!$B$11))=0,'本批提测'!$B$12&lt;&gt;"已确认",F42&lt;&gt;"已确认",'本批提测'!$H$53&lt;&gt;"已确认"),"待确认","已确认")))</x:f>
        <x:v>未纳入本批</x:v>
      </x:c>
      <x:c r="W42" s="10" t="str">
        <x:v>复查修正</x:v>
      </x:c>
      <x:c r="X42" s="10" t="str">
        <x:v>设计复核后保留；关联DEC14、DEC01确认后方可执行判定。
移除不属于本条的DEC01基础配置布局门槛，保留本条实际关联决策及全部执行前提。</x:v>
      </x:c>
      <x:c r="Y42" s="187"/>
      <x:c r="Z42" s="233" t="str">
        <x:v>功能专项，无直接Review配套</x:v>
      </x:c>
      <x:c r="AA42" s="10"/>
      <x:c r="AB42" s="10" t="str">
        <x:v>正式阶段执行本条全部适用分支，覆盖字段/权限/异常/边界/引用历史；开发DS仅为最小场景，不代表本条通过。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IF(D43="否","不适用",IF(D43&lt;&gt;"是","未纳入本批",IF(OR(LEN(TRIM('本批提测'!$B$10))=0,LEN(TRIM('本批提测'!$B$11))=0,'本批提测'!$B$12&lt;&gt;"已确认",F43&lt;&gt;"已确认",'本批提测'!$H$53&lt;&gt;"已确认"),"待确认","已确认")))</x:f>
        <x:v>未纳入本批</x:v>
      </x:c>
      <x:c r="W43" s="10" t="str">
        <x:v>复查修正</x:v>
      </x:c>
      <x:c r="X43" s="10" t="str">
        <x:v>设计复核后保留；关联DEC14、DEC01确认后方可执行判定。
移除不属于本条的DEC01基础配置布局门槛，保留本条实际关联决策及全部执行前提。</x:v>
      </x:c>
      <x:c r="Y43" s="187"/>
      <x:c r="Z43" s="233" t="str">
        <x:v>功能专项，无直接Review配套</x:v>
      </x:c>
      <x:c r="AA43" s="10"/>
      <x:c r="AB43" s="10" t="str">
        <x:v>正式阶段执行本条全部适用分支，覆盖字段/权限/异常/边界/引用历史；开发DS仅为最小场景，不代表本条通过。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IF(D44="否","不适用",IF(D44&lt;&gt;"是","未纳入本批",IF(OR(LEN(TRIM('本批提测'!$B$10))=0,LEN(TRIM('本批提测'!$B$11))=0,'本批提测'!$B$12&lt;&gt;"已确认",F44&lt;&gt;"已确认",'本批提测'!$H$52&lt;&gt;"已确认"),"待确认","已确认")))</x:f>
        <x:v>未纳入本批</x:v>
      </x:c>
      <x:c r="W44" s="10" t="str">
        <x:v>复查修正</x:v>
      </x:c>
      <x:c r="X44" s="10" t="str">
        <x:v>边界/批量/公式矩阵调整为专项回归；冒烟正向闭环由本模块主链路覆盖。
移除不属于本条的DEC01基础配置布局门槛，保留本条实际关联决策及全部执行前提。</x:v>
      </x:c>
      <x:c r="Y44" s="187"/>
      <x:c r="Z44" s="233" t="str">
        <x:v>功能专项，无直接Review配套</x:v>
      </x:c>
      <x:c r="AA44" s="10"/>
      <x:c r="AB44" s="10" t="str">
        <x:v>正式阶段执行本条全部适用分支，覆盖字段/权限/异常/边界/引用历史；开发DS仅为最小场景，不代表本条通过。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主流程回归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IF(D45="否","不适用",IF(D45&lt;&gt;"是","未纳入本批",IF(OR(LEN(TRIM('本批提测'!$B$10))=0,LEN(TRIM('本批提测'!$B$11))=0,'本批提测'!$B$12&lt;&gt;"已确认",F45&lt;&gt;"已确认",'本批提测'!$H$52&lt;&gt;"已确认"),"待确认","已确认")))</x:f>
        <x:v>未纳入本批</x:v>
      </x:c>
      <x:c r="W45" s="10" t="str">
        <x:v>复查修正</x:v>
      </x:c>
      <x:c r="X45" s="10" t="str">
        <x:v>设计复核后保留；关联DEC13、DEC01确认后方可执行判定。
移除不属于本条的DEC01基础配置布局门槛，保留本条实际关联决策及全部执行前提。</x:v>
      </x:c>
      <x:c r="Y45" s="187"/>
      <x:c r="Z45" s="233" t="str">
        <x:v>功能专项，无直接Review配套</x:v>
      </x:c>
      <x:c r="AA45" s="10"/>
      <x:c r="AB45" s="10" t="str">
        <x:v>正式阶段执行本条全部适用分支，覆盖字段/权限/异常/边界/引用历史；开发DS仅为最小场景，不代表本条通过。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IF(D46="否","不适用",IF(D46&lt;&gt;"是","未纳入本批",IF(OR(LEN(TRIM('本批提测'!$B$10))=0,LEN(TRIM('本批提测'!$B$11))=0,'本批提测'!$B$12&lt;&gt;"已确认",F46&lt;&gt;"已确认",'本批提测'!$H$58&lt;&gt;"已确认"),"待确认","已确认")))</x:f>
        <x:v>未纳入本批</x:v>
      </x:c>
      <x:c r="W46" s="10" t="str">
        <x:v>复查修正</x:v>
      </x:c>
      <x:c r="X46" s="10" t="str">
        <x:v>设计复核后保留；关联DEC19、DEC01确认后方可执行判定。
移除不属于本条的DEC01基础配置布局门槛，保留本条实际关联决策及全部执行前提。</x:v>
      </x:c>
      <x:c r="Y46" s="187"/>
      <x:c r="Z46" s="233" t="str">
        <x:v>功能专项，无直接Review配套</x:v>
      </x:c>
      <x:c r="AA46" s="10" t="str">
        <x:v>DS07</x:v>
      </x:c>
      <x:c r="AB46" s="10" t="str">
        <x:v>正式阶段执行本条全部适用分支，覆盖字段/权限/异常/边界/引用历史；开发DS仅为最小场景，不代表本条通过。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IF(D47="否","不适用",IF(D47&lt;&gt;"是","未纳入本批",IF(OR(LEN(TRIM('本批提测'!$B$10))=0,LEN(TRIM('本批提测'!$B$11))=0,'本批提测'!$B$12&lt;&gt;"已确认",F47&lt;&gt;"已确认",'本批提测'!$H$51&lt;&gt;"已确认"),"待确认","已确认")))</x:f>
        <x:v>未纳入本批</x:v>
      </x:c>
      <x:c r="W47" s="10" t="str">
        <x:v>复查修正</x:v>
      </x:c>
      <x:c r="X47" s="10" t="str">
        <x:v>设计复核后保留；关联DEC12、DEC01确认后方可执行判定。
移除不属于本条的DEC01基础配置布局门槛，保留本条实际关联决策及全部执行前提。</x:v>
      </x:c>
      <x:c r="Y47" s="187"/>
      <x:c r="Z47" s="233" t="str">
        <x:v>功能专项，无直接Review配套</x:v>
      </x:c>
      <x:c r="AA47" s="10"/>
      <x:c r="AB47" s="10" t="str">
        <x:v>正式阶段执行本条全部适用分支，覆盖字段/权限/异常/边界/引用历史；开发DS仅为最小场景，不代表本条通过。</x:v>
      </x:c>
    </x:row>
    <x:row r="48" ht="196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'本批提测'!$H$159&lt;&gt;"已确认"),"待确认","已确认")))</x:f>
        <x:v>未纳入本批</x:v>
      </x:c>
      <x:c r="W48" s="10" t="str">
        <x:v>复查修正</x:v>
      </x:c>
      <x:c r="X48" s="10" t="str">
        <x:v>补真实Zone主/成员路径；版本、国家范围和返回成本卡按批准映射。
移除不属于本条的DEC01基础配置布局门槛，保留本条实际关联决策及全部执行前提。</x:v>
      </x:c>
      <x:c r="Y48" s="187"/>
      <x:c r="Z48" s="233" t="str">
        <x:v>功能专项，无直接Review配套</x:v>
      </x:c>
      <x:c r="AA48" s="10" t="str">
        <x:v>DS16</x:v>
      </x:c>
      <x:c r="AB48" s="10" t="str">
        <x:v>正式阶段执行本条全部适用分支，覆盖字段/权限/异常/边界/引用历史；开发DS仅为最小场景，不代表本条通过。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233" t="str">
        <x:v>功能专项，无直接Review配套</x:v>
      </x:c>
      <x:c r="AA49" s="10" t="str">
        <x:v>DS08</x:v>
      </x:c>
      <x:c r="AB49" s="10" t="str">
        <x:v>正式阶段执行本条全部适用分支，覆盖字段/权限/异常/边界/引用历史；开发DS仅为最小场景，不代表本条通过。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233" t="str">
        <x:v>功能专项，无直接Review配套</x:v>
      </x:c>
      <x:c r="AA50" s="10"/>
      <x:c r="AB50" s="10" t="str">
        <x:v>正式阶段执行本条全部适用分支，覆盖字段/权限/异常/边界/引用历史；开发DS仅为最小场景，不代表本条通过。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主流程回归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233" t="str">
        <x:v>功能专项，无直接Review配套</x:v>
      </x:c>
      <x:c r="AA51" s="10" t="str">
        <x:v>DS09</x:v>
      </x:c>
      <x:c r="AB51" s="10" t="str">
        <x:v>正式阶段执行本条全部适用分支，覆盖字段/权限/异常/边界/引用历史；开发DS仅为最小场景，不代表本条通过。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IF(D52="否","不适用",IF(D52&lt;&gt;"是","未纳入本批",IF(OR(LEN(TRIM('本批提测'!$B$10))=0,LEN(TRIM('本批提测'!$B$11))=0,'本批提测'!$B$12&lt;&gt;"已确认",F52&lt;&gt;"已确认",'本批提测'!$H$58&lt;&gt;"已确认"),"待确认","已确认")))</x:f>
        <x:v>未纳入本批</x:v>
      </x:c>
      <x:c r="W52" s="10" t="str">
        <x:v>复查修正</x:v>
      </x:c>
      <x:c r="X52" s="10" t="str">
        <x:v>设计复核后保留；关联DEC19、DEC01确认后方可执行判定。
移除不属于本条的DEC01基础配置布局门槛，保留本条实际关联决策及全部执行前提。</x:v>
      </x:c>
      <x:c r="Y52" s="187"/>
      <x:c r="Z52" s="233" t="str">
        <x:v>功能专项，无直接Review配套</x:v>
      </x:c>
      <x:c r="AA52" s="10"/>
      <x:c r="AB52" s="10" t="str">
        <x:v>正式阶段执行本条全部适用分支，覆盖字段/权限/异常/边界/引用历史；开发DS仅为最小场景，不代表本条通过。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IF(D53="否","不适用",IF(D53&lt;&gt;"是","未纳入本批",IF(OR(LEN(TRIM('本批提测'!$B$10))=0,LEN(TRIM('本批提测'!$B$11))=0,'本批提测'!$B$12&lt;&gt;"已确认",F53&lt;&gt;"已确认",'本批提测'!$H$58&lt;&gt;"已确认"),"待确认","已确认")))</x:f>
        <x:v>未纳入本批</x:v>
      </x:c>
      <x:c r="W53" s="10" t="str">
        <x:v>复查修正</x:v>
      </x:c>
      <x:c r="X53" s="10" t="str">
        <x:v>设计复核后保留；关联DEC19、DEC01确认后方可执行判定。
移除不属于本条的DEC01基础配置布局门槛，保留本条实际关联决策及全部执行前提。</x:v>
      </x:c>
      <x:c r="Y53" s="187"/>
      <x:c r="Z53" s="233" t="str">
        <x:v>功能专项，无直接Review配套</x:v>
      </x:c>
      <x:c r="AA53" s="10"/>
      <x:c r="AB53" s="10" t="str">
        <x:v>正式阶段执行本条全部适用分支，覆盖字段/权限/异常/边界/引用历史；开发DS仅为最小场景，不代表本条通过。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233" t="str">
        <x:v>功能专项，无直接Review配套</x:v>
      </x:c>
      <x:c r="AA54" s="10"/>
      <x:c r="AB54" s="10" t="str">
        <x:v>正式阶段执行本条全部适用分支，覆盖字段/权限/异常/边界/引用历史；开发DS仅为最小场景，不代表本条通过。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),"待确认","已确认")))</x:f>
        <x:v>未纳入本批</x:v>
      </x:c>
      <x:c r="W55" s="10" t="str">
        <x:v>复查修正</x:v>
      </x:c>
      <x:c r="X55" s="10" t="str">
        <x:v>设计复核后保留；关联DEC11、DEC16、DEC01确认后方可执行判定。
移除不属于本条的DEC01基础配置布局门槛，保留本条实际关联决策及全部执行前提。</x:v>
      </x:c>
      <x:c r="Y55" s="187"/>
      <x:c r="Z55" s="233" t="str">
        <x:v>功能专项，无直接Review配套</x:v>
      </x:c>
      <x:c r="AA55" s="10"/>
      <x:c r="AB55" s="10" t="str">
        <x:v>正式阶段执行本条全部适用分支，覆盖字段/权限/异常/边界/引用历史；开发DS仅为最小场景，不代表本条通过。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233" t="str">
        <x:v>功能专项，无直接Review配套</x:v>
      </x:c>
      <x:c r="AA56" s="10"/>
      <x:c r="AB56" s="10" t="str">
        <x:v>正式阶段执行本条全部适用分支，覆盖字段/权限/异常/边界/引用历史；开发DS仅为最小场景，不代表本条通过。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主流程回归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IF(D57="否","不适用",IF(D57&lt;&gt;"是","未纳入本批",IF(OR(LEN(TRIM('本批提测'!$B$10))=0,LEN(TRIM('本批提测'!$B$11))=0,'本批提测'!$B$12&lt;&gt;"已确认",F57&lt;&gt;"已确认",'本批提测'!$H$58&lt;&gt;"已确认"),"待确认","已确认")))</x:f>
        <x:v>未纳入本批</x:v>
      </x:c>
      <x:c r="W57" s="10" t="str">
        <x:v>复查修正</x:v>
      </x:c>
      <x:c r="X57" s="10" t="str">
        <x:v>恢复核心重量正向算例至冒烟；小数进位与非法/缺失输入分别移至SM79、SM78，不丢原分支。
移除不属于本条的DEC01基础配置布局门槛，保留本条实际关联决策及全部执行前提。</x:v>
      </x:c>
      <x:c r="Y57" s="187"/>
      <x:c r="Z57" s="233" t="str">
        <x:v>功能专项，无直接Review配套</x:v>
      </x:c>
      <x:c r="AA57" s="10" t="str">
        <x:v>DS10</x:v>
      </x:c>
      <x:c r="AB57" s="10" t="str">
        <x:v>正式阶段执行本条全部适用分支，覆盖字段/权限/异常/边界/引用历史；开发DS仅为最小场景，不代表本条通过。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主流程回归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233" t="str">
        <x:v>功能专项，无直接Review配套</x:v>
      </x:c>
      <x:c r="AA58" s="10" t="str">
        <x:v>DS11</x:v>
      </x:c>
      <x:c r="AB58" s="10" t="str">
        <x:v>正式阶段执行本条全部适用分支，覆盖字段/权限/异常/边界/引用历史；开发DS仅为最小场景，不代表本条通过。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233" t="str">
        <x:v>功能专项，无直接Review配套</x:v>
      </x:c>
      <x:c r="AA59" s="10"/>
      <x:c r="AB59" s="10" t="str">
        <x:v>正式阶段执行本条全部适用分支，覆盖字段/权限/异常/边界/引用历史；开发DS仅为最小场景，不代表本条通过。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233" t="str">
        <x:v>功能专项，无直接Review配套</x:v>
      </x:c>
      <x:c r="AA60" s="10"/>
      <x:c r="AB60" s="10" t="str">
        <x:v>正式阶段执行本条全部适用分支，覆盖字段/权限/异常/边界/引用历史；开发DS仅为最小场景，不代表本条通过。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IF(D61="否","不适用",IF(D61&lt;&gt;"是","未纳入本批",IF(OR(LEN(TRIM('本批提测'!$B$10))=0,LEN(TRIM('本批提测'!$B$11))=0,'本批提测'!$B$12&lt;&gt;"已确认",F61&lt;&gt;"已确认",'本批提测'!$H$58&lt;&gt;"已确认"),"待确认","已确认")))</x:f>
        <x:v>未纳入本批</x:v>
      </x:c>
      <x:c r="W61" s="10" t="str">
        <x:v>复查修正</x:v>
      </x:c>
      <x:c r="X61" s="10" t="str">
        <x:v>设计复核后保留；关联DEC19、DEC01确认后方可执行判定。
移除不属于本条的DEC01基础配置布局门槛，保留本条实际关联决策及全部执行前提。</x:v>
      </x:c>
      <x:c r="Y61" s="187"/>
      <x:c r="Z61" s="233" t="str">
        <x:v>功能专项，无直接Review配套</x:v>
      </x:c>
      <x:c r="AA61" s="10"/>
      <x:c r="AB61" s="10" t="str">
        <x:v>正式阶段执行本条全部适用分支，覆盖字段/权限/异常/边界/引用历史；开发DS仅为最小场景，不代表本条通过。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233" t="str">
        <x:v>功能专项，无直接Review配套</x:v>
      </x:c>
      <x:c r="AA62" s="10"/>
      <x:c r="AB62" s="10" t="str">
        <x:v>正式阶段执行本条全部适用分支，覆盖字段/权限/异常/边界/引用历史；开发DS仅为最小场景，不代表本条通过。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'本批提测'!$H$158&lt;&gt;"已确认"),"待确认","已确认")))</x:f>
        <x:v>未纳入本批</x:v>
      </x:c>
      <x:c r="W63" s="10" t="str">
        <x:v>复查修正</x:v>
      </x:c>
      <x:c r="X63" s="10" t="str">
        <x:v>保留原地点与匹配合同，增加独立对象映射及可执行前提。
移除不属于本条的DEC01基础配置布局门槛，保留本条实际关联决策及全部执行前提。</x:v>
      </x:c>
      <x:c r="Y63" s="187" t="str">
        <x:v>UI09</x:v>
      </x:c>
      <x:c r="Z63" s="237" t="str">
        <x:v>绿色：直接复用（局部配套）</x:v>
      </x:c>
      <x:c r="AA63" s="10"/>
      <x:c r="AB63" s="10" t="str">
        <x:v>正式阶段执行本条全部适用分支，覆盖字段/权限/异常/边界/引用历史；开发DS仅为最小场景，不代表本条通过。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主流程回归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IF(D64="否","不适用",IF(D64&lt;&gt;"是","未纳入本批",IF(OR(LEN(TRIM('本批提测'!$B$10))=0,LEN(TRIM('本批提测'!$B$11))=0,'本批提测'!$B$12&lt;&gt;"已确认",F64&lt;&gt;"已确认",'本批提测'!$H$60&lt;&gt;"已确认"),"待确认","已确认")))</x:f>
        <x:v>未纳入本批</x:v>
      </x:c>
      <x:c r="W64" s="10" t="str">
        <x:v>复查修正</x:v>
      </x:c>
      <x:c r="X64" s="10" t="str">
        <x:v>设计复核后保留；关联DEC21、DEC01确认后方可执行判定。
移除不属于本条的DEC01基础配置布局门槛，保留本条实际关联决策及全部执行前提。</x:v>
      </x:c>
      <x:c r="Y64" s="187"/>
      <x:c r="Z64" s="233" t="str">
        <x:v>功能专项，无直接Review配套</x:v>
      </x:c>
      <x:c r="AA64" s="10" t="str">
        <x:v>DS13</x:v>
      </x:c>
      <x:c r="AB64" s="10" t="str">
        <x:v>正式阶段执行本条全部适用分支，覆盖字段/权限/异常/边界/引用历史；开发DS仅为最小场景，不代表本条通过。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IF(D65="否","不适用",IF(D65&lt;&gt;"是","未纳入本批",IF(OR(LEN(TRIM('本批提测'!$B$10))=0,LEN(TRIM('本批提测'!$B$11))=0,'本批提测'!$B$12&lt;&gt;"已确认",F65&lt;&gt;"已确认",'本批提测'!$H$60&lt;&gt;"已确认"),"待确认","已确认")))</x:f>
        <x:v>未纳入本批</x:v>
      </x:c>
      <x:c r="W65" s="10" t="str">
        <x:v>复查修正</x:v>
      </x:c>
      <x:c r="X65" s="10" t="str">
        <x:v>设计复核后保留；关联DEC21、DEC01确认后方可执行判定。
移除不属于本条的DEC01基础配置布局门槛，保留本条实际关联决策及全部执行前提。</x:v>
      </x:c>
      <x:c r="Y65" s="187"/>
      <x:c r="Z65" s="233" t="str">
        <x:v>功能专项，无直接Review配套</x:v>
      </x:c>
      <x:c r="AA65" s="10"/>
      <x:c r="AB65" s="10" t="str">
        <x:v>正式阶段执行本条全部适用分支，覆盖字段/权限/异常/边界/引用历史；开发DS仅为最小场景，不代表本条通过。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233" t="str">
        <x:v>功能专项，无直接Review配套</x:v>
      </x:c>
      <x:c r="AA66" s="10"/>
      <x:c r="AB66" s="10" t="str">
        <x:v>正式阶段执行本条全部适用分支，覆盖字段/权限/异常/边界/引用历史；开发DS仅为最小场景，不代表本条通过。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233" t="str">
        <x:v>功能专项，无直接Review配套</x:v>
      </x:c>
      <x:c r="AA67" s="10"/>
      <x:c r="AB67" s="10" t="str">
        <x:v>正式阶段执行本条全部适用分支，覆盖字段/权限/异常/边界/引用历史；开发DS仅为最小场景，不代表本条通过。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241" t="str">
        <x:v>蓝色：组合复用（局部配套）</x:v>
      </x:c>
      <x:c r="AA68" s="10"/>
      <x:c r="AB68" s="10" t="str">
        <x:v>正式阶段执行本条全部适用分支，覆盖字段/权限/异常/边界/引用历史；开发DS仅为最小场景，不代表本条通过。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233" t="str">
        <x:v>功能专项，无直接Review配套</x:v>
      </x:c>
      <x:c r="AA69" s="10"/>
      <x:c r="AB69" s="10" t="str">
        <x:v>正式阶段执行本条全部适用分支，覆盖字段/权限/异常/边界/引用历史；开发DS仅为最小场景，不代表本条通过。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233" t="str">
        <x:v>功能专项，无直接Review配套</x:v>
      </x:c>
      <x:c r="AA70" s="10"/>
      <x:c r="AB70" s="10" t="str">
        <x:v>正式阶段执行本条全部适用分支，覆盖字段/权限/异常/边界/引用历史；开发DS仅为最小场景，不代表本条通过。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233" t="str">
        <x:v>功能专项，无直接Review配套</x:v>
      </x:c>
      <x:c r="AA71" s="10"/>
      <x:c r="AB71" s="10" t="str">
        <x:v>正式阶段执行本条全部适用分支，覆盖字段/权限/异常/边界/引用历史；开发DS仅为最小场景，不代表本条通过。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233" t="str">
        <x:v>功能专项，无直接Review配套</x:v>
      </x:c>
      <x:c r="AA72" s="10"/>
      <x:c r="AB72" s="10" t="str">
        <x:v>正式阶段执行本条全部适用分支，覆盖字段/权限/异常/边界/引用历史；开发DS仅为最小场景，不代表本条通过。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233" t="str">
        <x:v>功能专项，无直接Review配套</x:v>
      </x:c>
      <x:c r="AA73" s="10"/>
      <x:c r="AB73" s="10" t="str">
        <x:v>正式阶段执行本条全部适用分支，覆盖字段/权限/异常/边界/引用历史；开发DS仅为最小场景，不代表本条通过。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233" t="str">
        <x:v>功能专项，无直接Review配套</x:v>
      </x:c>
      <x:c r="AA74" s="10"/>
      <x:c r="AB74" s="10" t="str">
        <x:v>正式阶段执行本条全部适用分支，覆盖字段/权限/异常/边界/引用历史；开发DS仅为最小场景，不代表本条通过。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233" t="str">
        <x:v>功能专项，无直接Review配套</x:v>
      </x:c>
      <x:c r="AA75" s="10"/>
      <x:c r="AB75" s="10" t="str">
        <x:v>正式阶段执行本条全部适用分支，覆盖字段/权限/异常/边界/引用历史；开发DS仅为最小场景，不代表本条通过。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233" t="str">
        <x:v>功能专项，无直接Review配套</x:v>
      </x:c>
      <x:c r="AA76" s="10"/>
      <x:c r="AB76" s="10" t="str">
        <x:v>正式阶段执行本条全部适用分支，覆盖字段/权限/异常/边界/引用历史；开发DS仅为最小场景，不代表本条通过。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233" t="str">
        <x:v>功能专项，无直接Review配套</x:v>
      </x:c>
      <x:c r="AA77" s="10" t="str">
        <x:v>DS16</x:v>
      </x:c>
      <x:c r="AB77" s="10" t="str">
        <x:v>正式阶段执行本条全部适用分支，覆盖字段/权限/异常/边界/引用历史；开发DS仅为最小场景，不代表本条通过。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233" t="str">
        <x:v>功能专项，无直接Review配套</x:v>
      </x:c>
      <x:c r="AA78" s="10"/>
      <x:c r="AB78" s="10" t="str">
        <x:v>正式阶段执行本条全部适用分支，覆盖字段/权限/异常/边界/引用历史；开发DS仅为最小场景，不代表本条通过。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233" t="str">
        <x:v>功能专项，无直接Review配套</x:v>
      </x:c>
      <x:c r="AA79" s="10"/>
      <x:c r="AB79" s="10" t="str">
        <x:v>正式阶段执行本条全部适用分支，覆盖字段/权限/异常/边界/引用历史；开发DS仅为最小场景，不代表本条通过。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233" t="str">
        <x:v>功能专项，无直接Review配套</x:v>
      </x:c>
      <x:c r="AA80" s="10"/>
      <x:c r="AB80" s="10" t="str">
        <x:v>正式阶段执行本条全部适用分支，覆盖字段/权限/异常/边界/引用历史；开发DS仅为最小场景，不代表本条通过。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233" t="str">
        <x:v>功能专项，无直接Review配套</x:v>
      </x:c>
      <x:c r="AA81" s="10"/>
      <x:c r="AB81" s="10" t="str">
        <x:v>正式阶段执行本条全部适用分支，覆盖字段/权限/异常/边界/引用历史；开发DS仅为最小场景，不代表本条通过。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233" t="str">
        <x:v>功能专项，无直接Review配套</x:v>
      </x:c>
      <x:c r="AA82" s="10"/>
      <x:c r="AB82" s="10" t="str">
        <x:v>正式阶段执行本条全部适用分支，覆盖字段/权限/异常/边界/引用历史；开发DS仅为最小场景，不代表本条通过。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233" t="str">
        <x:v>功能专项，无直接Review配套</x:v>
      </x:c>
      <x:c r="AA83" s="10"/>
      <x:c r="AB83" s="10" t="str">
        <x:v>正式阶段执行本条全部适用分支，覆盖字段/权限/异常/边界/引用历史；开发DS仅为最小场景，不代表本条通过。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233" t="str">
        <x:v>功能专项，无直接Review配套</x:v>
      </x:c>
      <x:c r="AA84" s="10"/>
      <x:c r="AB84" s="10" t="str">
        <x:v>正式阶段执行本条全部适用分支，覆盖字段/权限/异常/边界/引用历史；开发DS仅为最小场景，不代表本条通过。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233" t="str">
        <x:v>功能专项，无直接Review配套</x:v>
      </x:c>
      <x:c r="AA85" s="10" t="str">
        <x:v>DS11</x:v>
      </x:c>
      <x:c r="AB85" s="10" t="str">
        <x:v>正式阶段执行本条全部适用分支，覆盖字段/权限/异常/边界/引用历史；开发DS仅为最小场景，不代表本条通过。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233" t="str">
        <x:v>功能专项，无直接Review配套</x:v>
      </x:c>
      <x:c r="AA86" s="10"/>
      <x:c r="AB86" s="10" t="str">
        <x:v>正式阶段执行本条全部适用分支，覆盖字段/权限/异常/边界/引用历史；开发DS仅为最小场景，不代表本条通过。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 t="str">
        <x:v>UI18</x:v>
      </x:c>
      <x:c r="Z87" s="237" t="str">
        <x:v>绿色：直接复用（局部配套）</x:v>
      </x:c>
      <x:c r="AA87" s="10"/>
      <x:c r="AB87" s="10" t="str">
        <x:v>正式阶段执行本条全部适用分支，覆盖字段/权限/异常/边界/引用历史；开发DS仅为最小场景，不代表本条通过。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233" t="str">
        <x:v>功能专项，无直接Review配套</x:v>
      </x:c>
      <x:c r="AA88" s="10"/>
      <x:c r="AB88" s="10" t="str">
        <x:v>正式阶段执行本条全部适用分支，覆盖字段/权限/异常/边界/引用历史；开发DS仅为最小场景，不代表本条通过。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233" t="str">
        <x:v>功能专项，无直接Review配套</x:v>
      </x:c>
      <x:c r="AA89" s="10" t="str">
        <x:v>DS15</x:v>
      </x:c>
      <x:c r="AB89" s="10" t="str">
        <x:v>正式阶段执行本条全部适用分支，覆盖字段/权限/异常/边界/引用历史；开发DS仅为最小场景，不代表本条通过。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233" t="str">
        <x:v>功能专项，无直接Review配套</x:v>
      </x:c>
      <x:c r="AA90" s="10" t="str">
        <x:v>DS14</x:v>
      </x:c>
      <x:c r="AB90" s="10" t="str">
        <x:v>正式阶段执行本条全部适用分支，覆盖字段/权限/异常/边界/引用历史；开发DS仅为最小场景，不代表本条通过。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233" t="str">
        <x:v>功能专项，无直接Review配套</x:v>
      </x:c>
      <x:c r="AA91" s="10"/>
      <x:c r="AB91" s="10" t="str">
        <x:v>正式阶段执行本条全部适用分支，覆盖字段/权限/异常/边界/引用历史；开发DS仅为最小场景，不代表本条通过。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233" t="str">
        <x:v>功能专项，无直接Review配套</x:v>
      </x:c>
      <x:c r="AA92" s="10"/>
      <x:c r="AB92" s="10" t="str">
        <x:v>正式阶段执行本条全部适用分支，覆盖字段/权限/异常/边界/引用历史；开发DS仅为最小场景，不代表本条通过。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233" t="str">
        <x:v>功能专项，无直接Review配套</x:v>
      </x:c>
      <x:c r="AA93" s="10"/>
      <x:c r="AB93" s="10" t="str">
        <x:v>正式阶段执行本条全部适用分支，覆盖字段/权限/异常/边界/引用历史；开发DS仅为最小场景，不代表本条通过。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233" t="str">
        <x:v>功能专项，无直接Review配套</x:v>
      </x:c>
      <x:c r="AA94" s="10"/>
      <x:c r="AB94" s="10" t="str">
        <x:v>正式阶段执行本条全部适用分支，覆盖字段/权限/异常/边界/引用历史；开发DS仅为最小场景，不代表本条通过。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233" t="str">
        <x:v>功能专项，无直接Review配套</x:v>
      </x:c>
      <x:c r="AA95" s="10"/>
      <x:c r="AB95" s="10" t="str">
        <x:v>正式阶段执行本条全部适用分支，覆盖字段/权限/异常/边界/引用历史；开发DS仅为最小场景，不代表本条通过。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233" t="str">
        <x:v>功能专项，无直接Review配套</x:v>
      </x:c>
      <x:c r="AA96" s="10"/>
      <x:c r="AB96" s="10" t="str">
        <x:v>正式阶段执行本条全部适用分支，覆盖字段/权限/异常/边界/引用历史；开发DS仅为最小场景，不代表本条通过。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5c04ab4faa44a4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  <x:col min="39" max="39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正式界面交互验收库49条：21条Review＋28条规范/公共基准补充；基于批准UI规范与实际系统验证。前置走查和修改闭环见UI走查/UI修改清单；过程记录不自动变成本表通过。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配套功能case（局部覆盖）</x:v>
      </x:c>
      <x:c r="AK5" s="173" t="str">
        <x:v>验收所需依据</x:v>
      </x:c>
      <x:c r="AL5" s="173" t="str">
        <x:v>层级来源</x:v>
      </x:c>
      <x:c r="AM5" s="227" t="str">
        <x:v>功能关联范围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IF(G6="通过",IF('UI走查'!Y7&lt;&gt;"页面覆盖已通过","页面覆盖未通过",IF('UI走查'!O7&lt;&gt;'本批提测'!$B$11,"页面依据版本待核对","通过")),G6)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6" s="86"/>
      <x:c r="N6" s="86"/>
      <x:c r="O6" s="86"/>
      <x:c r="P6" s="14" t="str">
        <x:v>P0</x:v>
      </x:c>
      <x:c r="Q6" s="14" t="str">
        <x:v>设计完毕</x:v>
      </x:c>
      <x:c r="R6" s="205" t="str">
        <x:v>无法覆盖</x:v>
      </x:c>
      <x:c r="S6" s="14" t="str">
        <x:v>UI</x:v>
      </x:c>
      <x:c r="T6" s="10" t="str">
        <x:v>正式界面交互验收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飞书直接映射：review-67fb39add5，rev642；红色。
颜色及Review→UI case为飞书直接映射；功能配套为测试设计关联，具体覆盖范围见AM。</x:v>
      </x:c>
      <x:c r="AM6" s="10" t="str">
        <x:v>仅基础配置分组/对象切换与新增目标。Tabs层级、布局和量值仍由UI01验收。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IF(G7="通过",IF('UI走查'!Y8&lt;&gt;"页面覆盖已通过","页面覆盖未通过",IF('UI走查'!O8&lt;&gt;'本批提测'!$B$11,"页面依据版本待核对","通过")),G7)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review-4122ab1853；2026-10-12当前视图rev642；建议按本批批准基线采纳，来源状态不等于实测结果。
颜色层级按飞书框架适配字段对应；批准需求与本批实测结果分别记录。</x:v>
      </x:c>
      <x:c r="M7" s="86"/>
      <x:c r="N7" s="86"/>
      <x:c r="O7" s="86"/>
      <x:c r="P7" s="14" t="str">
        <x:v>P1</x:v>
      </x:c>
      <x:c r="Q7" s="14" t="str">
        <x:v>设计完毕</x:v>
      </x:c>
      <x:c r="R7" s="205" t="str">
        <x:v>无法覆盖</x:v>
      </x:c>
      <x:c r="S7" s="14" t="str">
        <x:v>UI</x:v>
      </x:c>
      <x:c r="T7" s="10" t="str">
        <x:v>正式界面交互验收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'本批提测'!$H$57&lt;&gt;"已确认"),"待确认","已确认")))</x:f>
        <x:v>未纳入本批</x:v>
      </x:c>
      <x:c r="AG7" s="10" t="str">
        <x:v>复查修正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
移除不属于本条的DEC01基础配置布局门槛，保留本条实际关联决策及全部执行前提。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无直接配套；本UI case独立执行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飞书直接映射：review-4122ab1853，rev642；红色。
颜色及Review→UI case为飞书直接映射；功能配套为测试设计关联，具体覆盖范围见AM。</x:v>
      </x:c>
      <x:c r="AM7" s="10" t="str">
        <x:v>跨分类折叠菜单在UI02本身执行；SM03已限定基础配置对象导航，SM04测刷新/返回，均不覆盖菜单自动收起。</x:v>
      </x:c>
    </x:row>
    <x:row r="8" ht="153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IF(G8="通过",IF('UI走查'!Y9&lt;&gt;"页面覆盖已通过","页面覆盖未通过",IF('UI走查'!O9&lt;&gt;'本批提测'!$B$11,"页面依据版本待核对","通过")),G8)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review-24220c26b9；2026-10-12当前视图rev642；建议按本批批准基线采纳，来源状态不等于实测结果。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组合复用</x:v>
      </x:c>
      <x:c r="S8" s="14" t="str">
        <x:v>UI、开发</x:v>
      </x:c>
      <x:c r="T8" s="10" t="str">
        <x:v>正式界面交互验收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$57&lt;&gt;"已确认",'本批提测'!$H$61&lt;&gt;"已确认"),"待确认","已确认")))</x:f>
        <x:v>未纳入本批</x:v>
      </x:c>
      <x:c r="AG8" s="10" t="str">
        <x:v>复查修正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
移除不属于本条的DEC01基础配置布局门槛，保留本条实际关联决策及全部执行前提。</x:v>
      </x:c>
      <x:c r="AI8" s="10" t="str">
        <x:v>核现有标准组件组合后的布局、状态联动与完整流程，重点检查选中反馈、返回、跨页/未保存数据保护。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飞书直接映射：review-24220c26b9，rev642；蓝色。
颜色及Review→UI case为飞书直接映射；功能配套为测试设计关联，具体覆盖范围见AM。</x:v>
      </x:c>
      <x:c r="AM8" s="10" t="str">
        <x:v>对应跨页选择、选中对象及保存不丢失；Checkbox/Tag/数量呈现由UI03及DEC22判定。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IF(G9="通过",IF('UI走查'!Y10&lt;&gt;"页面覆盖已通过","页面覆盖未通过",IF('UI走查'!O10&lt;&gt;'本批提测'!$B$11,"页面依据版本待核对","通过")),G9)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review-c79c73690c；2026-10-12当前视图rev642；建议按本批批准基线采纳，来源状态不等于实测结果。
颜色层级按飞书框架适配字段对应；批准需求与本批实测结果分别记录。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调整后复用</x:v>
      </x:c>
      <x:c r="S9" s="14" t="str">
        <x:v>UI、产品</x:v>
      </x:c>
      <x:c r="T9" s="10" t="str">
        <x:v>正式界面交互验收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飞书直接映射：review-c79c73690c，rev642；黄色。
颜色及Review→UI case为飞书直接映射；功能配套为测试设计关联，具体覆盖范围见AM。</x:v>
      </x:c>
      <x:c r="AM9" s="10" t="str">
        <x:v>对应禁用编排后的业务影响；图标、风险语义及取消交互由UI04验证。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IF(G10="通过",IF('UI走查'!Y11&lt;&gt;"页面覆盖已通过","页面覆盖未通过",IF('UI走查'!O11&lt;&gt;'本批提测'!$B$11,"页面依据版本待核对","通过")),G10)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review-5cb0b5dcb6；2026-10-12当前视图rev642；建议按本批批准基线采纳，来源状态不等于实测结果。
颜色层级按飞书框架适配字段对应；批准需求与本批实测结果分别记录。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业务交互、信息待明确</x:v>
      </x:c>
      <x:c r="S10" s="14" t="str">
        <x:v>产品</x:v>
      </x:c>
      <x:c r="T10" s="10" t="str">
        <x:v>正式界面交互验收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无直接配套；本UI case独立执行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飞书直接映射：review-5cb0b5dcb6，rev642；白灰色。
颜色及Review→UI case为飞书直接映射；功能配套为测试设计关联，具体覆盖范围见AM。</x:v>
      </x:c>
      <x:c r="AM10" s="10" t="str">
        <x:v>由UI05逐页按产品文案清单核对。SM05测请求加载/反馈，不覆盖原型说明文字清理。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IF(G11="通过",IF('UI走查'!Y12&lt;&gt;"页面覆盖已通过","页面覆盖未通过",IF('UI走查'!O12&lt;&gt;'本批提测'!$B$11,"页面依据版本待核对","通过")),G11)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review-e3abcc238c；2026-10-12当前视图rev642；建议按本批批准基线采纳，来源状态不等于实测结果。
颜色层级按飞书框架适配字段对应；批准需求与本批实测结果分别记录。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直接复用</x:v>
      </x:c>
      <x:c r="S11" s="14" t="str">
        <x:v>开发</x:v>
      </x:c>
      <x:c r="T11" s="10" t="str">
        <x:v>正式界面交互验收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无直接配套；本UI case独立执行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飞书直接映射：review-e3abcc238c，rev642；绿色。
颜色及Review→UI case为飞书直接映射；功能配套为测试设计关联，具体覆盖范围见AM。</x:v>
      </x:c>
      <x:c r="AM11" s="10" t="str">
        <x:v>菜单字体、缩进、图标、视觉状态由UI06验证；不以基础配置对象导航SM03代替。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IF(G12="通过",IF('UI走查'!Y13&lt;&gt;"页面覆盖已通过","页面覆盖未通过",IF('UI走查'!O13&lt;&gt;'本批提测'!$B$11,"页面依据版本待核对","通过")),G12)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review-a2a817eb2a；2026-10-12当前视图rev642；建议按本批批准基线采纳，来源状态不等于实测结果。
颜色层级按飞书框架适配字段对应；批准需求与本批实测结果分别记录。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直接复用</x:v>
      </x:c>
      <x:c r="S12" s="14" t="str">
        <x:v>开发</x:v>
      </x:c>
      <x:c r="T12" s="10" t="str">
        <x:v>正式界面交互验收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无直接配套；本UI case独立执行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飞书直接映射：review-a2a817eb2a，rev642；绿色。
颜色及Review→UI case为飞书直接映射；功能配套为测试设计关联，具体覆盖范围见AM。</x:v>
      </x:c>
      <x:c r="AM12" s="10" t="str">
        <x:v>顶部导航布局及无功能入口由UI07验证；当前功能库没有直接对应同一导航检查的SM条目。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IF(G13="通过",IF('UI走查'!Y14&lt;&gt;"页面覆盖已通过","页面覆盖未通过",IF('UI走查'!O14&lt;&gt;'本批提测'!$B$11,"页面依据版本待核对","通过")),G13)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review-716a17fbb6；2026-10-12当前视图rev642；建议按本批批准基线采纳，来源状态不等于实测结果。
颜色层级按飞书框架适配字段对应；批准需求与本批实测结果分别记录。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直接复用</x:v>
      </x:c>
      <x:c r="S13" s="14" t="str">
        <x:v>产品、开发</x:v>
      </x:c>
      <x:c r="T13" s="10" t="str">
        <x:v>正式界面交互验收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无直接配套；本UI case独立执行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飞书直接映射：review-716a17fbb6，rev642；绿色。
颜色及Review→UI case为飞书直接映射；功能配套为测试设计关联，具体覆盖范围见AM。</x:v>
      </x:c>
      <x:c r="AM13" s="10" t="str">
        <x:v>面包屑、副标题、操作对齐由UI08验证。SM03/SM11/SM21不直接检查这些组件。</x:v>
      </x:c>
    </x:row>
    <x:row r="14" ht="142.5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IF(G14="通过",IF('UI走查'!Y15&lt;&gt;"页面覆盖已通过","页面覆盖未通过",IF('UI走查'!O15&lt;&gt;'本批提测'!$B$11,"页面依据版本待核对","通过")),G14)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直接复用</x:v>
      </x:c>
      <x:c r="S14" s="14" t="str">
        <x:v>开发</x:v>
      </x:c>
      <x:c r="T14" s="10" t="str">
        <x:v>正式界面交互验收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'本批提测'!$H$57&lt;&gt;"已确认"),"待确认","已确认")))</x:f>
        <x:v>未纳入本批</x:v>
      </x:c>
      <x:c r="AG14" s="10" t="str">
        <x:v>复查修正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飞书直接映射：review-96579d37d7，rev642；绿色。
颜色及Review→UI case为飞书直接映射；功能配套为测试设计关联，具体覆盖范围见AM。</x:v>
      </x:c>
      <x:c r="AM14" s="10" t="str">
        <x:v>对应命中/空结果、查询重置及地点即时检索；仅复用本批实际对象分支，控件布局与量值由UI09验证。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IF(G15="通过",IF('UI走查'!Y16&lt;&gt;"页面覆盖已通过","页面覆盖未通过",IF('UI走查'!O16&lt;&gt;'本批提测'!$B$11,"页面依据版本待核对","通过")),G15)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review-92624f2e97；2026-10-12当前视图rev642；建议按本批批准基线采纳，来源状态不等于实测结果。
颜色层级按飞书框架适配字段对应；批准需求与本批实测结果分别记录。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直接复用</x:v>
      </x:c>
      <x:c r="S15" s="14" t="str">
        <x:v>开发</x:v>
      </x:c>
      <x:c r="T15" s="10" t="str">
        <x:v>正式界面交互验收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无直接配套；本UI case独立执行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飞书直接映射：review-92624f2e97，rev642；绿色。
颜色及Review→UI case为飞书直接映射；功能配套为测试设计关联，具体覆盖范围见AM。</x:v>
      </x:c>
      <x:c r="AM15" s="10" t="str">
        <x:v>容器Padding、列适配与表格视觉由UI10验证；已有数据或分页结果不能覆盖这些量值。</x:v>
      </x:c>
    </x:row>
    <x:row r="16" ht="193.5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IF(G16="通过",IF('UI走查'!Y17&lt;&gt;"页面覆盖已通过","页面覆盖未通过",IF('UI走查'!O17&lt;&gt;'本批提测'!$B$11,"页面依据版本待核对","通过")),G16)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L16" s="10" t="str">
        <x:v>REVIEW review-08ef6a1468；2026-10-12当前视图rev642；建议按本批批准基线采纳，来源状态不等于实测结果。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
公共用例基准v1.2 revision95 §3.1；具体项目上下文/量值依批准方案。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直接复用</x:v>
      </x:c>
      <x:c r="S16" s="14" t="str">
        <x:v>开发</x:v>
      </x:c>
      <x:c r="T16" s="10" t="str">
        <x:v>正式界面交互验收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飞书直接映射：review-08ef6a1468，rev642；绿色。
颜色及Review→UI case为飞书直接映射；功能配套为测试设计关联，具体覆盖范围见AM。</x:v>
      </x:c>
      <x:c r="AM16" s="10" t="str">
        <x:v>对应基础配置分页记录/总数；其他模块需按实际交付数据执行UI11，不由SM08代表全站。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IF(G17="通过",IF('UI走查'!Y18&lt;&gt;"页面覆盖已通过","页面覆盖未通过",IF('UI走查'!O18&lt;&gt;'本批提测'!$B$11,"页面依据版本待核对","通过")),G17)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直接复用</x:v>
      </x:c>
      <x:c r="S17" s="14" t="str">
        <x:v>开发</x:v>
      </x:c>
      <x:c r="T17" s="10" t="str">
        <x:v>正式界面交互验收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无直接配套；本UI case独立执行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飞书直接映射：review-79dfb7278b，rev642；绿色。
颜色及Review→UI case为飞书直接映射；功能配套为测试设计关联，具体覆盖范围见AM。</x:v>
      </x:c>
      <x:c r="AM17" s="10" t="str">
        <x:v>横向滚动固定列及分隔样式在UI12验证；SM28未写横向滚动，不把批量范围检查当固定列覆盖。</x:v>
      </x:c>
    </x:row>
    <x:row r="18" ht="112.5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IF(G18="通过",IF('UI走查'!Y19&lt;&gt;"页面覆盖已通过","页面覆盖未通过",IF('UI走查'!O19&lt;&gt;'本批提测'!$B$11,"页面依据版本待核对","通过")),G18)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review-42f80e1fec；2026-10-12当前视图rev642；建议按本批批准基线采纳，来源状态不等于实测结果。
颜色层级按飞书框架适配字段对应；批准需求与本批实测结果分别记录。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直接复用</x:v>
      </x:c>
      <x:c r="S18" s="14" t="str">
        <x:v>开发</x:v>
      </x:c>
      <x:c r="T18" s="10" t="str">
        <x:v>正式界面交互验收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'本批提测'!$H$57&lt;&gt;"已确认"),"待确认","已确认")))</x:f>
        <x:v>未纳入本批</x:v>
      </x:c>
      <x:c r="AG18" s="10" t="str">
        <x:v>复查修正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飞书直接映射：review-42f80e1fec，rev642；绿色。
颜色及Review→UI case为飞书直接映射；功能配套为测试设计关联，具体覆盖范围见AM。</x:v>
      </x:c>
      <x:c r="AM18" s="10" t="str">
        <x:v>对应选择后批量执行对象与范围；操作栏位置、遮挡及恢复默认状态由UI13验证。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IF(G19="通过",IF('UI走查'!Y20&lt;&gt;"页面覆盖已通过","页面覆盖未通过",IF('UI走查'!O20&lt;&gt;'本批提测'!$B$11,"页面依据版本待核对","通过")),G19)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review-6436a27114；2026-10-12当前视图rev642；建议按本批批准基线采纳，来源状态不等于实测结果。
颜色层级按飞书框架适配字段对应；批准需求与本批实测结果分别记录。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直接复用</x:v>
      </x:c>
      <x:c r="S19" s="14" t="str">
        <x:v>开发</x:v>
      </x:c>
      <x:c r="T19" s="10" t="str">
        <x:v>正式界面交互验收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飞书直接映射：review-6436a27114，rev642；绿色。
颜色及Review→UI case为飞书直接映射；功能配套为测试设计关联，具体覆盖范围见AM。</x:v>
      </x:c>
      <x:c r="AM19" s="10" t="str">
        <x:v>仅对应实际选择对象与范围；整行高亮、固定区底色和字体由UI14验证。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IF(G20="通过",IF('UI走查'!Y21&lt;&gt;"页面覆盖已通过","页面覆盖未通过",IF('UI走查'!O21&lt;&gt;'本批提测'!$B$11,"页面依据版本待核对","通过")),G20)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直接复用</x:v>
      </x:c>
      <x:c r="S20" s="14" t="str">
        <x:v>产品</x:v>
      </x:c>
      <x:c r="T20" s="10" t="str">
        <x:v>正式界面交互验收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'本批提测'!$H$57&lt;&gt;"已确认"),"待确认","已确认")))</x:f>
        <x:v>未纳入本批</x:v>
      </x:c>
      <x:c r="AG20" s="10" t="str">
        <x:v>复查修正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无直接配套；本UI case独立执行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飞书直接映射：review-a7e8b941e2，rev642；绿色。
颜色及Review→UI case为飞书直接映射；功能配套为测试设计关联，具体覆盖范围见AM。</x:v>
      </x:c>
      <x:c r="AM20" s="10" t="str">
        <x:v>编码是否可点击、详情目标及返回在UI15直接执行；SM03/SM12/SM31没有明确同一编码点击分支，不作直接配套。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IF(G21="通过",IF('UI走查'!Y22&lt;&gt;"页面覆盖已通过","页面覆盖未通过",IF('UI走查'!O22&lt;&gt;'本批提测'!$B$11,"页面依据版本待核对","通过")),G21)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review-f228825adf；2026-10-12当前视图rev642；建议按本批批准基线采纳，来源状态不等于实测结果。
颜色层级按飞书框架适配字段对应；批准需求与本批实测结果分别记录。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直接复用</x:v>
      </x:c>
      <x:c r="S21" s="14" t="str">
        <x:v>产品</x:v>
      </x:c>
      <x:c r="T21" s="10" t="str">
        <x:v>正式界面交互验收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'本批提测'!$H$57&lt;&gt;"已确认"),"待确认","已确认")))</x:f>
        <x:v>未纳入本批</x:v>
      </x:c>
      <x:c r="AG21" s="10" t="str">
        <x:v>复查修正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飞书直接映射：review-f228825adf，rev642；绿色。
颜色及Review→UI case为飞书直接映射；功能配套为测试设计关联，具体覆盖范围见AM。</x:v>
      </x:c>
      <x:c r="AM21" s="10" t="str">
        <x:v>对应解析/确认/保存流程；页面承载、步骤布局与留白由UI16验证。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IF(G22="通过",IF('UI走查'!Y23&lt;&gt;"页面覆盖已通过","页面覆盖未通过",IF('UI走查'!O23&lt;&gt;'本批提测'!$B$11,"页面依据版本待核对","通过")),G22)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直接复用</x:v>
      </x:c>
      <x:c r="S22" s="14" t="str">
        <x:v>开发</x:v>
      </x:c>
      <x:c r="T22" s="10" t="str">
        <x:v>正式界面交互验收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飞书直接映射：review-70bd2614ce，rev642；绿色。
颜色及Review→UI case为飞书直接映射；功能配套为测试设计关联，具体覆盖范围见AM。</x:v>
      </x:c>
      <x:c r="AM22" s="10" t="str">
        <x:v>对应刷新/返回上下文；状态保留范围按本批批准规则，不默认保存未提交字段。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IF(G23="通过",IF('UI走查'!Y24&lt;&gt;"页面覆盖已通过","页面覆盖未通过",IF('UI走查'!O24&lt;&gt;'本批提测'!$B$11,"页面依据版本待核对","通过")),G23)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review-f828afea0f；2026-10-12当前视图rev642；建议按本批批准基线采纳，来源状态不等于实测结果。
颜色层级按飞书框架适配字段对应；批准需求与本批实测结果分别记录。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直接复用</x:v>
      </x:c>
      <x:c r="S23" s="14" t="str">
        <x:v>开发、产品</x:v>
      </x:c>
      <x:c r="T23" s="10" t="str">
        <x:v>正式界面交互验收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'本批提测'!$H$57&lt;&gt;"已确认"),"待确认","已确认")))</x:f>
        <x:v>未纳入本批</x:v>
      </x:c>
      <x:c r="AG23" s="10" t="str">
        <x:v>复查修正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SM82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飞书直接映射：review-f828afea0f，rev642；绿色。
颜色及Review→UI case为飞书直接映射；功能配套为测试设计关联，具体覆盖范围见AM。</x:v>
      </x:c>
      <x:c r="AM23" s="10" t="str">
        <x:v>SM82仅覆盖本批对应模块打开/关闭当前或历史详情及对象/只读边界。Drawer、固定操作区/滚动/emoji由UI18验证，不以SM30编辑影响替代。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IF(G24="通过",IF('UI走查'!Y25&lt;&gt;"页面覆盖已通过","页面覆盖未通过",IF('UI走查'!O25&lt;&gt;'本批提测'!$B$11,"页面依据版本待核对","通过")),G24)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正式界面交互验收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IF(D24="否","不适用",IF(D24&lt;&gt;"是","未纳入本批",IF(OR(LEN(TRIM('本批提测'!$B$10))=0,LEN(TRIM('本批提测'!$B$11))=0,'本批提测'!$B$12&lt;&gt;"已确认",F24&lt;&gt;"已确认",'本批提测'!$H$57&lt;&gt;"已确认"),"待确认","已确认")))</x:f>
        <x:v>未纳入本批</x:v>
      </x:c>
      <x:c r="AG24" s="10" t="str">
        <x:v>复查修正</x:v>
      </x:c>
      <x:c r="AH24" s="10" t="str">
        <x:v>设计复核后保留；关联DEC18、DEC01确认后方可执行判定。
移除不属于本条的DEC01基础配置布局门槛，保留本条实际关联决策及全部执行前提。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  <x:c r="AM24" s="10"/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IF(G25="通过",IF('UI走查'!Y26&lt;&gt;"页面覆盖已通过","页面覆盖未通过",IF('UI走查'!O26&lt;&gt;'本批提测'!$B$11,"页面依据版本待核对","通过")),G25)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正式界面交互验收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IF(D25="否","不适用",IF(D25&lt;&gt;"是","未纳入本批",IF(OR(LEN(TRIM('本批提测'!$B$10))=0,LEN(TRIM('本批提测'!$B$11))=0,'本批提测'!$B$12&lt;&gt;"已确认",F25&lt;&gt;"已确认",'本批提测'!$H$57&lt;&gt;"已确认"),"待确认","已确认")))</x:f>
        <x:v>未纳入本批</x:v>
      </x:c>
      <x:c r="AG25" s="10" t="str">
        <x:v>复查修正</x:v>
      </x:c>
      <x:c r="AH25" s="10" t="str">
        <x:v>补来源适用范围和量值；不把一类字段或局部Review扩展至全站。
移除不属于本条的DEC01基础配置布局门槛，保留本条实际关联决策及全部执行前提。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  <x:c r="AM25" s="10"/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IF(G26="通过",IF('UI走查'!Y27&lt;&gt;"页面覆盖已通过","页面覆盖未通过",IF('UI走查'!O27&lt;&gt;'本批提测'!$B$11,"页面依据版本待核对","通过")),G26)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正式界面交互验收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IF(D26="否","不适用",IF(D26&lt;&gt;"是","未纳入本批",IF(OR(LEN(TRIM('本批提测'!$B$10))=0,LEN(TRIM('本批提测'!$B$11))=0,'本批提测'!$B$12&lt;&gt;"已确认",F26&lt;&gt;"已确认",'本批提测'!$H$57&lt;&gt;"已确认"),"待确认","已确认")))</x:f>
        <x:v>未纳入本批</x:v>
      </x:c>
      <x:c r="AG26" s="10" t="str">
        <x:v>复查修正</x:v>
      </x:c>
      <x:c r="AH26" s="10" t="str">
        <x:v>设计复核后保留；关联DEC18、DEC01确认后方可执行判定。
移除不属于本条的DEC01基础配置布局门槛，保留本条实际关联决策及全部执行前提。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  <x:c r="AM26" s="10"/>
    </x:row>
    <x:row r="27" ht="75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IF(G27="通过",IF('UI走查'!Y28&lt;&gt;"页面覆盖已通过","页面覆盖未通过",IF('UI走查'!O28&lt;&gt;'本批提测'!$B$11,"页面依据版本待核对","通过")),G27)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正式界面交互验收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),"待确认","已确认")))</x:f>
        <x:v>未纳入本批</x:v>
      </x:c>
      <x:c r="AG27" s="10" t="str">
        <x:v>复查修正</x:v>
      </x:c>
      <x:c r="AH27" s="10" t="str">
        <x:v>设计复核后保留；关联DEC10、DEC18、DEC01确认后方可执行判定。
移除不属于本条的DEC01基础配置布局门槛，保留本条实际关联决策及全部执行前提。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  <x:c r="AM27" s="10"/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IF(G28="通过",IF('UI走查'!Y29&lt;&gt;"页面覆盖已通过","页面覆盖未通过",IF('UI走查'!O29&lt;&gt;'本批提测'!$B$11,"页面依据版本待核对","通过")),G28)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正式界面交互验收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IF(D28="否","不适用",IF(D28&lt;&gt;"是","未纳入本批",IF(OR(LEN(TRIM('本批提测'!$B$10))=0,LEN(TRIM('本批提测'!$B$11))=0,'本批提测'!$B$12&lt;&gt;"已确认",F28&lt;&gt;"已确认",'本批提测'!$H$57&lt;&gt;"已确认"),"待确认","已确认")))</x:f>
        <x:v>未纳入本批</x:v>
      </x:c>
      <x:c r="AG28" s="10" t="str">
        <x:v>复查修正</x:v>
      </x:c>
      <x:c r="AH28" s="10" t="str">
        <x:v>设计复核后保留；关联DEC18、DEC01确认后方可执行判定。
移除不属于本条的DEC01基础配置布局门槛，保留本条实际关联决策及全部执行前提。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  <x:c r="AM28" s="10"/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IF(G29="通过",IF('UI走查'!Y30&lt;&gt;"页面覆盖已通过","页面覆盖未通过",IF('UI走查'!O30&lt;&gt;'本批提测'!$B$11,"页面依据版本待核对","通过")),G29)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正式界面交互验收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IF(D29="否","不适用",IF(D29&lt;&gt;"是","未纳入本批",IF(OR(LEN(TRIM('本批提测'!$B$10))=0,LEN(TRIM('本批提测'!$B$11))=0,'本批提测'!$B$12&lt;&gt;"已确认",F29&lt;&gt;"已确认",'本批提测'!$H$57&lt;&gt;"已确认"),"待确认","已确认")))</x:f>
        <x:v>未纳入本批</x:v>
      </x:c>
      <x:c r="AG29" s="10" t="str">
        <x:v>复查修正</x:v>
      </x:c>
      <x:c r="AH29" s="10" t="str">
        <x:v>设计复核后保留；关联DEC18、DEC01确认后方可执行判定。
移除不属于本条的DEC01基础配置布局门槛，保留本条实际关联决策及全部执行前提。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  <x:c r="AM29" s="10"/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IF(G30="通过",IF('UI走查'!Y31&lt;&gt;"页面覆盖已通过","页面覆盖未通过",IF('UI走查'!O31&lt;&gt;'本批提测'!$B$11,"页面依据版本待核对","通过")),G30)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正式界面交互验收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IF(D30="否","不适用",IF(D30&lt;&gt;"是","未纳入本批",IF(OR(LEN(TRIM('本批提测'!$B$10))=0,LEN(TRIM('本批提测'!$B$11))=0,'本批提测'!$B$12&lt;&gt;"已确认",F30&lt;&gt;"已确认",'本批提测'!$H$57&lt;&gt;"已确认"),"待确认","已确认")))</x:f>
        <x:v>未纳入本批</x:v>
      </x:c>
      <x:c r="AG30" s="10" t="str">
        <x:v>复查修正</x:v>
      </x:c>
      <x:c r="AH30" s="10" t="str">
        <x:v>设计复核后保留；关联DEC18、DEC01确认后方可执行判定。
移除不属于本条的DEC01基础配置布局门槛，保留本条实际关联决策及全部执行前提。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  <x:c r="AM30" s="10"/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IF(G31="通过",IF('UI走查'!Y32&lt;&gt;"页面覆盖已通过","页面覆盖未通过",IF('UI走查'!O32&lt;&gt;'本批提测'!$B$11,"页面依据版本待核对","通过")),G31)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正式界面交互验收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IF(D31="否","不适用",IF(D31&lt;&gt;"是","未纳入本批",IF(OR(LEN(TRIM('本批提测'!$B$10))=0,LEN(TRIM('本批提测'!$B$11))=0,'本批提测'!$B$12&lt;&gt;"已确认",F31&lt;&gt;"已确认",'本批提测'!$H$57&lt;&gt;"已确认"),"待确认","已确认")))</x:f>
        <x:v>未纳入本批</x:v>
      </x:c>
      <x:c r="AG31" s="10" t="str">
        <x:v>复查修正</x:v>
      </x:c>
      <x:c r="AH31" s="10" t="str">
        <x:v>补真实说明/备注/成员内容场景，不混输入长度与展示行数。
移除不属于本条的DEC01基础配置布局门槛，保留本条实际关联决策及全部执行前提。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  <x:c r="AM31" s="10"/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IF(G32="通过",IF('UI走查'!Y33&lt;&gt;"页面覆盖已通过","页面覆盖未通过",IF('UI走查'!O33&lt;&gt;'本批提测'!$B$11,"页面依据版本待核对","通过")),G32)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正式界面交互验收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IF(D32="否","不适用",IF(D32&lt;&gt;"是","未纳入本批",IF(OR(LEN(TRIM('本批提测'!$B$10))=0,LEN(TRIM('本批提测'!$B$11))=0,'本批提测'!$B$12&lt;&gt;"已确认",F32&lt;&gt;"已确认",'本批提测'!$H$57&lt;&gt;"已确认"),"待确认","已确认")))</x:f>
        <x:v>未纳入本批</x:v>
      </x:c>
      <x:c r="AG32" s="10" t="str">
        <x:v>复查修正</x:v>
      </x:c>
      <x:c r="AH32" s="10" t="str">
        <x:v>设计复核后保留；关联DEC18、DEC01确认后方可执行判定。
移除不属于本条的DEC01基础配置布局门槛，保留本条实际关联决策及全部执行前提。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  <x:c r="AM32" s="10"/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IF(G33="通过",IF('UI走查'!Y34&lt;&gt;"页面覆盖已通过","页面覆盖未通过",IF('UI走查'!O34&lt;&gt;'本批提测'!$B$11,"页面依据版本待核对","通过")),G33)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正式界面交互验收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IF(D33="否","不适用",IF(D33&lt;&gt;"是","未纳入本批",IF(OR(LEN(TRIM('本批提测'!$B$10))=0,LEN(TRIM('本批提测'!$B$11))=0,'本批提测'!$B$12&lt;&gt;"已确认",F33&lt;&gt;"已确认",'本批提测'!$H$57&lt;&gt;"已确认"),"待确认","已确认")))</x:f>
        <x:v>未纳入本批</x:v>
      </x:c>
      <x:c r="AG33" s="10" t="str">
        <x:v>复查修正</x:v>
      </x:c>
      <x:c r="AH33" s="10" t="str">
        <x:v>设计复核后保留；关联DEC18、DEC01确认后方可执行判定。
移除不属于本条的DEC01基础配置布局门槛，保留本条实际关联决策及全部执行前提。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  <x:c r="AM33" s="10"/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IF(G34="通过",IF('UI走查'!Y35&lt;&gt;"页面覆盖已通过","页面覆盖未通过",IF('UI走查'!O35&lt;&gt;'本批提测'!$B$11,"页面依据版本待核对","通过")),G34)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正式界面交互验收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),"待确认","已确认")))</x:f>
        <x:v>未纳入本批</x:v>
      </x:c>
      <x:c r="AG34" s="10" t="str">
        <x:v>复查修正</x:v>
      </x:c>
      <x:c r="AH34" s="10" t="str">
        <x:v>补来源适用范围和量值；不把一类字段或局部Review扩展至全站。
移除不属于本条的DEC01基础配置布局门槛，保留本条实际关联决策及全部执行前提。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  <x:c r="AM34" s="10"/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IF(G35="通过",IF('UI走查'!Y36&lt;&gt;"页面覆盖已通过","页面覆盖未通过",IF('UI走查'!O36&lt;&gt;'本批提测'!$B$11,"页面依据版本待核对","通过")),G35)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正式界面交互验收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IF(D35="否","不适用",IF(D35&lt;&gt;"是","未纳入本批",IF(OR(LEN(TRIM('本批提测'!$B$10))=0,LEN(TRIM('本批提测'!$B$11))=0,'本批提测'!$B$12&lt;&gt;"已确认",F35&lt;&gt;"已确认",'本批提测'!$H$57&lt;&gt;"已确认"),"待确认","已确认")))</x:f>
        <x:v>未纳入本批</x:v>
      </x:c>
      <x:c r="AG35" s="10" t="str">
        <x:v>复查修正</x:v>
      </x:c>
      <x:c r="AH35" s="10" t="str">
        <x:v>设计复核后保留；关联DEC18、DEC01确认后方可执行判定。
移除不属于本条的DEC01基础配置布局门槛，保留本条实际关联决策及全部执行前提。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  <x:c r="AM35" s="10"/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IF(G36="通过",IF('UI走查'!Y37&lt;&gt;"页面覆盖已通过","页面覆盖未通过",IF('UI走查'!O37&lt;&gt;'本批提测'!$B$11,"页面依据版本待核对","通过")),G36)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正式界面交互验收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IF(D36="否","不适用",IF(D36&lt;&gt;"是","未纳入本批",IF(OR(LEN(TRIM('本批提测'!$B$10))=0,LEN(TRIM('本批提测'!$B$11))=0,'本批提测'!$B$12&lt;&gt;"已确认",F36&lt;&gt;"已确认",'本批提测'!$H$57&lt;&gt;"已确认"),"待确认","已确认")))</x:f>
        <x:v>未纳入本批</x:v>
      </x:c>
      <x:c r="AG36" s="10" t="str">
        <x:v>复查修正</x:v>
      </x:c>
      <x:c r="AH36" s="10" t="str">
        <x:v>设计复核后保留；关联DEC18、DEC01确认后方可执行判定。
移除不属于本条的DEC01基础配置布局门槛，保留本条实际关联决策及全部执行前提。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  <x:c r="AM36" s="10"/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IF(G37="通过",IF('UI走查'!Y38&lt;&gt;"页面覆盖已通过","页面覆盖未通过",IF('UI走查'!O38&lt;&gt;'本批提测'!$B$11,"页面依据版本待核对","通过")),G37)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正式界面交互验收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IF(D37="否","不适用",IF(D37&lt;&gt;"是","未纳入本批",IF(OR(LEN(TRIM('本批提测'!$B$10))=0,LEN(TRIM('本批提测'!$B$11))=0,'本批提测'!$B$12&lt;&gt;"已确认",F37&lt;&gt;"已确认",'本批提测'!$H$57&lt;&gt;"已确认"),"待确认","已确认")))</x:f>
        <x:v>未纳入本批</x:v>
      </x:c>
      <x:c r="AG37" s="10" t="str">
        <x:v>复查修正</x:v>
      </x:c>
      <x:c r="AH37" s="10" t="str">
        <x:v>设计复核后保留；关联DEC18、DEC01确认后方可执行判定。
移除不属于本条的DEC01基础配置布局门槛，保留本条实际关联决策及全部执行前提。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  <x:c r="AM37" s="10"/>
    </x:row>
    <x:row r="38" ht="88.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IF(G38="通过",IF('UI走查'!Y39&lt;&gt;"页面覆盖已通过","页面覆盖未通过",IF('UI走查'!O39&lt;&gt;'本批提测'!$B$11,"页面依据版本待核对","通过")),G38)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正式界面交互验收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IF(D38="否","不适用",IF(D38&lt;&gt;"是","未纳入本批",IF(OR(LEN(TRIM('本批提测'!$B$10))=0,LEN(TRIM('本批提测'!$B$11))=0,'本批提测'!$B$12&lt;&gt;"已确认",F38&lt;&gt;"已确认",'本批提测'!$H$57&lt;&gt;"已确认"),"待确认","已确认")))</x:f>
        <x:v>未纳入本批</x:v>
      </x:c>
      <x:c r="AG38" s="10" t="str">
        <x:v>复查修正</x:v>
      </x:c>
      <x:c r="AH38" s="10" t="str">
        <x:v>设计复核后保留；关联DEC18、DEC01确认后方可执行判定。
移除不属于本条的DEC01基础配置布局门槛，保留本条实际关联决策及全部执行前提。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  <x:c r="AM38" s="10"/>
    </x:row>
    <x:row r="39" ht="7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IF(G39="通过",IF('UI走查'!Y40&lt;&gt;"页面覆盖已通过","页面覆盖未通过",IF('UI走查'!O40&lt;&gt;'本批提测'!$B$11,"页面依据版本待核对","通过")),G39)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正式界面交互验收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IF(D39="否","不适用",IF(D39&lt;&gt;"是","未纳入本批",IF(OR(LEN(TRIM('本批提测'!$B$10))=0,LEN(TRIM('本批提测'!$B$11))=0,'本批提测'!$B$12&lt;&gt;"已确认",F39&lt;&gt;"已确认",'本批提测'!$H$57&lt;&gt;"已确认"),"待确认","已确认")))</x:f>
        <x:v>未纳入本批</x:v>
      </x:c>
      <x:c r="AG39" s="10" t="str">
        <x:v>复查修正</x:v>
      </x:c>
      <x:c r="AH39" s="10" t="str">
        <x:v>设计复核后保留；关联DEC18、DEC01确认后方可执行判定。
移除不属于本条的DEC01基础配置布局门槛，保留本条实际关联决策及全部执行前提。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  <x:c r="AM39" s="10"/>
    </x:row>
    <x:row r="40" ht="153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IF(G40="通过",IF('UI走查'!Y41&lt;&gt;"页面覆盖已通过","页面覆盖未通过",IF('UI走查'!O41&lt;&gt;'本批提测'!$B$11,"页面依据版本待核对","通过")),G40)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review-de7057751b；2026-10-12读取当前视图rev642；REQ §6.2新建弹窗冲突DEC23。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组合复用</x:v>
      </x:c>
      <x:c r="S40" s="10" t="str">
        <x:v>开发</x:v>
      </x:c>
      <x:c r="T40" s="10" t="str">
        <x:v>正式界面交互验收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'本批提测'!$H$57&lt;&gt;"已确认",AND('本批提测'!$H$115&lt;&gt;"已确认",'本批提测'!$H$115&lt;&gt;"已记录后置")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核现有标准组件组合后的布局、状态联动与完整流程，重点检查选中反馈、返回、跨页/未保存数据保护。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飞书直接映射：review-de7057751b，rev642；蓝色。
颜色及Review→UI case为飞书直接映射；功能配套为测试设计关联，具体覆盖范围见AM。</x:v>
      </x:c>
      <x:c r="AM40" s="10" t="str">
        <x:v>对应服务单元创建、必填及保存读回；独立页面、返回与未保存保护由UI35及DEC23直接验证。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IF(G41="通过",IF('UI走查'!Y42&lt;&gt;"页面覆盖已通过","页面覆盖未通过",IF('UI走查'!O42&lt;&gt;'本批提测'!$B$11,"页面依据版本待核对","通过")),G41)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
颜色层级按飞书框架适配字段对应；批准需求与本批实测结果分别记录。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直接复用</x:v>
      </x:c>
      <x:c r="S41" s="10" t="str">
        <x:v>开发</x:v>
      </x:c>
      <x:c r="T41" s="10" t="str">
        <x:v>正式界面交互验收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飞书直接映射：review-b8b8e36a2b，rev642；绿色。
颜色及Review→UI case为飞书直接映射；功能配套为测试设计关联，具体覆盖范围见AM。</x:v>
      </x:c>
      <x:c r="AM41" s="10" t="str">
        <x:v>对应人工创建/AI建档目标流程；入口位置及重复标题由UI36验证，按钮可用不等于位置符合。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IF(G42="通过",IF('UI走查'!Y43&lt;&gt;"页面覆盖已通过","页面覆盖未通过",IF('UI走查'!O43&lt;&gt;'本批提测'!$B$11,"页面依据版本待核对","通过")),G42)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正式界面交互验收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  <x:c r="AM42" s="10"/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IF(G43="通过",IF('UI走查'!Y44&lt;&gt;"页面覆盖已通过","页面覆盖未通过",IF('UI走查'!O44&lt;&gt;'本批提测'!$B$11,"页面依据版本待核对","通过")),G43)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正式界面交互验收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  <x:c r="AM43" s="10"/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IF(G44="通过",IF('UI走查'!Y45&lt;&gt;"页面覆盖已通过","页面覆盖未通过",IF('UI走查'!O45&lt;&gt;'本批提测'!$B$11,"页面依据版本待核对","通过")),G44)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正式界面交互验收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  <x:c r="AM44" s="10"/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IF(G45="通过",IF('UI走查'!Y46&lt;&gt;"页面覆盖已通过","页面覆盖未通过",IF('UI走查'!O46&lt;&gt;'本批提测'!$B$11,"页面依据版本待核对","通过")),G45)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正式界面交互验收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  <x:c r="AM45" s="10"/>
    </x:row>
    <x:row r="46" ht="120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IF(G46="通过",IF('UI走查'!Y47&lt;&gt;"页面覆盖已通过","页面覆盖未通过",IF('UI走查'!O47&lt;&gt;'本批提测'!$B$11,"页面依据版本待核对","通过")),G46)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正式界面交互验收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  <x:c r="AM46" s="10"/>
    </x:row>
    <x:row r="47" ht="183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IF(G47="通过",IF('UI走查'!Y48&lt;&gt;"页面覆盖已通过","页面覆盖未通过",IF('UI走查'!O48&lt;&gt;'本批提测'!$B$11,"页面依据版本待核对","通过")),G47),"结果待填写")))))))))))</x:f>
        <x:v>未纳入本批</x:v>
      </x:c>
      <x:c r="J47" s="10" t="str"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K47" s="10" t="str"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L47" s="10" t="str">
        <x:v>REVIEW review-294de09d51；2026-10-12视图rev642；当前仅后续建议为UI产出行内编辑组件规范，原型问题及Review建议为空；待DEC30确认具体范围。
颜色层级按飞书框架适配字段对应；批准需求与本批实测结果分别记录。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无法覆盖</x:v>
      </x:c>
      <x:c r="S47" s="10" t="str">
        <x:v>UI</x:v>
      </x:c>
      <x:c r="T47" s="10" t="str">
        <x:v>正式界面交互验收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/>
      <x:c r="Z47" s="10"/>
      <x:c r="AA47" s="10" t="str">
        <x:v>UI 产出行内编辑组件规范</x:v>
      </x:c>
      <x:c r="AB47" s="10" t="str">
        <x:v>review-294de09d51</x:v>
      </x:c>
      <x:c r="AC47" s="10" t="str">
        <x:v>补最新红色行内编辑记录；无具体规范时不编造固定交互。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飞书直接映射：review-294de09d51，rev642；红色。
颜色及Review→UI case为飞书直接映射；功能配套为测试设计关联，具体覆盖范围见AM。</x:v>
      </x:c>
      <x:c r="AM47" s="10" t="str">
        <x:v>仅通用权限及加载/成功/失败反馈参考，需DEC30确认适用页面后选择。当前SM12/SM13针对基础配置编辑表单，不覆盖行内编辑保存/取消；行内状态与数据保护在UI42专项执行。</x:v>
      </x:c>
    </x:row>
    <x:row r="48" ht="112.5" customHeight="1">
      <x:c r="A48" s="272" t="str">
        <x:v>UI43</x:v>
      </x:c>
      <x:c r="B48" s="272" t="str">
        <x:v>实际提供排序/筛选的列表</x:v>
      </x:c>
      <x:c r="C48" s="272" t="str">
        <x:v>排序循环、组合排序与条件保持</x:v>
      </x:c>
      <x:c r="D48" s="11" t="str">
        <x:v>待选择</x:v>
      </x:c>
      <x:c r="E48" s="11" t="str">
        <x:v>是</x:v>
      </x:c>
      <x:c r="F48" s="11" t="str">
        <x:v>待确认</x:v>
      </x:c>
      <x:c r="G48" s="11" t="str">
        <x:v>未执行</x:v>
      </x:c>
      <x:c r="H48" s="11"/>
      <x:c r="I48" s="10" t="str">
        <x:f>IF(D48="否","不适用",IF(D48&lt;&gt;"是","未纳入本批",IF(AND(E48&lt;&gt;"是",E48&lt;&gt;"否"),"关键项待分类",IF(AF48&lt;&gt;"已确认","依据待确认",IF('本批提测'!$B$6&lt;&gt;"已就绪","批次未就绪",IF(OR(H48&lt;&gt;'本批提测'!$B$8,G48="",G48="未执行"),"未执行",IF(V48&lt;&gt;'本批提测'!$B$18,"基线已变，需复测",IF(LEN(TRIM(U48))=0,"交付未映射",IF(AND(OR(G48="通过",G48="失败"),LEN(TRIM(M48))=0),"缺少证据",IF(AND(OR(G48="通过",G48="失败"),LEN(TRIM(O48))=0),"缺少执行人",IF(OR(G48="通过",G48="失败",G48="受阻",G48="依据待确认"),IF(G48="通过",IF('UI走查'!Y49&lt;&gt;"页面覆盖已通过","页面覆盖未通过",IF('UI走查'!O49&lt;&gt;'本批提测'!$B$11,"页面依据版本待核对","通过")),G48),"结果待填写")))))))))))</x:f>
        <x:v>未纳入本批</x:v>
      </x:c>
      <x:c r="J48" s="10" t="str"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K48" s="10" t="str"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L48" s="10" t="str">
        <x:v>公共用例基准库v1.2 revision95 §3.2、§2.2、§5.4；基于批准UI规范与本批真实控件裁剪；https://example.invalid/source/92f788d9b2</x:v>
      </x:c>
      <x:c r="M48" s="11"/>
      <x:c r="N48" s="11"/>
      <x:c r="O48" s="11"/>
      <x:c r="P48" s="10" t="str">
        <x:v>按实际影响</x:v>
      </x:c>
      <x:c r="Q48" s="10" t="str">
        <x:v>待本批采用</x:v>
      </x:c>
      <x:c r="R48" s="273" t="str">
        <x:v>公共基准补充（按需裁剪）</x:v>
      </x:c>
      <x:c r="S48" s="10" t="str">
        <x:v>测试、UI、开发</x:v>
      </x:c>
      <x:c r="T48" s="10" t="str">
        <x:v>正式界面交互验收</x:v>
      </x:c>
      <x:c r="U48" s="11"/>
      <x:c r="V48" s="11"/>
      <x:c r="W48" s="10" t="str">
        <x:v>公共基准＋项目UI/需求</x:v>
      </x:c>
      <x:c r="X48" s="10"/>
      <x:c r="Y48" s="10"/>
      <x:c r="Z48" s="10"/>
      <x:c r="AA48" s="10"/>
      <x:c r="AB48" s="10"/>
      <x:c r="AC48" s="10" t="str">
        <x:v>补充实际系统交互验证，不按五色来源强行分类。</x:v>
      </x:c>
      <x:c r="AD48" s="10" t="str">
        <x:v>用可观察操作、状态变化、读回与批准UI规则检验界面实现；业务深边界另归正式专项。</x:v>
      </x:c>
      <x:c r="AE48" s="10" t="str">
        <x:v>逐状态记录当前Build、实际页面、输入/操作、预期与实际差异及采用依据。</x:v>
      </x:c>
      <x:c r="AF48" s="10" t="str">
        <x:f>IF(D48="否","不适用",IF(D48&lt;&gt;"是","未纳入本批",IF(OR(LEN(TRIM('本批提测'!$B$10))=0,LEN(TRIM('本批提测'!$B$11))=0,'本批提测'!$B$12&lt;&gt;"已确认",F48&lt;&gt;"已确认",'本批提测'!$H$57&lt;&gt;"已确认"),"待确认","已确认")))</x:f>
        <x:v>未纳入本批</x:v>
      </x:c>
      <x:c r="AG48" s="10" t="str">
        <x:v>策略补充</x:v>
      </x:c>
      <x:c r="AH48" s="10" t="str">
        <x:v>新增界面交互验证；来源§3.2、§2.2、§5.4，默认未执行。</x:v>
      </x:c>
      <x:c r="AI48" s="10" t="str">
        <x:v>按已确认规范先验证可判断部分；缺口登记，完整case须本批依据齐备后判定。</x:v>
      </x:c>
      <x:c r="AJ48" s="10"/>
      <x:c r="AK48" s="10" t="str">
        <x:v>批准UI/需求及公共基准裁剪范围；界面能力未交付不强加。</x:v>
      </x:c>
      <x:c r="AL48" s="10" t="str">
        <x:v>公共基准补充；无直接飞书Review记录。</x:v>
      </x:c>
      <x:c r="AM48" s="10" t="str">
        <x:v>完整界面交互场景在本UI case执行；不自动标记其他功能case通过。</x:v>
      </x:c>
    </x:row>
    <x:row r="49" ht="112.5" customHeight="1">
      <x:c r="A49" s="272" t="str">
        <x:v>UI44</x:v>
      </x:c>
      <x:c r="B49" s="272" t="str">
        <x:v>本批新增/编辑/行内编辑表单</x:v>
      </x:c>
      <x:c r="C49" s="272" t="str">
        <x:v>输入校验触发、错误定位与回显</x:v>
      </x:c>
      <x:c r="D49" s="11" t="str">
        <x:v>待选择</x:v>
      </x:c>
      <x:c r="E49" s="11" t="str">
        <x:v>是</x:v>
      </x:c>
      <x:c r="F49" s="11" t="str">
        <x:v>待确认</x:v>
      </x:c>
      <x:c r="G49" s="11" t="str">
        <x:v>未执行</x:v>
      </x:c>
      <x:c r="H49" s="11"/>
      <x:c r="I49" s="10" t="str">
        <x:f>IF(D49="否","不适用",IF(D49&lt;&gt;"是","未纳入本批",IF(AND(E49&lt;&gt;"是",E49&lt;&gt;"否"),"关键项待分类",IF(AF49&lt;&gt;"已确认","依据待确认",IF('本批提测'!$B$6&lt;&gt;"已就绪","批次未就绪",IF(OR(H49&lt;&gt;'本批提测'!$B$8,G49="",G49="未执行"),"未执行",IF(V49&lt;&gt;'本批提测'!$B$18,"基线已变，需复测",IF(LEN(TRIM(U49))=0,"交付未映射",IF(AND(OR(G49="通过",G49="失败"),LEN(TRIM(M49))=0),"缺少证据",IF(AND(OR(G49="通过",G49="失败"),LEN(TRIM(O49))=0),"缺少执行人",IF(OR(G49="通过",G49="失败",G49="受阻",G49="依据待确认"),IF(G49="通过",IF('UI走查'!Y50&lt;&gt;"页面覆盖已通过","页面覆盖未通过",IF('UI走查'!O50&lt;&gt;'本批提测'!$B$11,"页面依据版本待核对","通过")),G49),"结果待填写")))))))))))</x:f>
        <x:v>未纳入本批</x:v>
      </x:c>
      <x:c r="J49" s="10" t="str"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K49" s="10" t="str"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L49" s="10" t="str">
        <x:v>公共用例基准库v1.2 revision95 §1.1、§5.2、§5.4、§5.5；基于批准UI规范与本批真实控件裁剪；https://example.invalid/source/92f788d9b2</x:v>
      </x:c>
      <x:c r="M49" s="11"/>
      <x:c r="N49" s="11"/>
      <x:c r="O49" s="11"/>
      <x:c r="P49" s="10" t="str">
        <x:v>按实际影响</x:v>
      </x:c>
      <x:c r="Q49" s="10" t="str">
        <x:v>待本批采用</x:v>
      </x:c>
      <x:c r="R49" s="273" t="str">
        <x:v>公共基准补充（按需裁剪）</x:v>
      </x:c>
      <x:c r="S49" s="10" t="str">
        <x:v>测试、UI、开发</x:v>
      </x:c>
      <x:c r="T49" s="10" t="str">
        <x:v>正式界面交互验收</x:v>
      </x:c>
      <x:c r="U49" s="11"/>
      <x:c r="V49" s="11"/>
      <x:c r="W49" s="10" t="str">
        <x:v>公共基准＋项目UI/需求</x:v>
      </x:c>
      <x:c r="X49" s="10"/>
      <x:c r="Y49" s="10"/>
      <x:c r="Z49" s="10"/>
      <x:c r="AA49" s="10"/>
      <x:c r="AB49" s="10"/>
      <x:c r="AC49" s="10" t="str">
        <x:v>补充实际系统交互验证，不按五色来源强行分类。</x:v>
      </x:c>
      <x:c r="AD49" s="10" t="str">
        <x:v>用可观察操作、状态变化、读回与批准UI规则检验界面实现；业务深边界另归正式专项。</x:v>
      </x:c>
      <x:c r="AE49" s="10" t="str">
        <x:v>逐状态记录当前Build、实际页面、输入/操作、预期与实际差异及采用依据。</x:v>
      </x:c>
      <x:c r="AF49" s="10" t="str">
        <x:f>IF(D49="否","不适用",IF(D49&lt;&gt;"是","未纳入本批",IF(OR(LEN(TRIM('本批提测'!$B$10))=0,LEN(TRIM('本批提测'!$B$11))=0,'本批提测'!$B$12&lt;&gt;"已确认",F49&lt;&gt;"已确认",'本批提测'!$H$57&lt;&gt;"已确认"),"待确认","已确认")))</x:f>
        <x:v>未纳入本批</x:v>
      </x:c>
      <x:c r="AG49" s="10" t="str">
        <x:v>策略补充</x:v>
      </x:c>
      <x:c r="AH49" s="10" t="str">
        <x:v>新增界面交互验证；来源§1.1、§5.2、§5.4、§5.5，默认未执行。</x:v>
      </x:c>
      <x:c r="AI49" s="10" t="str">
        <x:v>按已确认规范先验证可判断部分；缺口登记，完整case须本批依据齐备后判定。</x:v>
      </x:c>
      <x:c r="AJ49" s="10"/>
      <x:c r="AK49" s="10" t="str">
        <x:v>批准UI/需求及公共基准裁剪范围；界面能力未交付不强加。</x:v>
      </x:c>
      <x:c r="AL49" s="10" t="str">
        <x:v>公共基准补充；无直接飞书Review记录。</x:v>
      </x:c>
      <x:c r="AM49" s="10" t="str">
        <x:v>完整界面交互场景在本UI case执行；不自动标记其他功能case通过。</x:v>
      </x:c>
    </x:row>
    <x:row r="50" ht="112.5" customHeight="1">
      <x:c r="A50" s="272" t="str">
        <x:v>UI45</x:v>
      </x:c>
      <x:c r="B50" s="272" t="str">
        <x:v>实际提供选择控件的表单</x:v>
      </x:c>
      <x:c r="C50" s="272" t="str">
        <x:v>默认选中、搜索、多选与级联反馈</x:v>
      </x:c>
      <x:c r="D50" s="11" t="str">
        <x:v>待选择</x:v>
      </x:c>
      <x:c r="E50" s="11" t="str">
        <x:v>是</x:v>
      </x:c>
      <x:c r="F50" s="11" t="str">
        <x:v>待确认</x:v>
      </x:c>
      <x:c r="G50" s="11" t="str">
        <x:v>未执行</x:v>
      </x:c>
      <x:c r="H50" s="11"/>
      <x:c r="I50" s="10" t="str">
        <x:f>IF(D50="否","不适用",IF(D50&lt;&gt;"是","未纳入本批",IF(AND(E50&lt;&gt;"是",E50&lt;&gt;"否"),"关键项待分类",IF(AF50&lt;&gt;"已确认","依据待确认",IF('本批提测'!$B$6&lt;&gt;"已就绪","批次未就绪",IF(OR(H50&lt;&gt;'本批提测'!$B$8,G50="",G50="未执行"),"未执行",IF(V50&lt;&gt;'本批提测'!$B$18,"基线已变，需复测",IF(LEN(TRIM(U50))=0,"交付未映射",IF(AND(OR(G50="通过",G50="失败"),LEN(TRIM(M50))=0),"缺少证据",IF(AND(OR(G50="通过",G50="失败"),LEN(TRIM(O50))=0),"缺少执行人",IF(OR(G50="通过",G50="失败",G50="受阻",G50="依据待确认"),IF(G50="通过",IF('UI走查'!Y51&lt;&gt;"页面覆盖已通过","页面覆盖未通过",IF('UI走查'!O51&lt;&gt;'本批提测'!$B$11,"页面依据版本待核对","通过")),G50),"结果待填写")))))))))))</x:f>
        <x:v>未纳入本批</x:v>
      </x:c>
      <x:c r="J50" s="10" t="str"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</x:v>
      </x:c>
      <x:c r="K50" s="10" t="str"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L50" s="10" t="str">
        <x:v>公共用例基准库v1.2 revision95 §1.2、§5.4；基于批准UI规范与本批真实控件裁剪；https://example.invalid/source/92f788d9b2</x:v>
      </x:c>
      <x:c r="M50" s="11"/>
      <x:c r="N50" s="11"/>
      <x:c r="O50" s="11"/>
      <x:c r="P50" s="10" t="str">
        <x:v>按实际影响</x:v>
      </x:c>
      <x:c r="Q50" s="10" t="str">
        <x:v>待本批采用</x:v>
      </x:c>
      <x:c r="R50" s="273" t="str">
        <x:v>公共基准补充（按需裁剪）</x:v>
      </x:c>
      <x:c r="S50" s="10" t="str">
        <x:v>测试、UI、开发</x:v>
      </x:c>
      <x:c r="T50" s="10" t="str">
        <x:v>正式界面交互验收</x:v>
      </x:c>
      <x:c r="U50" s="11"/>
      <x:c r="V50" s="11"/>
      <x:c r="W50" s="10" t="str">
        <x:v>公共基准＋项目UI/需求</x:v>
      </x:c>
      <x:c r="X50" s="10"/>
      <x:c r="Y50" s="10"/>
      <x:c r="Z50" s="10"/>
      <x:c r="AA50" s="10"/>
      <x:c r="AB50" s="10"/>
      <x:c r="AC50" s="10" t="str">
        <x:v>补充实际系统交互验证，不按五色来源强行分类。</x:v>
      </x:c>
      <x:c r="AD50" s="10" t="str">
        <x:v>用可观察操作、状态变化、读回与批准UI规则检验界面实现；业务深边界另归正式专项。</x:v>
      </x:c>
      <x:c r="AE50" s="10" t="str">
        <x:v>逐状态记录当前Build、实际页面、输入/操作、预期与实际差异及采用依据。</x:v>
      </x:c>
      <x:c r="AF50" s="10" t="str">
        <x:f>IF(D50="否","不适用",IF(D50&lt;&gt;"是","未纳入本批",IF(OR(LEN(TRIM('本批提测'!$B$10))=0,LEN(TRIM('本批提测'!$B$11))=0,'本批提测'!$B$12&lt;&gt;"已确认",F50&lt;&gt;"已确认",'本批提测'!$H$57&lt;&gt;"已确认"),"待确认","已确认")))</x:f>
        <x:v>未纳入本批</x:v>
      </x:c>
      <x:c r="AG50" s="10" t="str">
        <x:v>策略补充</x:v>
      </x:c>
      <x:c r="AH50" s="10" t="str">
        <x:v>新增界面交互验证；来源§1.2、§5.4，默认未执行。</x:v>
      </x:c>
      <x:c r="AI50" s="10" t="str">
        <x:v>按已确认规范先验证可判断部分；缺口登记，完整case须本批依据齐备后判定。</x:v>
      </x:c>
      <x:c r="AJ50" s="10"/>
      <x:c r="AK50" s="10" t="str">
        <x:v>批准UI/需求及公共基准裁剪范围；界面能力未交付不强加。</x:v>
      </x:c>
      <x:c r="AL50" s="10" t="str">
        <x:v>公共基准补充；无直接飞书Review记录。</x:v>
      </x:c>
      <x:c r="AM50" s="10" t="str">
        <x:v>完整界面交互场景在本UI case执行；不自动标记其他功能case通过。</x:v>
      </x:c>
    </x:row>
    <x:row r="51" ht="112.5" customHeight="1">
      <x:c r="A51" s="272" t="str">
        <x:v>UI46</x:v>
      </x:c>
      <x:c r="B51" s="272" t="str">
        <x:v>已确认需二次确认的危险操作</x:v>
      </x:c>
      <x:c r="C51" s="272" t="str">
        <x:v>影响范围、取消与确认后的反馈</x:v>
      </x:c>
      <x:c r="D51" s="11" t="str">
        <x:v>待选择</x:v>
      </x:c>
      <x:c r="E51" s="11" t="str">
        <x:v>是</x:v>
      </x:c>
      <x:c r="F51" s="11" t="str">
        <x:v>待确认</x:v>
      </x:c>
      <x:c r="G51" s="11" t="str">
        <x:v>未执行</x:v>
      </x:c>
      <x:c r="H51" s="11"/>
      <x:c r="I51" s="10" t="str">
        <x:f>IF(D51="否","不适用",IF(D51&lt;&gt;"是","未纳入本批",IF(AND(E51&lt;&gt;"是",E51&lt;&gt;"否"),"关键项待分类",IF(AF51&lt;&gt;"已确认","依据待确认",IF('本批提测'!$B$6&lt;&gt;"已就绪","批次未就绪",IF(OR(H51&lt;&gt;'本批提测'!$B$8,G51="",G51="未执行"),"未执行",IF(V51&lt;&gt;'本批提测'!$B$18,"基线已变，需复测",IF(LEN(TRIM(U51))=0,"交付未映射",IF(AND(OR(G51="通过",G51="失败"),LEN(TRIM(M51))=0),"缺少证据",IF(AND(OR(G51="通过",G51="失败"),LEN(TRIM(O51))=0),"缺少执行人",IF(OR(G51="通过",G51="失败",G51="受阻",G51="依据待确认"),IF(G51="通过",IF('UI走查'!Y52&lt;&gt;"页面覆盖已通过","页面覆盖未通过",IF('UI走查'!O52&lt;&gt;'本批提测'!$B$11,"页面依据版本待核对","通过")),G51),"结果待填写")))))))))))</x:f>
        <x:v>未纳入本批</x:v>
      </x:c>
      <x:c r="J51" s="10" t="str"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K51" s="10" t="str"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L51" s="10" t="str">
        <x:v>公共用例基准库v1.2 revision95 §5.4、§5.5、§2.4/2.5；基于批准UI规范与本批真实控件裁剪；https://example.invalid/source/92f788d9b2</x:v>
      </x:c>
      <x:c r="M51" s="11"/>
      <x:c r="N51" s="11"/>
      <x:c r="O51" s="11"/>
      <x:c r="P51" s="10" t="str">
        <x:v>按实际影响</x:v>
      </x:c>
      <x:c r="Q51" s="10" t="str">
        <x:v>待本批采用</x:v>
      </x:c>
      <x:c r="R51" s="273" t="str">
        <x:v>公共基准补充（按需裁剪）</x:v>
      </x:c>
      <x:c r="S51" s="10" t="str">
        <x:v>测试、UI、开发</x:v>
      </x:c>
      <x:c r="T51" s="10" t="str">
        <x:v>正式界面交互验收</x:v>
      </x:c>
      <x:c r="U51" s="11"/>
      <x:c r="V51" s="11"/>
      <x:c r="W51" s="10" t="str">
        <x:v>公共基准＋项目UI/需求</x:v>
      </x:c>
      <x:c r="X51" s="10"/>
      <x:c r="Y51" s="10"/>
      <x:c r="Z51" s="10"/>
      <x:c r="AA51" s="10"/>
      <x:c r="AB51" s="10"/>
      <x:c r="AC51" s="10" t="str">
        <x:v>补充实际系统交互验证，不按五色来源强行分类。</x:v>
      </x:c>
      <x:c r="AD51" s="10" t="str">
        <x:v>用可观察操作、状态变化、读回与批准UI规则检验界面实现；业务深边界另归正式专项。</x:v>
      </x:c>
      <x:c r="AE51" s="10" t="str">
        <x:v>逐状态记录当前Build、实际页面、输入/操作、预期与实际差异及采用依据。</x:v>
      </x:c>
      <x:c r="AF51" s="10" t="str">
        <x:f>IF(D51="否","不适用",IF(D51&lt;&gt;"是","未纳入本批",IF(OR(LEN(TRIM('本批提测'!$B$10))=0,LEN(TRIM('本批提测'!$B$11))=0,'本批提测'!$B$12&lt;&gt;"已确认",F51&lt;&gt;"已确认",'本批提测'!$H$57&lt;&gt;"已确认"),"待确认","已确认")))</x:f>
        <x:v>未纳入本批</x:v>
      </x:c>
      <x:c r="AG51" s="10" t="str">
        <x:v>策略补充</x:v>
      </x:c>
      <x:c r="AH51" s="10" t="str">
        <x:v>新增界面交互验证；来源§5.4、§5.5、§2.4/2.5，默认未执行。</x:v>
      </x:c>
      <x:c r="AI51" s="10" t="str">
        <x:v>按已确认规范先验证可判断部分；缺口登记，完整case须本批依据齐备后判定。</x:v>
      </x:c>
      <x:c r="AJ51" s="10"/>
      <x:c r="AK51" s="10" t="str">
        <x:v>批准UI/需求及公共基准裁剪范围；界面能力未交付不强加。</x:v>
      </x:c>
      <x:c r="AL51" s="10" t="str">
        <x:v>公共基准补充；无直接飞书Review记录。</x:v>
      </x:c>
      <x:c r="AM51" s="10" t="str">
        <x:v>完整界面交互场景在本UI case执行；不自动标记其他功能case通过。</x:v>
      </x:c>
    </x:row>
    <x:row r="52" ht="112.5" customHeight="1">
      <x:c r="A52" s="272" t="str">
        <x:v>UI47</x:v>
      </x:c>
      <x:c r="B52" s="272" t="str">
        <x:v>查询、提交、保存与长任务</x:v>
      </x:c>
      <x:c r="C52" s="272" t="str">
        <x:v>加载、防重、失败恢复及成功后同步</x:v>
      </x:c>
      <x:c r="D52" s="11" t="str">
        <x:v>待选择</x:v>
      </x:c>
      <x:c r="E52" s="11" t="str">
        <x:v>是</x:v>
      </x:c>
      <x:c r="F52" s="11" t="str">
        <x:v>待确认</x:v>
      </x:c>
      <x:c r="G52" s="11" t="str">
        <x:v>未执行</x:v>
      </x:c>
      <x:c r="H52" s="11"/>
      <x:c r="I52" s="10" t="str">
        <x:f>IF(D52="否","不适用",IF(D52&lt;&gt;"是","未纳入本批",IF(AND(E52&lt;&gt;"是",E52&lt;&gt;"否"),"关键项待分类",IF(AF52&lt;&gt;"已确认","依据待确认",IF('本批提测'!$B$6&lt;&gt;"已就绪","批次未就绪",IF(OR(H52&lt;&gt;'本批提测'!$B$8,G52="",G52="未执行"),"未执行",IF(V52&lt;&gt;'本批提测'!$B$18,"基线已变，需复测",IF(LEN(TRIM(U52))=0,"交付未映射",IF(AND(OR(G52="通过",G52="失败"),LEN(TRIM(M52))=0),"缺少证据",IF(AND(OR(G52="通过",G52="失败"),LEN(TRIM(O52))=0),"缺少执行人",IF(OR(G52="通过",G52="失败",G52="受阻",G52="依据待确认"),IF(G52="通过",IF('UI走查'!Y53&lt;&gt;"页面覆盖已通过","页面覆盖未通过",IF('UI走查'!O53&lt;&gt;'本批提测'!$B$11,"页面依据版本待核对","通过")),G52),"结果待填写")))))))))))</x:f>
        <x:v>未纳入本批</x:v>
      </x:c>
      <x:c r="J52" s="10" t="str"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K52" s="10" t="str"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L52" s="10" t="str">
        <x:v>公共用例基准库v1.2 revision95 §2.1/2.2、§5.2、§5.4/5.5；基于批准UI规范与本批真实控件裁剪；https://example.invalid/source/92f788d9b2</x:v>
      </x:c>
      <x:c r="M52" s="11"/>
      <x:c r="N52" s="11"/>
      <x:c r="O52" s="11"/>
      <x:c r="P52" s="10" t="str">
        <x:v>按实际影响</x:v>
      </x:c>
      <x:c r="Q52" s="10" t="str">
        <x:v>待本批采用</x:v>
      </x:c>
      <x:c r="R52" s="273" t="str">
        <x:v>公共基准补充（按需裁剪）</x:v>
      </x:c>
      <x:c r="S52" s="10" t="str">
        <x:v>测试、UI、开发</x:v>
      </x:c>
      <x:c r="T52" s="10" t="str">
        <x:v>正式界面交互验收</x:v>
      </x:c>
      <x:c r="U52" s="11"/>
      <x:c r="V52" s="11"/>
      <x:c r="W52" s="10" t="str">
        <x:v>公共基准＋项目UI/需求</x:v>
      </x:c>
      <x:c r="X52" s="10"/>
      <x:c r="Y52" s="10"/>
      <x:c r="Z52" s="10"/>
      <x:c r="AA52" s="10"/>
      <x:c r="AB52" s="10"/>
      <x:c r="AC52" s="10" t="str">
        <x:v>补充实际系统交互验证，不按五色来源强行分类。</x:v>
      </x:c>
      <x:c r="AD52" s="10" t="str">
        <x:v>用可观察操作、状态变化、读回与批准UI规则检验界面实现；业务深边界另归正式专项。</x:v>
      </x:c>
      <x:c r="AE52" s="10" t="str">
        <x:v>逐状态记录当前Build、实际页面、输入/操作、预期与实际差异及采用依据。</x:v>
      </x:c>
      <x:c r="AF52" s="10" t="str">
        <x:f>IF(D52="否","不适用",IF(D52&lt;&gt;"是","未纳入本批",IF(OR(LEN(TRIM('本批提测'!$B$10))=0,LEN(TRIM('本批提测'!$B$11))=0,'本批提测'!$B$12&lt;&gt;"已确认",F52&lt;&gt;"已确认",'本批提测'!$H$57&lt;&gt;"已确认"),"待确认","已确认")))</x:f>
        <x:v>未纳入本批</x:v>
      </x:c>
      <x:c r="AG52" s="10" t="str">
        <x:v>策略补充</x:v>
      </x:c>
      <x:c r="AH52" s="10" t="str">
        <x:v>新增界面交互验证；来源§2.1/2.2、§5.2、§5.4/5.5，默认未执行。</x:v>
      </x:c>
      <x:c r="AI52" s="10" t="str">
        <x:v>按已确认规范先验证可判断部分；缺口登记，完整case须本批依据齐备后判定。</x:v>
      </x:c>
      <x:c r="AJ52" s="10"/>
      <x:c r="AK52" s="10" t="str">
        <x:v>批准UI/需求及公共基准裁剪范围；界面能力未交付不强加。</x:v>
      </x:c>
      <x:c r="AL52" s="10" t="str">
        <x:v>公共基准补充；无直接飞书Review记录。</x:v>
      </x:c>
      <x:c r="AM52" s="10" t="str">
        <x:v>完整界面交互场景在本UI case执行；不自动标记其他功能case通过。</x:v>
      </x:c>
    </x:row>
    <x:row r="53" ht="112.5" customHeight="1">
      <x:c r="A53" s="272" t="str">
        <x:v>UI48</x:v>
      </x:c>
      <x:c r="B53" s="272" t="str">
        <x:v>编辑、独立表单、详情与行内编辑</x:v>
      </x:c>
      <x:c r="C53" s="272" t="str">
        <x:v>取消、关闭、返回和未保存内容保护</x:v>
      </x:c>
      <x:c r="D53" s="11" t="str">
        <x:v>待选择</x:v>
      </x:c>
      <x:c r="E53" s="11" t="str">
        <x:v>是</x:v>
      </x:c>
      <x:c r="F53" s="11" t="str">
        <x:v>待确认</x:v>
      </x:c>
      <x:c r="G53" s="11" t="str">
        <x:v>未执行</x:v>
      </x:c>
      <x:c r="H53" s="11"/>
      <x:c r="I53" s="10" t="str">
        <x:f>IF(D53="否","不适用",IF(D53&lt;&gt;"是","未纳入本批",IF(AND(E53&lt;&gt;"是",E53&lt;&gt;"否"),"关键项待分类",IF(AF53&lt;&gt;"已确认","依据待确认",IF('本批提测'!$B$6&lt;&gt;"已就绪","批次未就绪",IF(OR(H53&lt;&gt;'本批提测'!$B$8,G53="",G53="未执行"),"未执行",IF(V53&lt;&gt;'本批提测'!$B$18,"基线已变，需复测",IF(LEN(TRIM(U53))=0,"交付未映射",IF(AND(OR(G53="通过",G53="失败"),LEN(TRIM(M53))=0),"缺少证据",IF(AND(OR(G53="通过",G53="失败"),LEN(TRIM(O53))=0),"缺少执行人",IF(OR(G53="通过",G53="失败",G53="受阻",G53="依据待确认"),IF(G53="通过",IF('UI走查'!Y54&lt;&gt;"页面覆盖已通过","页面覆盖未通过",IF('UI走查'!O54&lt;&gt;'本批提测'!$B$11,"页面依据版本待核对","通过")),G53),"结果待填写")))))))))))</x:f>
        <x:v>未纳入本批</x:v>
      </x:c>
      <x:c r="J53" s="10" t="str"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</x:v>
      </x:c>
      <x:c r="K53" s="10" t="str"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L53" s="10" t="str">
        <x:v>公共用例基准库v1.2 revision95 §5.4、§2.3；基于批准UI规范与本批真实控件裁剪；https://example.invalid/source/92f788d9b2</x:v>
      </x:c>
      <x:c r="M53" s="11"/>
      <x:c r="N53" s="11"/>
      <x:c r="O53" s="11"/>
      <x:c r="P53" s="10" t="str">
        <x:v>按实际影响</x:v>
      </x:c>
      <x:c r="Q53" s="10" t="str">
        <x:v>待本批采用</x:v>
      </x:c>
      <x:c r="R53" s="273" t="str">
        <x:v>公共基准补充（按需裁剪）</x:v>
      </x:c>
      <x:c r="S53" s="10" t="str">
        <x:v>测试、UI、开发</x:v>
      </x:c>
      <x:c r="T53" s="10" t="str">
        <x:v>正式界面交互验收</x:v>
      </x:c>
      <x:c r="U53" s="11"/>
      <x:c r="V53" s="11"/>
      <x:c r="W53" s="10" t="str">
        <x:v>公共基准＋项目UI/需求</x:v>
      </x:c>
      <x:c r="X53" s="10"/>
      <x:c r="Y53" s="10"/>
      <x:c r="Z53" s="10"/>
      <x:c r="AA53" s="10"/>
      <x:c r="AB53" s="10"/>
      <x:c r="AC53" s="10" t="str">
        <x:v>补充实际系统交互验证，不按五色来源强行分类。</x:v>
      </x:c>
      <x:c r="AD53" s="10" t="str">
        <x:v>用可观察操作、状态变化、读回与批准UI规则检验界面实现；业务深边界另归正式专项。</x:v>
      </x:c>
      <x:c r="AE53" s="10" t="str">
        <x:v>逐状态记录当前Build、实际页面、输入/操作、预期与实际差异及采用依据。</x:v>
      </x:c>
      <x:c r="AF53" s="10" t="str">
        <x:f>IF(D53="否","不适用",IF(D53&lt;&gt;"是","未纳入本批",IF(OR(LEN(TRIM('本批提测'!$B$10))=0,LEN(TRIM('本批提测'!$B$11))=0,'本批提测'!$B$12&lt;&gt;"已确认",F53&lt;&gt;"已确认",'本批提测'!$H$57&lt;&gt;"已确认"),"待确认","已确认")))</x:f>
        <x:v>未纳入本批</x:v>
      </x:c>
      <x:c r="AG53" s="10" t="str">
        <x:v>策略补充</x:v>
      </x:c>
      <x:c r="AH53" s="10" t="str">
        <x:v>新增界面交互验证；来源§5.4、§2.3，默认未执行。</x:v>
      </x:c>
      <x:c r="AI53" s="10" t="str">
        <x:v>按已确认规范先验证可判断部分；缺口登记，完整case须本批依据齐备后判定。</x:v>
      </x:c>
      <x:c r="AJ53" s="10"/>
      <x:c r="AK53" s="10" t="str">
        <x:v>批准UI/需求及公共基准裁剪范围；界面能力未交付不强加。</x:v>
      </x:c>
      <x:c r="AL53" s="10" t="str">
        <x:v>公共基准补充；无直接飞书Review记录。</x:v>
      </x:c>
      <x:c r="AM53" s="10" t="str">
        <x:v>完整界面交互场景在本UI case执行；不自动标记其他功能case通过。</x:v>
      </x:c>
    </x:row>
    <x:row r="54" ht="112.5" customHeight="1">
      <x:c r="A54" s="272" t="str">
        <x:v>UI49</x:v>
      </x:c>
      <x:c r="B54" s="272" t="str">
        <x:v>本批支持端与已交付辅助能力</x:v>
      </x:c>
      <x:c r="C54" s="272" t="str">
        <x:v>键盘核心操作、标签与条件性帮助</x:v>
      </x:c>
      <x:c r="D54" s="11" t="str">
        <x:v>待选择</x:v>
      </x:c>
      <x:c r="E54" s="11" t="str">
        <x:v>否</x:v>
      </x:c>
      <x:c r="F54" s="11" t="str">
        <x:v>待确认</x:v>
      </x:c>
      <x:c r="G54" s="11" t="str">
        <x:v>未执行</x:v>
      </x:c>
      <x:c r="H54" s="11"/>
      <x:c r="I54" s="10" t="str">
        <x:f>IF(D54="否","不适用",IF(D54&lt;&gt;"是","未纳入本批",IF(AND(E54&lt;&gt;"是",E54&lt;&gt;"否"),"关键项待分类",IF(AF54&lt;&gt;"已确认","依据待确认",IF('本批提测'!$B$6&lt;&gt;"已就绪","批次未就绪",IF(OR(H54&lt;&gt;'本批提测'!$B$8,G54="",G54="未执行"),"未执行",IF(V54&lt;&gt;'本批提测'!$B$18,"基线已变，需复测",IF(LEN(TRIM(U54))=0,"交付未映射",IF(AND(OR(G54="通过",G54="失败"),LEN(TRIM(M54))=0),"缺少证据",IF(AND(OR(G54="通过",G54="失败"),LEN(TRIM(O54))=0),"缺少执行人",IF(OR(G54="通过",G54="失败",G54="受阻",G54="依据待确认"),IF(G54="通过",IF('UI走查'!Y55&lt;&gt;"页面覆盖已通过","页面覆盖未通过",IF('UI走查'!O55&lt;&gt;'本批提测'!$B$11,"页面依据版本待核对","通过")),G54),"结果待填写")))))))))))</x:f>
        <x:v>未纳入本批</x:v>
      </x:c>
      <x:c r="J54" s="10" t="str"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K54" s="10" t="str"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L54" s="10" t="str">
        <x:v>公共用例基准库v1.2 revision95 §5.1—5.5、§8；基于批准UI规范与本批真实控件裁剪；https://example.invalid/source/92f788d9b2</x:v>
      </x:c>
      <x:c r="M54" s="11"/>
      <x:c r="N54" s="11"/>
      <x:c r="O54" s="11"/>
      <x:c r="P54" s="10" t="str">
        <x:v>按实际影响</x:v>
      </x:c>
      <x:c r="Q54" s="10" t="str">
        <x:v>待本批采用</x:v>
      </x:c>
      <x:c r="R54" s="273" t="str">
        <x:v>公共基准补充（按需裁剪）</x:v>
      </x:c>
      <x:c r="S54" s="10" t="str">
        <x:v>测试、UI、开发</x:v>
      </x:c>
      <x:c r="T54" s="10" t="str">
        <x:v>正式界面交互验收</x:v>
      </x:c>
      <x:c r="U54" s="11"/>
      <x:c r="V54" s="11"/>
      <x:c r="W54" s="10" t="str">
        <x:v>公共基准＋项目UI/需求</x:v>
      </x:c>
      <x:c r="X54" s="10"/>
      <x:c r="Y54" s="10"/>
      <x:c r="Z54" s="10"/>
      <x:c r="AA54" s="10"/>
      <x:c r="AB54" s="10"/>
      <x:c r="AC54" s="10" t="str">
        <x:v>补充实际系统交互验证，不按五色来源强行分类。</x:v>
      </x:c>
      <x:c r="AD54" s="10" t="str">
        <x:v>用可观察操作、状态变化、读回与批准UI规则检验界面实现；业务深边界另归正式专项。</x:v>
      </x:c>
      <x:c r="AE54" s="10" t="str">
        <x:v>逐状态记录当前Build、实际页面、输入/操作、预期与实际差异及采用依据。</x:v>
      </x:c>
      <x:c r="AF54" s="10" t="str">
        <x:f>IF(D54="否","不适用",IF(D54&lt;&gt;"是","未纳入本批",IF(OR(LEN(TRIM('本批提测'!$B$10))=0,LEN(TRIM('本批提测'!$B$11))=0,'本批提测'!$B$12&lt;&gt;"已确认",F54&lt;&gt;"已确认",'本批提测'!$H$57&lt;&gt;"已确认"),"待确认","已确认")))</x:f>
        <x:v>未纳入本批</x:v>
      </x:c>
      <x:c r="AG54" s="10" t="str">
        <x:v>策略补充</x:v>
      </x:c>
      <x:c r="AH54" s="10" t="str">
        <x:v>新增界面交互验证；来源§5.1—5.5、§8，默认未执行。</x:v>
      </x:c>
      <x:c r="AI54" s="10" t="str">
        <x:v>按已确认规范先验证可判断部分；缺口登记，完整case须本批依据齐备后判定。</x:v>
      </x:c>
      <x:c r="AJ54" s="10"/>
      <x:c r="AK54" s="10" t="str">
        <x:v>批准UI/需求及公共基准裁剪范围；界面能力未交付不强加。</x:v>
      </x:c>
      <x:c r="AL54" s="10" t="str">
        <x:v>公共基准补充；无直接飞书Review记录。</x:v>
      </x:c>
      <x:c r="AM54" s="10" t="str">
        <x:v>完整界面交互场景在本UI case执行；不自动标记其他功能case通过。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20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  <x:dataValidation type="list" sqref="D48:D54">
      <x:formula1>"待选择,是,否"</x:formula1>
    </x:dataValidation>
    <x:dataValidation type="list" sqref="E48:E54">
      <x:formula1>"是,否"</x:formula1>
    </x:dataValidation>
    <x:dataValidation type="list" sqref="F48:F54">
      <x:formula1>"待确认,已确认"</x:formula1>
    </x:dataValidation>
    <x:dataValidation type="list" sqref="G48:G54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893cbb4e1e442b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  <x:row r="125">
      <x:c r="A125" s="10" t="str">
        <x:v>TR120</x:v>
      </x:c>
      <x:c r="B125" s="10" t="str">
        <x:v>公共基准界面交互：排序循环、组合排序与条件保持</x:v>
      </x:c>
      <x:c r="C125" s="10" t="str">
        <x:v>UI43</x:v>
      </x:c>
      <x:c r="D125" s="10" t="str">
        <x:v>在实际系统操作，按批准UI规则和裁剪边界逐状态验证</x:v>
      </x:c>
      <x:c r="E125" s="10" t="str">
        <x:v>2026-10-12策略补充</x:v>
      </x:c>
      <x:c r="F125" s="10" t="str">
        <x:v>公共基准revision95 §3.2、§2.2、§5.4</x:v>
      </x:c>
      <x:c r="G125" s="10" t="str">
        <x:v>DEC18＋本条本批采用口径</x:v>
      </x:c>
      <x:c r="H125" s="10" t="str">
        <x:v>https://example.invalid/source/92f788d9b2</x:v>
      </x:c>
    </x:row>
    <x:row r="126">
      <x:c r="A126" s="10" t="str">
        <x:v>TR121</x:v>
      </x:c>
      <x:c r="B126" s="10" t="str">
        <x:v>公共基准界面交互：输入校验触发、错误定位与回显</x:v>
      </x:c>
      <x:c r="C126" s="10" t="str">
        <x:v>UI44</x:v>
      </x:c>
      <x:c r="D126" s="10" t="str">
        <x:v>在实际系统操作，按批准UI规则和裁剪边界逐状态验证</x:v>
      </x:c>
      <x:c r="E126" s="10" t="str">
        <x:v>2026-10-12策略补充</x:v>
      </x:c>
      <x:c r="F126" s="10" t="str">
        <x:v>公共基准revision95 §1.1、§5.2、§5.4、§5.5</x:v>
      </x:c>
      <x:c r="G126" s="10" t="str">
        <x:v>DEC18＋本条本批采用口径</x:v>
      </x:c>
      <x:c r="H126" s="10" t="str">
        <x:v>https://example.invalid/source/92f788d9b2</x:v>
      </x:c>
    </x:row>
    <x:row r="127">
      <x:c r="A127" s="10" t="str">
        <x:v>TR122</x:v>
      </x:c>
      <x:c r="B127" s="10" t="str">
        <x:v>公共基准界面交互：默认选中、搜索、多选与级联反馈</x:v>
      </x:c>
      <x:c r="C127" s="10" t="str">
        <x:v>UI45</x:v>
      </x:c>
      <x:c r="D127" s="10" t="str">
        <x:v>在实际系统操作，按批准UI规则和裁剪边界逐状态验证</x:v>
      </x:c>
      <x:c r="E127" s="10" t="str">
        <x:v>2026-10-12策略补充</x:v>
      </x:c>
      <x:c r="F127" s="10" t="str">
        <x:v>公共基准revision95 §1.2、§5.4</x:v>
      </x:c>
      <x:c r="G127" s="10" t="str">
        <x:v>DEC18＋本条本批采用口径</x:v>
      </x:c>
      <x:c r="H127" s="10" t="str">
        <x:v>https://example.invalid/source/92f788d9b2</x:v>
      </x:c>
    </x:row>
    <x:row r="128">
      <x:c r="A128" s="10" t="str">
        <x:v>TR123</x:v>
      </x:c>
      <x:c r="B128" s="10" t="str">
        <x:v>公共基准界面交互：影响范围、取消与确认后的反馈</x:v>
      </x:c>
      <x:c r="C128" s="10" t="str">
        <x:v>UI46</x:v>
      </x:c>
      <x:c r="D128" s="10" t="str">
        <x:v>在实际系统操作，按批准UI规则和裁剪边界逐状态验证</x:v>
      </x:c>
      <x:c r="E128" s="10" t="str">
        <x:v>2026-10-12策略补充</x:v>
      </x:c>
      <x:c r="F128" s="10" t="str">
        <x:v>公共基准revision95 §5.4、§5.5、§2.4/2.5</x:v>
      </x:c>
      <x:c r="G128" s="10" t="str">
        <x:v>DEC18＋本条本批采用口径</x:v>
      </x:c>
      <x:c r="H128" s="10" t="str">
        <x:v>https://example.invalid/source/92f788d9b2</x:v>
      </x:c>
    </x:row>
    <x:row r="129">
      <x:c r="A129" s="10" t="str">
        <x:v>TR124</x:v>
      </x:c>
      <x:c r="B129" s="10" t="str">
        <x:v>公共基准界面交互：加载、防重、失败恢复及成功后同步</x:v>
      </x:c>
      <x:c r="C129" s="10" t="str">
        <x:v>UI47</x:v>
      </x:c>
      <x:c r="D129" s="10" t="str">
        <x:v>在实际系统操作，按批准UI规则和裁剪边界逐状态验证</x:v>
      </x:c>
      <x:c r="E129" s="10" t="str">
        <x:v>2026-10-12策略补充</x:v>
      </x:c>
      <x:c r="F129" s="10" t="str">
        <x:v>公共基准revision95 §2.1/2.2、§5.2、§5.4/5.5</x:v>
      </x:c>
      <x:c r="G129" s="10" t="str">
        <x:v>DEC18＋本条本批采用口径</x:v>
      </x:c>
      <x:c r="H129" s="10" t="str">
        <x:v>https://example.invalid/source/92f788d9b2</x:v>
      </x:c>
    </x:row>
    <x:row r="130">
      <x:c r="A130" s="10" t="str">
        <x:v>TR125</x:v>
      </x:c>
      <x:c r="B130" s="10" t="str">
        <x:v>公共基准界面交互：取消、关闭、返回和未保存内容保护</x:v>
      </x:c>
      <x:c r="C130" s="10" t="str">
        <x:v>UI48</x:v>
      </x:c>
      <x:c r="D130" s="10" t="str">
        <x:v>在实际系统操作，按批准UI规则和裁剪边界逐状态验证</x:v>
      </x:c>
      <x:c r="E130" s="10" t="str">
        <x:v>2026-10-12策略补充</x:v>
      </x:c>
      <x:c r="F130" s="10" t="str">
        <x:v>公共基准revision95 §5.4、§2.3</x:v>
      </x:c>
      <x:c r="G130" s="10" t="str">
        <x:v>DEC18＋本条本批采用口径</x:v>
      </x:c>
      <x:c r="H130" s="10" t="str">
        <x:v>https://example.invalid/source/92f788d9b2</x:v>
      </x:c>
    </x:row>
    <x:row r="131">
      <x:c r="A131" s="10" t="str">
        <x:v>TR126</x:v>
      </x:c>
      <x:c r="B131" s="10" t="str">
        <x:v>公共基准界面交互：键盘核心操作、标签与条件性帮助</x:v>
      </x:c>
      <x:c r="C131" s="10" t="str">
        <x:v>UI49</x:v>
      </x:c>
      <x:c r="D131" s="10" t="str">
        <x:v>在实际系统操作，按批准UI规则和裁剪边界逐状态验证</x:v>
      </x:c>
      <x:c r="E131" s="10" t="str">
        <x:v>2026-10-12策略补充</x:v>
      </x:c>
      <x:c r="F131" s="10" t="str">
        <x:v>公共基准revision95 §5.1—5.5、§8</x:v>
      </x:c>
      <x:c r="G131" s="10" t="str">
        <x:v>DEC18＋本条本批采用口径</x:v>
      </x:c>
      <x:c r="H131" s="10" t="str">
        <x:v>https://example.invalid/source/92f788d9b2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fea5ba18ed0a4c44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主记录编辑已取消，未保存。成员编辑入口一次未成功打开，表单未核实。未证明默认待生效、版本递增、历史版本、包含排除冲突、真实匹配、成员新增路径及删除保护。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5de176245344c01"/>
  </x:tableParts>
</x:worksheet>
</file>

<file path=xl/worksheets/sheet6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31.25" hidden="0" customWidth="1"/>
    <x:col min="4" max="4" width="66.25" hidden="0" customWidth="1"/>
    <x:col min="5" max="5" width="66.25" hidden="0" customWidth="1"/>
    <x:col min="6" max="6" width="21.25" hidden="0" customWidth="1"/>
    <x:col min="7" max="7" width="15" hidden="0" customWidth="1"/>
    <x:col min="8" max="8" width="18.1299991607666" hidden="0" customWidth="1"/>
    <x:col min="9" max="9" width="15" hidden="0" customWidth="1"/>
    <x:col min="10" max="10" width="20.6299991607666" hidden="0" customWidth="1"/>
    <x:col min="11" max="11" width="25" hidden="0" customWidth="1"/>
    <x:col min="12" max="12" width="55" hidden="0" customWidth="1"/>
    <x:col min="13" max="13" width="15" hidden="0" customWidth="1"/>
    <x:col min="14" max="14" width="22.5" hidden="0" customWidth="1"/>
    <x:col min="15" max="15" width="41.25" hidden="0" customWidth="1"/>
    <x:col min="16" max="16" width="61.25" hidden="0" customWidth="1"/>
    <x:col min="17" max="17" width="28.75" hidden="0" customWidth="1"/>
    <x:col min="18" max="18" width="50" hidden="0" customWidth="1"/>
  </x:cols>
  <x:sheetData>
    <x:row r="2" ht="33" customHeight="1">
      <x:c r="A2" s="244" t="str">
        <x:v>开发自测冒烟：功能主流程清单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</x:row>
    <x:row r="3" ht="48.75" customHeight="1">
      <x:c r="A3" s="10" t="str">
        <x:v>16个候选小场景，按本批交付选择；每个场景只验合法主流程/核心结果，计价另选关键失败。DS通过不回填原SM/UI整条通过，正式测试仍覆盖完整分支。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 t="str">
        <x:v>适用场景</x:v>
      </x:c>
      <x:c r="B4" s="10" t="n">
        <x:f>COUNTIFS(G7:G22,"是")</x:f>
        <x:v>0</x:v>
      </x:c>
      <x:c r="C4" s="10"/>
      <x:c r="D4" s="10" t="str">
        <x:v>有效通过</x:v>
      </x:c>
      <x:c r="E4" s="10" t="n">
        <x:f>COUNTIFS(N7:N22,"通过")</x:f>
        <x:v>0</x:v>
      </x:c>
      <x:c r="F4" s="10"/>
      <x:c r="G4" s="10" t="str">
        <x:v>未完成</x:v>
      </x:c>
      <x:c r="H4" s="10" t="n">
        <x:f>B4-E4-COUNTIFS(N7:N22,"失败")</x:f>
        <x:v>0</x:v>
      </x:c>
      <x:c r="I4" s="10"/>
      <x:c r="J4" s="10" t="str">
        <x:v>候选小场景16</x:v>
      </x:c>
      <x:c r="K4" s="10"/>
      <x:c r="L4" s="10"/>
      <x:c r="M4" s="10"/>
      <x:c r="N4" s="10"/>
      <x:c r="O4" s="10"/>
      <x:c r="P4" s="10"/>
    </x:row>
    <x:row r="5" ht="37.5" customHeight="1">
      <x:c r="A5" s="10" t="str">
        <x:v>黄色为执行输入。规则确认含本批场景/需求口径；P列涉及决策需在本批提测确认适用并留批准证据。开发冒烟不以UI设计是否完成计通过。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 ht="45" customHeight="1">
      <x:c r="A6" s="246" t="str">
        <x:v>编号</x:v>
      </x:c>
      <x:c r="B6" s="246" t="str">
        <x:v>模块</x:v>
      </x:c>
      <x:c r="C6" s="246" t="str">
        <x:v>主流程场景</x:v>
      </x:c>
      <x:c r="D6" s="246" t="str">
        <x:v>步骤/合法测试数据</x:v>
      </x:c>
      <x:c r="E6" s="246" t="str">
        <x:v>主流程预期</x:v>
      </x:c>
      <x:c r="F6" s="246" t="str">
        <x:v>参考完整case</x:v>
      </x:c>
      <x:c r="G6" s="246" t="str">
        <x:v>本批适用</x:v>
      </x:c>
      <x:c r="H6" s="246" t="str">
        <x:v>场景规则确认</x:v>
      </x:c>
      <x:c r="I6" s="246" t="str">
        <x:v>执行结果</x:v>
      </x:c>
      <x:c r="J6" s="246" t="str">
        <x:v>执行Build</x:v>
      </x:c>
      <x:c r="K6" s="246" t="str">
        <x:v>执行需求基线</x:v>
      </x:c>
      <x:c r="L6" s="246" t="str">
        <x:v>实际结果/证据</x:v>
      </x:c>
      <x:c r="M6" s="246" t="str">
        <x:v>执行人</x:v>
      </x:c>
      <x:c r="N6" s="246" t="str">
        <x:v>本阶段有效结果</x:v>
      </x:c>
      <x:c r="O6" s="246" t="str">
        <x:v>问题/未纳入理由</x:v>
      </x:c>
      <x:c r="P6" s="246" t="str">
        <x:v>待决口径及正式补充</x:v>
      </x:c>
      <x:c r="Q6" s="281" t="str">
        <x:v>DS03本次普通对象</x:v>
      </x:c>
      <x:c r="R6" s="281" t="str">
        <x:v>DS03对象契约与合法数据依据</x:v>
      </x:c>
    </x:row>
    <x:row r="7" ht="112.5" customHeight="1">
      <x:c r="A7" s="10" t="str">
        <x:v>DS01</x:v>
      </x:c>
      <x:c r="B7" s="10" t="str">
        <x:v>通用</x:v>
      </x:c>
      <x:c r="C7" s="10" t="str">
        <x:v>登录和目标页面可达</x:v>
      </x:c>
      <x:c r="D7" s="10" t="str">
        <x:v>用本批有权限测试账号登录，进入本批目标分组/页面并核路由和对象；不固定所有模块到航空公司。</x:v>
      </x:c>
      <x:c r="E7" s="10" t="str">
        <x:v>账号/角色正确，目标页可用，路由与内容一致。</x:v>
      </x:c>
      <x:c r="F7" s="10" t="str">
        <x:v>SM01、SM03</x:v>
      </x:c>
      <x:c r="G7" s="274" t="str">
        <x:v>待选择</x:v>
      </x:c>
      <x:c r="H7" s="274" t="str">
        <x:v>待确认</x:v>
      </x:c>
      <x:c r="I7" s="274" t="str">
        <x:v>未执行</x:v>
      </x:c>
      <x:c r="J7" s="274"/>
      <x:c r="K7" s="274"/>
      <x:c r="L7" s="274"/>
      <x:c r="M7" s="274"/>
      <x:c r="N7" s="10" t="str">
        <x:f>IF(G7="否","不适用",IF(G7&lt;&gt;"是","未纳入",IF(OR(H7&lt;&gt;"已确认",LEN(TRIM('本批提测'!$B$10))=0),"规则待确认",IF(OR(LEN(TRIM('本批提测'!$B$7))=0,LEN(TRIM('本批提测'!$B$8))=0,LEN(TRIM('本批提测'!$B$9))=0,LEN(TRIM('本批提测'!$B$15))=0,LEN(TRIM('本批提测'!$B$16))=0),"执行信息待补",IF(OR(I7="未执行",I7=""),"未执行",IF(OR(J7&lt;&gt;'本批提测'!$B$8,K7&lt;&gt;'本批提测'!$B$10),"版本/基线已变，需复测",IF(AND(OR(I7="通过",I7="失败"),OR(LEN(TRIM(L7))=0,LEN(TRIM(M7))=0)),"缺少执行证据",IF(OR(I7="通过",I7="失败",I7="受阻",I7="依据待确认"),I7,"结果待填写"))))))))</x:f>
        <x:v>未纳入</x:v>
      </x:c>
      <x:c r="O7" s="274"/>
      <x:c r="P7" s="10" t="str">
        <x:v>本批场景需求确认；每批必选；受限角色/会话过期矩阵归SM02及正式测试。</x:v>
      </x:c>
      <x:c r="Q7" s="10"/>
      <x:c r="R7" s="10"/>
    </x:row>
    <x:row r="8" ht="112.5" customHeight="1">
      <x:c r="A8" s="10" t="str">
        <x:v>DS02</x:v>
      </x:c>
      <x:c r="B8" s="10" t="str">
        <x:v>当前列表</x:v>
      </x:c>
      <x:c r="C8" s="10" t="str">
        <x:v>一条已知记录查询和重置</x:v>
      </x:c>
      <x:c r="D8" s="10" t="str">
        <x:v>在本批对象按批准检索字段查一条已知记录，再重置并重查；明确主表/详情子表。</x:v>
      </x:c>
      <x:c r="E8" s="10" t="str">
        <x:v>命中正确、重置恢复批准默认且列表刷新，无前对象或旧结果残留。</x:v>
      </x:c>
      <x:c r="F8" s="10" t="str">
        <x:v>SM06、SM07</x:v>
      </x:c>
      <x:c r="G8" s="274" t="str">
        <x:v>待选择</x:v>
      </x:c>
      <x:c r="H8" s="274" t="str">
        <x:v>待确认</x:v>
      </x:c>
      <x:c r="I8" s="274" t="str">
        <x:v>未执行</x:v>
      </x:c>
      <x:c r="J8" s="274"/>
      <x:c r="K8" s="274"/>
      <x:c r="L8" s="274"/>
      <x:c r="M8" s="274"/>
      <x:c r="N8" s="10" t="str">
        <x:f>IF(G8="否","不适用",IF(G8&lt;&gt;"是","未纳入",IF(OR(H8&lt;&gt;"已确认",LEN(TRIM('本批提测'!$B$10))=0),"规则待确认",IF(OR(LEN(TRIM('本批提测'!$B$7))=0,LEN(TRIM('本批提测'!$B$8))=0,LEN(TRIM('本批提测'!$B$9))=0,LEN(TRIM('本批提测'!$B$15))=0,LEN(TRIM('本批提测'!$B$16))=0),"执行信息待补",IF(OR(I8="未执行",I8=""),"未执行",IF(OR(J8&lt;&gt;'本批提测'!$B$8,K8&lt;&gt;'本批提测'!$B$10),"版本/基线已变，需复测",IF(AND(OR(I8="通过",I8="失败"),OR(LEN(TRIM(L8))=0,LEN(TRIM(M8))=0)),"缺少执行证据",IF(OR(I8="通过",I8="失败",I8="受阻",I8="依据待确认"),I8,"结果待填写"))))))))</x:f>
        <x:v>未纳入</x:v>
      </x:c>
      <x:c r="O8" s="274"/>
      <x:c r="P8" s="10" t="str">
        <x:v>本批场景需求确认；每个受影响列表选一对象；跨页/排序/空态及触发差异归SM08/58和UI43。</x:v>
      </x:c>
      <x:c r="Q8" s="10"/>
      <x:c r="R8" s="10"/>
    </x:row>
    <x:row r="9" ht="180" customHeight="1">
      <x:c r="A9" s="10" t="str">
        <x:v>DS03</x:v>
      </x:c>
      <x:c r="B9" s="10" t="str">
        <x:v>基础配置对象</x:v>
      </x:c>
      <x:c r="C9" s="10" t="str">
        <x:v>合法新增、编辑和读回</x:v>
      </x:c>
      <x:c r="D9" s="10" t="str">
        <x:v>先在Q/R指定本次普通对象及批准契约，用专用合法数据分别新增、编辑、刷新读回；只修改可编辑字段。按国家/航空公司/货物类型/普通字典分别确认DEC28/DEC06/DEC26；不把统一编码名称步骤套全部对象。汇率用DS14、费用项用DS15；Zone主记录/成员和地点邮编映射用DS16及相应正式case。</x:v>
      </x:c>
      <x:c r="E9" s="10" t="str">
        <x:v>仅所选普通对象的合法主流程可用，必填/编码只读/扩展字段符合其批准契约；实际结果证据分别包含新增、编辑及刷新读回，不代表其他对象通过。</x:v>
      </x:c>
      <x:c r="F9" s="10" t="str">
        <x:v>SM11、SM12</x:v>
      </x:c>
      <x:c r="G9" s="274" t="str">
        <x:v>待选择</x:v>
      </x:c>
      <x:c r="H9" s="274" t="str">
        <x:v>待确认</x:v>
      </x:c>
      <x:c r="I9" s="274" t="str">
        <x:v>未执行</x:v>
      </x:c>
      <x:c r="J9" s="274"/>
      <x:c r="K9" s="274"/>
      <x:c r="L9" s="274"/>
      <x:c r="M9" s="274"/>
      <x:c r="N9" s="10" t="str">
        <x:f>IF(AND(G9="是",OR(Q9="",LEN(TRIM(R9))=0)),"对象/契约未确认",IF(AND(G9="是",Q9&lt;&gt;"国家",Q9&lt;&gt;"航空公司",Q9&lt;&gt;"货物类型",Q9&lt;&gt;"其他已确认普通字典"),"请转对象专用场景",IF(AND(G9="是",OR(AND(Q9="航空公司",'本批提测'!$H$45&lt;&gt;"已确认"),AND(Q9="国家",'本批提测'!$H$158&lt;&gt;"已确认"),AND(OR(Q9="货物类型",Q9="其他已确认普通字典"),'本批提测'!$H$156&lt;&gt;"已确认"))),"对象专属规则待确认",IF(G9="否","不适用",IF(G9&lt;&gt;"是","未纳入",IF(OR(H9&lt;&gt;"已确认",LEN(TRIM('本批提测'!$B$10))=0),"规则待确认",IF(OR(LEN(TRIM('本批提测'!$B$7))=0,LEN(TRIM('本批提测'!$B$8))=0,LEN(TRIM('本批提测'!$B$9))=0,LEN(TRIM('本批提测'!$B$15))=0,LEN(TRIM('本批提测'!$B$16))=0),"执行信息待补",IF(OR(I9="未执行",I9=""),"未执行",IF(OR(J9&lt;&gt;'本批提测'!$B$8,K9&lt;&gt;'本批提测'!$B$10),"版本/基线已变，需复测",IF(AND(OR(I9="通过",I9="失败"),OR(LEN(TRIM(L9))=0,LEN(TRIM(M9))=0)),"缺少执行证据",IF(OR(I9="通过",I9="失败",I9="受阻",I9="依据待确认"),I9,"结果待填写")))))))))))</x:f>
        <x:v>未纳入</x:v>
      </x:c>
      <x:c r="O9" s="274"/>
      <x:c r="P9" s="10" t="str">
        <x:v>Q/R为本次对象及契约依据，H确认包含相应字段和合法数据；航空公司→DEC06，国家→DEC28，货物类型/其他普通字典→DEC26。专用财务、版本及关系维护不适用本场景。</x:v>
      </x:c>
      <x:c r="Q9" s="283"/>
      <x:c r="R9" s="283"/>
    </x:row>
    <x:row r="10" ht="112.5" customHeight="1">
      <x:c r="A10" s="10" t="str">
        <x:v>DS04</x:v>
      </x:c>
      <x:c r="B10" s="10" t="str">
        <x:v>字典引用</x:v>
      </x:c>
      <x:c r="C10" s="10" t="str">
        <x:v>维护项在业务表单可选</x:v>
      </x:c>
      <x:c r="D10" s="10" t="str">
        <x:v>在已确认同源引用的业务表单搜索一条有效测试字典项，选中保存后重开。</x:v>
      </x:c>
      <x:c r="E10" s="10" t="str">
        <x:v>候选/保存编码/显示名称一致，同源映射正确。</x:v>
      </x:c>
      <x:c r="F10" s="10" t="str">
        <x:v>SM18</x:v>
      </x:c>
      <x:c r="G10" s="274" t="str">
        <x:v>待选择</x:v>
      </x:c>
      <x:c r="H10" s="274" t="str">
        <x:v>待确认</x:v>
      </x:c>
      <x:c r="I10" s="274" t="str">
        <x:v>未执行</x:v>
      </x:c>
      <x:c r="J10" s="274"/>
      <x:c r="K10" s="274"/>
      <x:c r="L10" s="274"/>
      <x:c r="M10" s="274"/>
      <x:c r="N10" s="10" t="str">
        <x:f>IF(G10="否","不适用",IF(G10&lt;&gt;"是","未纳入",IF(OR(H10&lt;&gt;"已确认",LEN(TRIM('本批提测'!$B$10))=0),"规则待确认",IF(OR(LEN(TRIM('本批提测'!$B$7))=0,LEN(TRIM('本批提测'!$B$8))=0,LEN(TRIM('本批提测'!$B$9))=0,LEN(TRIM('本批提测'!$B$15))=0,LEN(TRIM('本批提测'!$B$16))=0),"执行信息待补",IF(OR(I10="未执行",I10=""),"未执行",IF(OR(J10&lt;&gt;'本批提测'!$B$8,K10&lt;&gt;'本批提测'!$B$10),"版本/基线已变，需复测",IF(AND(OR(I10="通过",I10="失败"),OR(LEN(TRIM(L10))=0,LEN(TRIM(M10))=0)),"缺少执行证据",IF(OR(I10="通过",I10="失败",I10="受阻",I10="依据待确认"),I10,"结果待填写"))))))))</x:f>
        <x:v>未纳入</x:v>
      </x:c>
      <x:c r="O10" s="274"/>
      <x:c r="P10" s="10" t="str">
        <x:v>本批场景需求确认；仅交付该同源链路时选；货物类型与可接货型映射未定不得猜测。</x:v>
      </x:c>
      <x:c r="Q10" s="10"/>
      <x:c r="R10" s="10"/>
    </x:row>
    <x:row r="11" ht="112.5" customHeight="1">
      <x:c r="A11" s="10" t="str">
        <x:v>DS05</x:v>
      </x:c>
      <x:c r="B11" s="10" t="str">
        <x:v>服务单元</x:v>
      </x:c>
      <x:c r="C11" s="10" t="str">
        <x:v>合法创建和自动成本卡关联</x:v>
      </x:c>
      <x:c r="D11" s="10" t="str">
        <x:v>用启用服务商、批准三段名、覆盖范围及整数抛比等合法数据，执行本批交付的一种保存入口；重查单元和对应成本卡。</x:v>
      </x:c>
      <x:c r="E11" s="10" t="str">
        <x:v>单元保存、状态及成本卡关联符合批准同步规则；不把保存当立即生效。</x:v>
      </x:c>
      <x:c r="F11" s="10" t="str">
        <x:v>SM21、SM29</x:v>
      </x:c>
      <x:c r="G11" s="274" t="str">
        <x:v>待选择</x:v>
      </x:c>
      <x:c r="H11" s="274" t="str">
        <x:v>待确认</x:v>
      </x:c>
      <x:c r="I11" s="274" t="str">
        <x:v>未执行</x:v>
      </x:c>
      <x:c r="J11" s="274"/>
      <x:c r="K11" s="274"/>
      <x:c r="L11" s="274"/>
      <x:c r="M11" s="274"/>
      <x:c r="N11" s="10" t="str">
        <x:f>IF(G11="否","不适用",IF(G11&lt;&gt;"是","未纳入",IF(OR(H11&lt;&gt;"已确认",LEN(TRIM('本批提测'!$B$10))=0,'本批提测'!$H$52&lt;&gt;"已确认"),"规则待确认",IF(OR(LEN(TRIM('本批提测'!$B$7))=0,LEN(TRIM('本批提测'!$B$8))=0,LEN(TRIM('本批提测'!$B$9))=0,LEN(TRIM('本批提测'!$B$15))=0,LEN(TRIM('本批提测'!$B$16))=0),"执行信息待补",IF(OR(I11="未执行",I11=""),"未执行",IF(OR(J11&lt;&gt;'本批提测'!$B$8,K11&lt;&gt;'本批提测'!$B$10),"版本/基线已变，需复测",IF(AND(OR(I11="通过",I11="失败"),OR(LEN(TRIM(L11))=0,LEN(TRIM(M11))=0)),"缺少执行证据",IF(OR(I11="通过",I11="失败",I11="受阻",I11="依据待确认"),I11,"结果待填写"))))))))</x:f>
        <x:v>未纳入</x:v>
      </x:c>
      <x:c r="O11" s="274"/>
      <x:c r="P11" s="10" t="str">
        <x:v>DEC13；仅交付创建链路时选；两入口/容量/名称/版本/边界矩阵归SM21/29/63正式分支。</x:v>
      </x:c>
      <x:c r="Q11" s="10"/>
      <x:c r="R11" s="10"/>
    </x:row>
    <x:row r="12" ht="112.5" customHeight="1">
      <x:c r="A12" s="10" t="str">
        <x:v>DS06</x:v>
      </x:c>
      <x:c r="B12" s="10" t="str">
        <x:v>服务组合</x:v>
      </x:c>
      <x:c r="C12" s="10" t="str">
        <x:v>一组合法成员保存读回</x:v>
      </x:c>
      <x:c r="D12" s="10" t="str">
        <x:v>用至少一名有效成员、恰一主用、唯一正整数优先级及可执行普通策略保存组合并重开。</x:v>
      </x:c>
      <x:c r="E12" s="10" t="str">
        <x:v>成员/角色/优先级正确，编码稳定、状态及首版可读回。</x:v>
      </x:c>
      <x:c r="F12" s="10" t="str">
        <x:v>SM31、SM32</x:v>
      </x:c>
      <x:c r="G12" s="274" t="str">
        <x:v>待选择</x:v>
      </x:c>
      <x:c r="H12" s="274" t="str">
        <x:v>待确认</x:v>
      </x:c>
      <x:c r="I12" s="274" t="str">
        <x:v>未执行</x:v>
      </x:c>
      <x:c r="J12" s="274"/>
      <x:c r="K12" s="274"/>
      <x:c r="L12" s="274"/>
      <x:c r="M12" s="274"/>
      <x:c r="N12" s="10" t="str">
        <x:f>IF(G12="否","不适用",IF(G12&lt;&gt;"是","未纳入",IF(OR(H12&lt;&gt;"已确认",LEN(TRIM('本批提测'!$B$10))=0,'本批提测'!$H$53&lt;&gt;"已确认"),"规则待确认",IF(OR(LEN(TRIM('本批提测'!$B$7))=0,LEN(TRIM('本批提测'!$B$8))=0,LEN(TRIM('本批提测'!$B$9))=0,LEN(TRIM('本批提测'!$B$15))=0,LEN(TRIM('本批提测'!$B$16))=0),"执行信息待补",IF(OR(I12="未执行",I12=""),"未执行",IF(OR(J12&lt;&gt;'本批提测'!$B$8,K12&lt;&gt;'本批提测'!$B$10),"版本/基线已变，需复测",IF(AND(OR(I12="通过",I12="失败"),OR(LEN(TRIM(L12))=0,LEN(TRIM(M12))=0)),"缺少执行证据",IF(OR(I12="通过",I12="失败",I12="受阻",I12="依据待确认"),I12,"结果待填写"))))))))</x:f>
        <x:v>未纳入</x:v>
      </x:c>
      <x:c r="O12" s="274"/>
      <x:c r="P12" s="10" t="str">
        <x:v>DEC14；仅交付组合时选；增删/重复/无变化版本/同分策略等归SM31—38及专项。</x:v>
      </x:c>
      <x:c r="Q12" s="10"/>
      <x:c r="R12" s="10"/>
    </x:row>
    <x:row r="13" ht="112.5" customHeight="1">
      <x:c r="A13" s="10" t="str">
        <x:v>DS07</x:v>
      </x:c>
      <x:c r="B13" s="10" t="str">
        <x:v>成本价卡</x:v>
      </x:c>
      <x:c r="C13" s="10" t="str">
        <x:v>一张合法静态卡保存和使用</x:v>
      </x:c>
      <x:c r="D13" s="10" t="str">
        <x:v>绑定本批有效单元，填写批准的合法明细及有效期，保存并按交付规则启用；在批准有效报价时点查询该卡。</x:v>
      </x:c>
      <x:c r="E13" s="10" t="str">
        <x:v>卡与单元绑定正确、合法明细持久化，状态/有效版本按批准时点可用。</x:v>
      </x:c>
      <x:c r="F13" s="10" t="str">
        <x:v>SM23、SM41</x:v>
      </x:c>
      <x:c r="G13" s="274" t="str">
        <x:v>待选择</x:v>
      </x:c>
      <x:c r="H13" s="274" t="str">
        <x:v>待确认</x:v>
      </x:c>
      <x:c r="I13" s="274" t="str">
        <x:v>未执行</x:v>
      </x:c>
      <x:c r="J13" s="274"/>
      <x:c r="K13" s="274"/>
      <x:c r="L13" s="274"/>
      <x:c r="M13" s="274"/>
      <x:c r="N13" s="10" t="str">
        <x:f>IF(G13="否","不适用",IF(G13&lt;&gt;"是","未纳入",IF(OR(H13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13="未执行",I13=""),"未执行",IF(OR(J13&lt;&gt;'本批提测'!$B$8,K13&lt;&gt;'本批提测'!$B$10),"版本/基线已变，需复测",IF(AND(OR(I13="通过",I13="失败"),OR(LEN(TRIM(L13))=0,LEN(TRIM(M13))=0)),"缺少执行证据",IF(OR(I13="通过",I13="失败",I13="受阻",I13="依据待确认"),I13,"结果待填写"))))))))</x:f>
        <x:v>未纳入</x:v>
      </x:c>
      <x:c r="O13" s="274"/>
      <x:c r="P13" s="10" t="str">
        <x:v>DEC19；仅交付静态卡时选；严格未来/开闭端点/九种方式/历史与动态异常归正式。</x:v>
      </x:c>
      <x:c r="Q13" s="10"/>
      <x:c r="R13" s="10"/>
    </x:row>
    <x:row r="14" ht="112.5" customHeight="1">
      <x:c r="A14" s="10" t="str">
        <x:v>DS08</x:v>
      </x:c>
      <x:c r="B14" s="10" t="str">
        <x:v>燃油规则</x:v>
      </x:c>
      <x:c r="C14" s="10" t="str">
        <x:v>有效静态规则可查可命中</x:v>
      </x:c>
      <x:c r="D14" s="10" t="str">
        <x:v>用批准静态燃油配置及适用范围/时段保存，执行对应合法报价并核命中规则。</x:v>
      </x:c>
      <x:c r="E14" s="10" t="str">
        <x:v>比例、基数及命中版本正确；与DS10批准费用算例保持一致。</x:v>
      </x:c>
      <x:c r="F14" s="10" t="str">
        <x:v>SM44</x:v>
      </x:c>
      <x:c r="G14" s="274" t="str">
        <x:v>待选择</x:v>
      </x:c>
      <x:c r="H14" s="274" t="str">
        <x:v>待确认</x:v>
      </x:c>
      <x:c r="I14" s="274" t="str">
        <x:v>未执行</x:v>
      </x:c>
      <x:c r="J14" s="274"/>
      <x:c r="K14" s="274"/>
      <x:c r="L14" s="274"/>
      <x:c r="M14" s="274"/>
      <x:c r="N14" s="10" t="str">
        <x:f>IF(G14="否","不适用",IF(G14&lt;&gt;"是","未纳入",IF(OR(H14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14="未执行",I14=""),"未执行",IF(OR(J14&lt;&gt;'本批提测'!$B$8,K14&lt;&gt;'本批提测'!$B$10),"版本/基线已变，需复测",IF(AND(OR(I14="通过",I14="失败"),OR(LEN(TRIM(L14))=0,LEN(TRIM(M14))=0)),"缺少执行证据",IF(OR(I14="通过",I14="失败",I14="受阻",I14="依据待确认"),I14,"结果待填写"))))))))</x:f>
        <x:v>未纳入</x:v>
      </x:c>
      <x:c r="O14" s="274"/>
      <x:c r="P14" s="10" t="str">
        <x:v>DEC19；仅交付燃油时选；动态失败/优先级/区间重叠/删除保护归SM44/45/71/76。</x:v>
      </x:c>
      <x:c r="Q14" s="10"/>
      <x:c r="R14" s="10"/>
    </x:row>
    <x:row r="15" ht="112.5" customHeight="1">
      <x:c r="A15" s="10" t="str">
        <x:v>DS09</x:v>
      </x:c>
      <x:c r="B15" s="10" t="str">
        <x:v>产品编排</x:v>
      </x:c>
      <x:c r="C15" s="10" t="str">
        <x:v>合法编排保存、发布和读回</x:v>
      </x:c>
      <x:c r="D15" s="10" t="str">
        <x:v>选择本批有效单元/组合和成本卡，完成实际覆盖范围信息后保存；提交发布，重新查询产品及当前编排。</x:v>
      </x:c>
      <x:c r="E15" s="10" t="str">
        <x:v>保存态按批准名称；提交后已发布，画布/产品信息一致，未产生未交付审批流程。</x:v>
      </x:c>
      <x:c r="F15" s="10" t="str">
        <x:v>SM24、SM46</x:v>
      </x:c>
      <x:c r="G15" s="274" t="str">
        <x:v>待选择</x:v>
      </x:c>
      <x:c r="H15" s="274" t="str">
        <x:v>待确认</x:v>
      </x:c>
      <x:c r="I15" s="274" t="str">
        <x:v>未执行</x:v>
      </x:c>
      <x:c r="J15" s="274"/>
      <x:c r="K15" s="274"/>
      <x:c r="L15" s="274"/>
      <x:c r="M15" s="274"/>
      <x:c r="N15" s="10" t="str">
        <x:f>IF(G15="否","不适用",IF(G15&lt;&gt;"是","未纳入",IF(OR(H15&lt;&gt;"已确认",LEN(TRIM('本批提测'!$B$10))=0,'本批提测'!$H$50&lt;&gt;"已确认"),"规则待确认",IF(OR(LEN(TRIM('本批提测'!$B$7))=0,LEN(TRIM('本批提测'!$B$8))=0,LEN(TRIM('本批提测'!$B$9))=0,LEN(TRIM('本批提测'!$B$15))=0,LEN(TRIM('本批提测'!$B$16))=0),"执行信息待补",IF(OR(I15="未执行",I15=""),"未执行",IF(OR(J15&lt;&gt;'本批提测'!$B$8,K15&lt;&gt;'本批提测'!$B$10),"版本/基线已变，需复测",IF(AND(OR(I15="通过",I15="失败"),OR(LEN(TRIM(L15))=0,LEN(TRIM(M15))=0)),"缺少执行证据",IF(OR(I15="通过",I15="失败",I15="受阻",I15="依据待确认"),I15,"结果待填写"))))))))</x:f>
        <x:v>未纳入</x:v>
      </x:c>
      <x:c r="O15" s="274"/>
      <x:c r="P15" s="10" t="str">
        <x:v>DEC11；仅交付产品编排时选；字段交集/改价/恢复来源/下游版本等归正式。</x:v>
      </x:c>
      <x:c r="Q15" s="10"/>
      <x:c r="R15" s="10"/>
    </x:row>
    <x:row r="16" ht="112.5" customHeight="1">
      <x:c r="A16" s="10" t="str">
        <x:v>DS10</x:v>
      </x:c>
      <x:c r="B16" s="10" t="str">
        <x:v>计算模拟</x:v>
      </x:c>
      <x:c r="C16" s="10" t="str">
        <x:v>成本131与重量20KG正向闭环</x:v>
      </x:c>
      <x:c r="D16" s="10" t="str">
        <x:v>批准配置：CNY固定运费100、另计附加费20，两类燃油10%/5%，无其他费用命中；产品抛比6000、实重8KG、60×50×40cm、订单步长1KG；填覆盖范围及有效报价时点，执行一次试算并独立核账本和重量。</x:v>
      </x:c>
      <x:c r="E16" s="10" t="str">
        <x:v>公司成本100+20+10+1=131 CNY；体积重20KG、原始max(8,20)=20KG、批准进位后20KG，产品抛比/卡/燃油版本可追溯；任一核算错都不能通过。</x:v>
      </x:c>
      <x:c r="F16" s="10" t="str">
        <x:v>SM25、SM52</x:v>
      </x:c>
      <x:c r="G16" s="274" t="str">
        <x:v>待选择</x:v>
      </x:c>
      <x:c r="H16" s="274" t="str">
        <x:v>待确认</x:v>
      </x:c>
      <x:c r="I16" s="274" t="str">
        <x:v>未执行</x:v>
      </x:c>
      <x:c r="J16" s="274"/>
      <x:c r="K16" s="274"/>
      <x:c r="L16" s="274"/>
      <x:c r="M16" s="274"/>
      <x:c r="N16" s="10" t="str">
        <x:f>IF(G16="否","不适用",IF(G16&lt;&gt;"是","未纳入",IF(OR(H16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16="未执行",I16=""),"未执行",IF(OR(J16&lt;&gt;'本批提测'!$B$8,K16&lt;&gt;'本批提测'!$B$10),"版本/基线已变，需复测",IF(AND(OR(I16="通过",I16="失败"),OR(LEN(TRIM(L16))=0,LEN(TRIM(M16))=0)),"缺少执行证据",IF(OR(I16="通过",I16="失败",I16="受阻",I16="依据待确认"),I16,"结果待填写"))))))))</x:f>
        <x:v>未纳入</x:v>
      </x:c>
      <x:c r="O16" s="274"/>
      <x:c r="P16" s="10" t="str">
        <x:v>DEC19；计价交付必选；这些是批准算例，不是系统默认。小数/汇率/矩阵/非法尺寸归SM51/70/78/79。</x:v>
      </x:c>
      <x:c r="Q16" s="10"/>
      <x:c r="R16" s="10"/>
    </x:row>
    <x:row r="17" ht="112.5" customHeight="1">
      <x:c r="A17" s="10" t="str">
        <x:v>DS11</x:v>
      </x:c>
      <x:c r="B17" s="10" t="str">
        <x:v>计算模拟</x:v>
      </x:c>
      <x:c r="C17" s="10" t="str">
        <x:v>一次关键失败不冒充旧成功</x:v>
      </x:c>
      <x:c r="D17" s="10" t="str">
        <x:v>先合法试算，再用可控专用条件制造缺必要有效卡或规则的一种失败，观察结果与提示。</x:v>
      </x:c>
      <x:c r="E17" s="10" t="str">
        <x:v>明确具体不可计算原因，无本次成功或旧金额冒充新结果，不破坏已存历史。</x:v>
      </x:c>
      <x:c r="F17" s="10" t="str">
        <x:v>SM53、SM80</x:v>
      </x:c>
      <x:c r="G17" s="274" t="str">
        <x:v>待选择</x:v>
      </x:c>
      <x:c r="H17" s="274" t="str">
        <x:v>待确认</x:v>
      </x:c>
      <x:c r="I17" s="274" t="str">
        <x:v>未执行</x:v>
      </x:c>
      <x:c r="J17" s="274"/>
      <x:c r="K17" s="274"/>
      <x:c r="L17" s="274"/>
      <x:c r="M17" s="274"/>
      <x:c r="N17" s="10" t="str">
        <x:f>IF(G17="否","不适用",IF(G17&lt;&gt;"是","未纳入",IF(OR(H17&lt;&gt;"已确认",LEN(TRIM('本批提测'!$B$10))=0),"规则待确认",IF(OR(LEN(TRIM('本批提测'!$B$7))=0,LEN(TRIM('本批提测'!$B$8))=0,LEN(TRIM('本批提测'!$B$9))=0,LEN(TRIM('本批提测'!$B$15))=0,LEN(TRIM('本批提测'!$B$16))=0),"执行信息待补",IF(OR(I17="未执行",I17=""),"未执行",IF(OR(J17&lt;&gt;'本批提测'!$B$8,K17&lt;&gt;'本批提测'!$B$10),"版本/基线已变，需复测",IF(AND(OR(I17="通过",I17="失败"),OR(LEN(TRIM(L17))=0,LEN(TRIM(M17))=0)),"缺少执行证据",IF(OR(I17="通过",I17="失败",I17="受阻",I17="依据待确认"),I17,"结果待填写"))))))))</x:f>
        <x:v>未纳入</x:v>
      </x:c>
      <x:c r="O17" s="274"/>
      <x:c r="P17" s="10" t="str">
        <x:v>本批场景需求确认；计价交付选一关键失败；其他拒收/转人工/超时/乱序全分支归正式。</x:v>
      </x:c>
      <x:c r="Q17" s="10"/>
      <x:c r="R17" s="10"/>
    </x:row>
    <x:row r="18" ht="112.5" customHeight="1">
      <x:c r="A18" s="10" t="str">
        <x:v>DS12</x:v>
      </x:c>
      <x:c r="B18" s="10" t="str">
        <x:v>AI建档</x:v>
      </x:c>
      <x:c r="C18" s="10" t="str">
        <x:v>授权样本解析、确认和保存</x:v>
      </x:c>
      <x:c r="D18" s="10" t="str">
        <x:v>使用经授权且格式/字段已明确的测试材料解析；对照原文核核心字段后确认保存并重新查询。</x:v>
      </x:c>
      <x:c r="E18" s="10" t="str">
        <x:v>解析结果可核对，保存数据正确，不只凭解析成功提示通过。</x:v>
      </x:c>
      <x:c r="F18" s="10" t="str">
        <x:v>SM27</x:v>
      </x:c>
      <x:c r="G18" s="274" t="str">
        <x:v>待选择</x:v>
      </x:c>
      <x:c r="H18" s="274" t="str">
        <x:v>待确认</x:v>
      </x:c>
      <x:c r="I18" s="274" t="str">
        <x:v>未执行</x:v>
      </x:c>
      <x:c r="J18" s="274"/>
      <x:c r="K18" s="274"/>
      <x:c r="L18" s="274"/>
      <x:c r="M18" s="274"/>
      <x:c r="N18" s="10" t="str">
        <x:f>IF(G18="否","不适用",IF(G18&lt;&gt;"是","未纳入",IF(OR(H18&lt;&gt;"已确认",LEN(TRIM('本批提测'!$B$10))=0,'本批提测'!$H$56&lt;&gt;"已确认"),"规则待确认",IF(OR(LEN(TRIM('本批提测'!$B$7))=0,LEN(TRIM('本批提测'!$B$8))=0,LEN(TRIM('本批提测'!$B$9))=0,LEN(TRIM('本批提测'!$B$15))=0,LEN(TRIM('本批提测'!$B$16))=0),"执行信息待补",IF(OR(I18="未执行",I18=""),"未执行",IF(OR(J18&lt;&gt;'本批提测'!$B$8,K18&lt;&gt;'本批提测'!$B$10),"版本/基线已变，需复测",IF(AND(OR(I18="通过",I18="失败"),OR(LEN(TRIM(L18))=0,LEN(TRIM(M18))=0)),"缺少执行证据",IF(OR(I18="通过",I18="失败",I18="受阻",I18="依据待确认"),I18,"结果待填写"))))))))</x:f>
        <x:v>未纳入</x:v>
      </x:c>
      <x:c r="O18" s="274"/>
      <x:c r="P18" s="10" t="str">
        <x:v>DEC17；仅交付AI建档时选；材料大小/取消重试/模型质量/对抗能力按实际交付归专项。</x:v>
      </x:c>
      <x:c r="Q18" s="10"/>
      <x:c r="R18" s="10"/>
    </x:row>
    <x:row r="19" ht="112.5" customHeight="1">
      <x:c r="A19" s="10" t="str">
        <x:v>DS13</x:v>
      </x:c>
      <x:c r="B19" s="10" t="str">
        <x:v>OMS历史</x:v>
      </x:c>
      <x:c r="C19" s="10" t="str">
        <x:v>一条已知历史可读和快照一致</x:v>
      </x:c>
      <x:c r="D19" s="10" t="str">
        <x:v>仅在OMS接入/测试回传及历史分期明确后，打开已知订单历史与费用/版本快照。</x:v>
      </x:c>
      <x:c r="E19" s="10" t="str">
        <x:v>能定位真实测试订单，展示与既有快照/版本一致；不以模拟记录替OMS历史。</x:v>
      </x:c>
      <x:c r="F19" s="10" t="str">
        <x:v>SM59</x:v>
      </x:c>
      <x:c r="G19" s="274" t="str">
        <x:v>待选择</x:v>
      </x:c>
      <x:c r="H19" s="274" t="str">
        <x:v>待确认</x:v>
      </x:c>
      <x:c r="I19" s="274" t="str">
        <x:v>未执行</x:v>
      </x:c>
      <x:c r="J19" s="274"/>
      <x:c r="K19" s="274"/>
      <x:c r="L19" s="274"/>
      <x:c r="M19" s="274"/>
      <x:c r="N19" s="10" t="str">
        <x:f>IF(G19="否","不适用",IF(G19&lt;&gt;"是","未纳入",IF(OR(H19&lt;&gt;"已确认",LEN(TRIM('本批提测'!$B$10))=0,'本批提测'!$H$60&lt;&gt;"已确认"),"规则待确认",IF(OR(LEN(TRIM('本批提测'!$B$7))=0,LEN(TRIM('本批提测'!$B$8))=0,LEN(TRIM('本批提测'!$B$9))=0,LEN(TRIM('本批提测'!$B$15))=0,LEN(TRIM('本批提测'!$B$16))=0),"执行信息待补",IF(OR(I19="未执行",I19=""),"未执行",IF(OR(J19&lt;&gt;'本批提测'!$B$8,K19&lt;&gt;'本批提测'!$B$10),"版本/基线已变，需复测",IF(AND(OR(I19="通过",I19="失败"),OR(LEN(TRIM(L19))=0,LEN(TRIM(M19))=0)),"缺少执行证据",IF(OR(I19="通过",I19="失败",I19="受阻",I19="依据待确认"),I19,"结果待填写"))))))))</x:f>
        <x:v>未纳入</x:v>
      </x:c>
      <x:c r="O19" s="274"/>
      <x:c r="P19" s="10" t="str">
        <x:v>DEC21；仅明确交付且环境可用时选；筛选合计/重新计费与失败矩阵归SM26/59/60/81。</x:v>
      </x:c>
      <x:c r="Q19" s="10"/>
      <x:c r="R19" s="10"/>
    </x:row>
    <x:row r="20" ht="112.5" customHeight="1">
      <x:c r="A20" s="10" t="str">
        <x:v>DS14</x:v>
      </x:c>
      <x:c r="B20" s="10" t="str">
        <x:v>汇率</x:v>
      </x:c>
      <x:c r="C20" s="10" t="str">
        <x:v>自然日区间调整的批准路径</x:v>
      </x:c>
      <x:c r="D20" s="10" t="str">
        <x:v>用专用币种对和已批准生效日期，走新增或结束旧区间+新增的本批正式路径；按财务确认流程后读取有效版本。</x:v>
      </x:c>
      <x:c r="E20" s="10" t="str">
        <x:v>已生效只读字段不被直接改写；区间、倍率及财务生效后命中版本正确，当前页面无普通删除不套删除。</x:v>
      </x:c>
      <x:c r="F20" s="10" t="str">
        <x:v>SM85</x:v>
      </x:c>
      <x:c r="G20" s="274" t="str">
        <x:v>待选择</x:v>
      </x:c>
      <x:c r="H20" s="274" t="str">
        <x:v>待确认</x:v>
      </x:c>
      <x:c r="I20" s="274" t="str">
        <x:v>未执行</x:v>
      </x:c>
      <x:c r="J20" s="274"/>
      <x:c r="K20" s="274"/>
      <x:c r="L20" s="274"/>
      <x:c r="M20" s="274"/>
      <x:c r="N20" s="10" t="str">
        <x:f>IF(G20="否","不适用",IF(G20&lt;&gt;"是","未纳入",IF(OR(H20&lt;&gt;"已确认",LEN(TRIM('本批提测'!$B$10))=0,'本批提测'!$H$116&lt;&gt;"已确认",'本批提测'!$H$117&lt;&gt;"已确认"),"规则待确认",IF(OR(LEN(TRIM('本批提测'!$B$7))=0,LEN(TRIM('本批提测'!$B$8))=0,LEN(TRIM('本批提测'!$B$9))=0,LEN(TRIM('本批提测'!$B$15))=0,LEN(TRIM('本批提测'!$B$16))=0),"执行信息待补",IF(OR(I20="未执行",I20=""),"未执行",IF(OR(J20&lt;&gt;'本批提测'!$B$8,K20&lt;&gt;'本批提测'!$B$10),"版本/基线已变，需复测",IF(AND(OR(I20="通过",I20="失败"),OR(LEN(TRIM(L20))=0,LEN(TRIM(M20))=0)),"缺少执行证据",IF(OR(I20="通过",I20="失败",I20="受阻",I20="依据待确认"),I20,"结果待填写"))))))))</x:f>
        <x:v>未纳入</x:v>
      </x:c>
      <x:c r="O20" s="274"/>
      <x:c r="P20" s="10" t="str">
        <x:v>DEC24、DEC25；仅交付汇率时选；方向/4位输入与8位展示/重叠端点/同币种等全矩阵归正式。</x:v>
      </x:c>
      <x:c r="Q20" s="10"/>
      <x:c r="R20" s="10"/>
    </x:row>
    <x:row r="21" ht="112.5" customHeight="1">
      <x:c r="A21" s="10" t="str">
        <x:v>DS15</x:v>
      </x:c>
      <x:c r="B21" s="10" t="str">
        <x:v>费用项</x:v>
      </x:c>
      <x:c r="C21" s="10" t="str">
        <x:v>合法维护与默认币种带出</x:v>
      </x:c>
      <x:c r="D21" s="10" t="str">
        <x:v>按批准分组/类型和币种映射维护一项专用费用项，按财务生效流程完成后新增价卡明细核默认币种。</x:v>
      </x:c>
      <x:c r="E21" s="10" t="str">
        <x:v>编码只读、合法字段可读回；当前有效默认币种正确带出，不跳过审批约定。</x:v>
      </x:c>
      <x:c r="F21" s="10" t="str">
        <x:v>SM84</x:v>
      </x:c>
      <x:c r="G21" s="274" t="str">
        <x:v>待选择</x:v>
      </x:c>
      <x:c r="H21" s="274" t="str">
        <x:v>待确认</x:v>
      </x:c>
      <x:c r="I21" s="274" t="str">
        <x:v>未执行</x:v>
      </x:c>
      <x:c r="J21" s="274"/>
      <x:c r="K21" s="274"/>
      <x:c r="L21" s="274"/>
      <x:c r="M21" s="274"/>
      <x:c r="N21" s="10" t="str">
        <x:f>IF(G21="否","不适用",IF(G21&lt;&gt;"是","未纳入",IF(OR(H21&lt;&gt;"已确认",LEN(TRIM('本批提测'!$B$10))=0,'本批提测'!$H$117&lt;&gt;"已确认",'本批提测'!$H$157&lt;&gt;"已确认"),"规则待确认",IF(OR(LEN(TRIM('本批提测'!$B$7))=0,LEN(TRIM('本批提测'!$B$8))=0,LEN(TRIM('本批提测'!$B$9))=0,LEN(TRIM('本批提测'!$B$15))=0,LEN(TRIM('本批提测'!$B$16))=0),"执行信息待补",IF(OR(I21="未执行",I21=""),"未执行",IF(OR(J21&lt;&gt;'本批提测'!$B$8,K21&lt;&gt;'本批提测'!$B$10),"版本/基线已变，需复测",IF(AND(OR(I21="通过",I21="失败"),OR(LEN(TRIM(L21))=0,LEN(TRIM(M21))=0)),"缺少执行证据",IF(OR(I21="通过",I21="失败",I21="受阻",I21="依据待确认"),I21,"结果待填写"))))))))</x:f>
        <x:v>未纳入</x:v>
      </x:c>
      <x:c r="O21" s="274"/>
      <x:c r="P21" s="10" t="str">
        <x:v>DEC25、DEC27；仅交付费用项及联动时选；空旧分组、非法码、长度/删除引用等归正式。</x:v>
      </x:c>
      <x:c r="Q21" s="10"/>
      <x:c r="R21" s="10"/>
    </x:row>
    <x:row r="22" ht="112.5" customHeight="1">
      <x:c r="A22" s="10" t="str">
        <x:v>DS16</x:v>
      </x:c>
      <x:c r="B22" s="10" t="str">
        <x:v>Zone范围</x:v>
      </x:c>
      <x:c r="C22" s="10" t="str">
        <x:v>一组合法范围读回及命中</x:v>
      </x:c>
      <x:c r="D22" s="10" t="str">
        <x:v>按已批准主记录/成员及地点邮编映射维护一组启用测试范围，在价卡/合法试算核一次显然命中。</x:v>
      </x:c>
      <x:c r="E22" s="10" t="str">
        <x:v>主记录/成员/实际命中一致，邮编来源按批准映射；不能仅看版本列或成员表就通过。</x:v>
      </x:c>
      <x:c r="F22" s="10" t="str">
        <x:v>SM43、SM72</x:v>
      </x:c>
      <x:c r="G22" s="274" t="str">
        <x:v>待选择</x:v>
      </x:c>
      <x:c r="H22" s="274" t="str">
        <x:v>待确认</x:v>
      </x:c>
      <x:c r="I22" s="274" t="str">
        <x:v>未执行</x:v>
      </x:c>
      <x:c r="J22" s="274"/>
      <x:c r="K22" s="274"/>
      <x:c r="L22" s="274"/>
      <x:c r="M22" s="274"/>
      <x:c r="N22" s="10" t="str">
        <x:f>IF(G22="否","不适用",IF(G22&lt;&gt;"是","未纳入",IF(OR(H22&lt;&gt;"已确认",LEN(TRIM('本批提测'!$B$10))=0,'本批提测'!$H$158&lt;&gt;"已确认",'本批提测'!$H$159&lt;&gt;"已确认"),"规则待确认",IF(OR(LEN(TRIM('本批提测'!$B$7))=0,LEN(TRIM('本批提测'!$B$8))=0,LEN(TRIM('本批提测'!$B$9))=0,LEN(TRIM('本批提测'!$B$15))=0,LEN(TRIM('本批提测'!$B$16))=0),"执行信息待补",IF(OR(I22="未执行",I22=""),"未执行",IF(OR(J22&lt;&gt;'本批提测'!$B$8,K22&lt;&gt;'本批提测'!$B$10),"版本/基线已变，需复测",IF(AND(OR(I22="通过",I22="失败"),OR(LEN(TRIM(L22))=0,LEN(TRIM(M22))=0)),"缺少执行证据",IF(OR(I22="通过",I22="失败",I22="受阻",I22="依据待确认"),I22,"结果待填写"))))))))</x:f>
        <x:v>未纳入</x:v>
      </x:c>
      <x:c r="O22" s="274"/>
      <x:c r="P22" s="10" t="str">
        <x:v>DEC28、DEC29；仅交付范围链路且入口已确认时选；前缀/区间端点/包含排除/版本历史全分支归正式。</x:v>
      </x:c>
      <x:c r="Q22" s="10"/>
      <x:c r="R22" s="10"/>
    </x:row>
  </x:sheetData>
  <x:mergeCells>
    <x:mergeCell ref="A2:P2"/>
    <x:mergeCell ref="A3:P3"/>
    <x:mergeCell ref="A5:P5"/>
  </x:mergeCells>
  <x:conditionalFormatting sqref="I7:I22">
    <x:cfRule type="containsText" dxfId="125" priority="1" operator="containsText" text="失败"/>
    <x:cfRule type="containsText" dxfId="126" priority="2" operator="containsText" text="待"/>
  </x:conditionalFormatting>
  <x:conditionalFormatting sqref="N7:N22">
    <x:cfRule type="containsText" dxfId="127" priority="3" operator="containsText" text="失败"/>
    <x:cfRule type="containsText" dxfId="128" priority="4" operator="containsText" text="待"/>
  </x:conditionalFormatting>
  <x:dataValidations count="4">
    <x:dataValidation type="list" sqref="G7:G22">
      <x:formula1>"待选择,是,否"</x:formula1>
    </x:dataValidation>
    <x:dataValidation type="list" sqref="H7:H22">
      <x:formula1>"待确认,已确认"</x:formula1>
    </x:dataValidation>
    <x:dataValidation type="list" sqref="I7:I22">
      <x:formula1>"未执行,通过,失败,受阻,依据待确认"</x:formula1>
    </x:dataValidation>
    <x:dataValidation type="list" sqref="Q9">
      <x:formula1>"国家,航空公司,货物类型,其他已确认普通字典"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4c074dc86e495f"/>
  </x:tableParts>
</x:worksheet>
</file>

<file path=xl/worksheets/sheet7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25" hidden="0" customWidth="1"/>
    <x:col min="2" max="2" width="27.5" hidden="0" customWidth="1"/>
    <x:col min="3" max="3" width="32.5" hidden="0" customWidth="1"/>
    <x:col min="4" max="4" width="24.3799991607666" hidden="0" customWidth="1"/>
    <x:col min="5" max="5" width="51.25" hidden="0" customWidth="1"/>
    <x:col min="6" max="6" width="70" hidden="0" customWidth="1"/>
    <x:col min="7" max="7" width="70" hidden="0" customWidth="1"/>
    <x:col min="8" max="8" width="15.630000114440918" hidden="0" customWidth="1"/>
    <x:col min="9" max="9" width="17.5" hidden="0" customWidth="1"/>
    <x:col min="10" max="10" width="52.5" hidden="0" customWidth="1"/>
    <x:col min="11" max="11" width="46.25" hidden="0" customWidth="1"/>
    <x:col min="12" max="12" width="23.75" hidden="0" customWidth="1"/>
    <x:col min="13" max="13" width="15" hidden="0" customWidth="1"/>
    <x:col min="14" max="14" width="19.3799991607666" hidden="0" customWidth="1"/>
    <x:col min="15" max="15" width="47.5" hidden="0" customWidth="1"/>
    <x:col min="16" max="16" width="15" hidden="0" customWidth="1"/>
    <x:col min="17" max="17" width="19.3799991607666" hidden="0" customWidth="1"/>
    <x:col min="18" max="18" width="52.5" hidden="0" customWidth="1"/>
    <x:col min="19" max="19" width="30" hidden="0" customWidth="1"/>
    <x:col min="20" max="20" width="26.25" hidden="0" customWidth="1"/>
    <x:col min="21" max="21" width="19.3799991607666" hidden="0" customWidth="1"/>
    <x:col min="25" max="25" width="32.5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</x:cols>
  <x:sheetData>
    <x:row r="2" ht="33" customHeight="1">
      <x:c r="A2" s="244" t="str">
        <x:v>UI走查：验证实际系统是否符合UI规范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</x:row>
    <x:row r="3" ht="48.75" customHeight="1">
      <x:c r="A3" s="10" t="str">
        <x:v>覆盖49条界面交互case（21条有效Review＋28条规范/公共基准补充）。在真实页面按动作与状态变化验证；已走查/已复查是过程记录，不等于原UI完整case通过。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4">
      <x:c r="A4" s="10" t="str">
        <x:v>适用走查</x:v>
      </x:c>
      <x:c r="B4" s="10" t="n">
        <x:f>COUNTIFS(H7:H55,"是")</x:f>
        <x:v>0</x:v>
      </x:c>
      <x:c r="C4" s="10"/>
      <x:c r="D4" s="10" t="str">
        <x:v>过程已记录</x:v>
      </x:c>
      <x:c r="E4" s="10" t="n">
        <x:f>COUNTIFS(S7:S55,"走查已记录")+COUNTIFS(S7:S55,"走查复查已记录")+COUNTIFS(S7:S55,"已走查，待补依据")+COUNTIFS(S7:S55,"已走查，待复查")</x:f>
        <x:v>0</x:v>
      </x:c>
      <x:c r="F4" s="10"/>
      <x:c r="G4" s="10" t="str">
        <x:v>正式测试通过</x:v>
      </x:c>
      <x:c r="H4" s="10" t="n">
        <x:f>COUNTIFS(T7:T55,"通过")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</x:row>
    <x:row r="5" ht="37.5" customHeight="1">
      <x:c r="A5" s="10" t="str">
        <x:v>黄色为输入。先在下方登记本批页面实例并完成裁剪，再确认U列范围；上方流程记录和正式测试结果仍独立。页面范围已覆盖可以包含失败或缺依据，正式通过要求所有适用页面通过。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 ht="45" customHeight="1">
      <x:c r="A6" s="246" t="str">
        <x:v>UI case</x:v>
      </x:c>
      <x:c r="B6" s="246" t="str">
        <x:v>页面/模块</x:v>
      </x:c>
      <x:c r="C6" s="246" t="str">
        <x:v>验证点</x:v>
      </x:c>
      <x:c r="D6" s="246" t="str">
        <x:v>适配层级</x:v>
      </x:c>
      <x:c r="E6" s="246" t="str">
        <x:v>当前走查策略</x:v>
      </x:c>
      <x:c r="F6" s="246" t="str">
        <x:v>实际系统操作</x:v>
      </x:c>
      <x:c r="G6" s="246" t="str">
        <x:v>批准预期/裁剪边界</x:v>
      </x:c>
      <x:c r="H6" s="246" t="str">
        <x:v>本批走查适用</x:v>
      </x:c>
      <x:c r="I6" s="246" t="str">
        <x:v>走查状态</x:v>
      </x:c>
      <x:c r="J6" s="246" t="str">
        <x:v>页面与走查证据</x:v>
      </x:c>
      <x:c r="K6" s="246" t="str">
        <x:v>缺依据/实际问题</x:v>
      </x:c>
      <x:c r="L6" s="246" t="str">
        <x:v>主修改清单ID</x:v>
      </x:c>
      <x:c r="M6" s="246" t="str">
        <x:v>走查人</x:v>
      </x:c>
      <x:c r="N6" s="246" t="str">
        <x:v>走查Build</x:v>
      </x:c>
      <x:c r="O6" s="246" t="str">
        <x:v>本轮采用依据版本</x:v>
      </x:c>
      <x:c r="P6" s="246" t="str">
        <x:v>复查人</x:v>
      </x:c>
      <x:c r="Q6" s="246" t="str">
        <x:v>复查Build</x:v>
      </x:c>
      <x:c r="R6" s="246" t="str">
        <x:v>复查证据</x:v>
      </x:c>
      <x:c r="S6" s="246" t="str">
        <x:v>本轮流程记录</x:v>
      </x:c>
      <x:c r="T6" s="246" t="str">
        <x:v>正式测试有效结果</x:v>
      </x:c>
      <x:c r="U6" s="281" t="str">
        <x:v>页面范围核定</x:v>
      </x:c>
      <x:c r="V6" s="281" t="str">
        <x:v>适用页面实例</x:v>
      </x:c>
      <x:c r="W6" s="281" t="str">
        <x:v>已有有效记录</x:v>
      </x:c>
      <x:c r="X6" s="281" t="str">
        <x:v>页面实例通过</x:v>
      </x:c>
      <x:c r="Y6" s="281" t="str">
        <x:v>页面覆盖状态</x:v>
      </x:c>
    </x:row>
    <x:row r="7" ht="112.5" customHeight="1">
      <x:c r="A7" s="275" t="str">
        <x:v>UI01</x:v>
      </x:c>
      <x:c r="B7" s="275" t="str">
        <x:f>'UI检查'!B6</x:f>
        <x:v>基础配置</x:v>
      </x:c>
      <x:c r="C7" s="275" t="str">
        <x:f>'UI检查'!C6</x:f>
        <x:v>分类层级与新增入口</x:v>
      </x:c>
      <x:c r="D7" s="275" t="str">
        <x:f>'UI检查'!R6</x:f>
        <x:v>无法覆盖</x:v>
      </x:c>
      <x:c r="E7" s="10" t="str">
        <x:v>专项稿已设计完毕：确认本批采用版本后对照实际系统；源状态不等于开发完成或测试通过。</x:v>
      </x:c>
      <x:c r="F7" s="10" t="str">
        <x:f>'UI检查'!J6</x:f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G7" s="10" t="str">
        <x:f>'UI检查'!K6</x:f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H7" s="274" t="str">
        <x:v>待选择</x:v>
      </x:c>
      <x:c r="I7" s="274" t="str">
        <x:v>未走查</x:v>
      </x:c>
      <x:c r="J7" s="274"/>
      <x:c r="K7" s="274"/>
      <x:c r="L7" s="274"/>
      <x:c r="M7" s="274"/>
      <x:c r="N7" s="274"/>
      <x:c r="O7" s="274"/>
      <x:c r="P7" s="274"/>
      <x:c r="Q7" s="274"/>
      <x:c r="R7" s="274"/>
      <x:c r="S7" s="10" t="str">
        <x:f>IF(AND(H7="是",OR(I7="已走查",I7="待复查",I7="已复查")),IF(OR(Y7="页面覆盖已通过",Y7="已覆盖，仍有失败/受阻/缺依据"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,Y7)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)</x:f>
        <x:v>未纳入</x:v>
      </x:c>
      <x:c r="T7" s="10" t="str">
        <x:f>'UI检查'!I6</x:f>
        <x:v>未纳入本批</x:v>
      </x:c>
      <x:c r="U7" s="283" t="str">
        <x:v>待确认</x:v>
      </x:c>
      <x:c r="V7" s="282" t="n">
        <x:f>COUNTIFS($B$62:$B$1055,A7,$E$62:$E$1055,"是")</x:f>
        <x:v>0</x:v>
      </x:c>
      <x:c r="W7" s="282" t="n">
        <x:f>COUNTIFS($B$62:$B$1055,A7,$E$62:$E$1055,"是",$O$62:$O$1055,"通过")+COUNTIFS($B$62:$B$1055,A7,$E$62:$E$1055,"是",$O$62:$O$1055,"失败已记录")+COUNTIFS($B$62:$B$1055,A7,$E$62:$E$1055,"是",$O$62:$O$1055,"受阻已记录")+COUNTIFS($B$62:$B$1055,A7,$E$62:$E$1055,"是",$O$62:$O$1055,"缺依据已记录")</x:f>
        <x:v>0</x:v>
      </x:c>
      <x:c r="X7" s="282" t="n">
        <x:f>COUNTIFS($B$62:$B$1055,A7,$E$62:$E$1055,"是",$O$62:$O$1055,"通过")</x:f>
        <x:v>0</x:v>
      </x:c>
      <x:c r="Y7" s="10" t="str">
        <x:f>IF(U7&lt;&gt;"已确认","页面范围待核定",IF((COUNTIFS($B$62:$B$1055,A7)-COUNTIFS($B$62:$B$1055,A7,$E$62:$E$1055,"是")-COUNTIFS($B$62:$B$1055,A7,$E$62:$E$1055,"否"))&gt;0,"页面适用范围未选齐",IF((COUNTIFS($B$62:$B$1055,A7,$E$62:$E$1055,"否")-COUNTIFS($B$62:$B$1055,A7,$E$62:$E$1055,"否",$O$62:$O$1055,"不适用"))&gt;0,"不适用依据未齐",IF(V7=0,"适用页面未登记",IF(W7&lt;V7,"页面走查未覆盖",IF(X7&lt;V7,"已覆盖，仍有失败/受阻/缺依据","页面覆盖已通过"))))))</x:f>
        <x:v>页面范围待核定</x:v>
      </x:c>
    </x:row>
    <x:row r="8" ht="112.5" customHeight="1">
      <x:c r="A8" s="275" t="str">
        <x:v>UI02</x:v>
      </x:c>
      <x:c r="B8" s="275" t="str">
        <x:f>'UI检查'!B7</x:f>
        <x:v>左侧菜单</x:v>
      </x:c>
      <x:c r="C8" s="275" t="str">
        <x:f>'UI检查'!C7</x:f>
        <x:v>跨分类与手动展开</x:v>
      </x:c>
      <x:c r="D8" s="275" t="str">
        <x:f>'UI检查'!R7</x:f>
        <x:v>无法覆盖</x:v>
      </x:c>
      <x:c r="E8" s="10" t="str">
        <x:v>专项稿已设计完毕：确认本批采用版本后对照实际系统；源状态不等于开发完成或测试通过。</x:v>
      </x:c>
      <x:c r="F8" s="10" t="str">
        <x:f>'UI检查'!J7</x:f>
        <x:v>前置：确认DEC02专项稿；至少2个一级分类含子菜单。
1.跨一级分类选择子菜单。
2.手动连续展开多个一级分类再收起非当前分类。
3.核对当前子菜单及其父分类。</x:v>
      </x:c>
      <x:c r="G8" s="10" t="str">
        <x:f>'UI检查'!K7</x:f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H8" s="274" t="str">
        <x:v>待选择</x:v>
      </x:c>
      <x:c r="I8" s="274" t="str">
        <x:v>未走查</x:v>
      </x:c>
      <x:c r="J8" s="274"/>
      <x:c r="K8" s="274"/>
      <x:c r="L8" s="274"/>
      <x:c r="M8" s="274"/>
      <x:c r="N8" s="274"/>
      <x:c r="O8" s="274"/>
      <x:c r="P8" s="274"/>
      <x:c r="Q8" s="274"/>
      <x:c r="R8" s="274"/>
      <x:c r="S8" s="10" t="str">
        <x:f>IF(AND(H8="是",OR(I8="已走查",I8="待复查",I8="已复查")),IF(OR(Y8="页面覆盖已通过",Y8="已覆盖，仍有失败/受阻/缺依据"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,Y8)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)</x:f>
        <x:v>未纳入</x:v>
      </x:c>
      <x:c r="T8" s="10" t="str">
        <x:f>'UI检查'!I7</x:f>
        <x:v>未纳入本批</x:v>
      </x:c>
      <x:c r="U8" s="283" t="str">
        <x:v>待确认</x:v>
      </x:c>
      <x:c r="V8" s="282" t="n">
        <x:f>COUNTIFS($B$62:$B$1055,A8,$E$62:$E$1055,"是")</x:f>
        <x:v>0</x:v>
      </x:c>
      <x:c r="W8" s="282" t="n">
        <x:f>COUNTIFS($B$62:$B$1055,A8,$E$62:$E$1055,"是",$O$62:$O$1055,"通过")+COUNTIFS($B$62:$B$1055,A8,$E$62:$E$1055,"是",$O$62:$O$1055,"失败已记录")+COUNTIFS($B$62:$B$1055,A8,$E$62:$E$1055,"是",$O$62:$O$1055,"受阻已记录")+COUNTIFS($B$62:$B$1055,A8,$E$62:$E$1055,"是",$O$62:$O$1055,"缺依据已记录")</x:f>
        <x:v>0</x:v>
      </x:c>
      <x:c r="X8" s="282" t="n">
        <x:f>COUNTIFS($B$62:$B$1055,A8,$E$62:$E$1055,"是",$O$62:$O$1055,"通过")</x:f>
        <x:v>0</x:v>
      </x:c>
      <x:c r="Y8" s="10" t="str">
        <x:f>IF(U8&lt;&gt;"已确认","页面范围待核定",IF((COUNTIFS($B$62:$B$1055,A8)-COUNTIFS($B$62:$B$1055,A8,$E$62:$E$1055,"是")-COUNTIFS($B$62:$B$1055,A8,$E$62:$E$1055,"否"))&gt;0,"页面适用范围未选齐",IF((COUNTIFS($B$62:$B$1055,A8,$E$62:$E$1055,"否")-COUNTIFS($B$62:$B$1055,A8,$E$62:$E$1055,"否",$O$62:$O$1055,"不适用"))&gt;0,"不适用依据未齐",IF(V8=0,"适用页面未登记",IF(W8&lt;V8,"页面走查未覆盖",IF(X8&lt;V8,"已覆盖，仍有失败/受阻/缺依据","页面覆盖已通过"))))))</x:f>
        <x:v>页面范围待核定</x:v>
      </x:c>
    </x:row>
    <x:row r="9" ht="112.5" customHeight="1">
      <x:c r="A9" s="276" t="str">
        <x:v>UI03</x:v>
      </x:c>
      <x:c r="B9" s="276" t="str">
        <x:f>'UI检查'!B8</x:f>
        <x:v>服务单元</x:v>
      </x:c>
      <x:c r="C9" s="276" t="str">
        <x:f>'UI检查'!C8</x:f>
        <x:v>下单规则选择反馈</x:v>
      </x:c>
      <x:c r="D9" s="276" t="str">
        <x:f>'UI检查'!R8</x:f>
        <x:v>组合复用</x:v>
      </x:c>
      <x:c r="E9" s="10" t="str">
        <x:v>核组合页面与选择/返回/状态联动；新增静态图仅为区域参考，跨页/保存/数量口径按批准方案。</x:v>
      </x:c>
      <x:c r="F9" s="10" t="str">
        <x:f>'UI检查'!J8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G9" s="10" t="str">
        <x:f>'UI检查'!K8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H9" s="274" t="str">
        <x:v>待选择</x:v>
      </x:c>
      <x:c r="I9" s="274" t="str">
        <x:v>未走查</x:v>
      </x:c>
      <x:c r="J9" s="274"/>
      <x:c r="K9" s="274"/>
      <x:c r="L9" s="274"/>
      <x:c r="M9" s="274"/>
      <x:c r="N9" s="274"/>
      <x:c r="O9" s="274"/>
      <x:c r="P9" s="274"/>
      <x:c r="Q9" s="274"/>
      <x:c r="R9" s="274"/>
      <x:c r="S9" s="10" t="str">
        <x:f>IF(AND(H9="是",OR(I9="已走查",I9="待复查",I9="已复查")),IF(OR(Y9="页面覆盖已通过",Y9="已覆盖，仍有失败/受阻/缺依据"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,Y9)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)</x:f>
        <x:v>未纳入</x:v>
      </x:c>
      <x:c r="T9" s="10" t="str">
        <x:f>'UI检查'!I8</x:f>
        <x:v>未纳入本批</x:v>
      </x:c>
      <x:c r="U9" s="283" t="str">
        <x:v>待确认</x:v>
      </x:c>
      <x:c r="V9" s="282" t="n">
        <x:f>COUNTIFS($B$62:$B$1055,A9,$E$62:$E$1055,"是")</x:f>
        <x:v>0</x:v>
      </x:c>
      <x:c r="W9" s="282" t="n">
        <x:f>COUNTIFS($B$62:$B$1055,A9,$E$62:$E$1055,"是",$O$62:$O$1055,"通过")+COUNTIFS($B$62:$B$1055,A9,$E$62:$E$1055,"是",$O$62:$O$1055,"失败已记录")+COUNTIFS($B$62:$B$1055,A9,$E$62:$E$1055,"是",$O$62:$O$1055,"受阻已记录")+COUNTIFS($B$62:$B$1055,A9,$E$62:$E$1055,"是",$O$62:$O$1055,"缺依据已记录")</x:f>
        <x:v>0</x:v>
      </x:c>
      <x:c r="X9" s="282" t="n">
        <x:f>COUNTIFS($B$62:$B$1055,A9,$E$62:$E$1055,"是",$O$62:$O$1055,"通过")</x:f>
        <x:v>0</x:v>
      </x:c>
      <x:c r="Y9" s="10" t="str">
        <x:f>IF(U9&lt;&gt;"已确认","页面范围待核定",IF((COUNTIFS($B$62:$B$1055,A9)-COUNTIFS($B$62:$B$1055,A9,$E$62:$E$1055,"是")-COUNTIFS($B$62:$B$1055,A9,$E$62:$E$1055,"否"))&gt;0,"页面适用范围未选齐",IF((COUNTIFS($B$62:$B$1055,A9,$E$62:$E$1055,"否")-COUNTIFS($B$62:$B$1055,A9,$E$62:$E$1055,"否",$O$62:$O$1055,"不适用"))&gt;0,"不适用依据未齐",IF(V9=0,"适用页面未登记",IF(W9&lt;V9,"页面走查未覆盖",IF(X9&lt;V9,"已覆盖，仍有失败/受阻/缺依据","页面覆盖已通过"))))))</x:f>
        <x:v>页面范围待核定</x:v>
      </x:c>
    </x:row>
    <x:row r="10" ht="112.5" customHeight="1">
      <x:c r="A10" s="277" t="str">
        <x:v>UI04</x:v>
      </x:c>
      <x:c r="B10" s="277" t="str">
        <x:f>'UI检查'!B9</x:f>
        <x:v>服务单元</x:v>
      </x:c>
      <x:c r="C10" s="277" t="str">
        <x:f>'UI检查'!C9</x:f>
        <x:v>禁用编排风险提示</x:v>
      </x:c>
      <x:c r="D10" s="277" t="str">
        <x:f>'UI检查'!R9</x:f>
        <x:v>调整后复用</x:v>
      </x:c>
      <x:c r="E10" s="10" t="str">
        <x:v>并行核Warning/局部语义调整及原交互回归，业务影响按实际数据验证。</x:v>
      </x:c>
      <x:c r="F10" s="10" t="str">
        <x:f>'UI检查'!J9</x:f>
        <x:v>1.在服务单元列表触发禁用编排确认。
2.核对图标类型及语义色与本批风险组件。
3.取消确认并检查页面；实际禁用的状态结果复用SM22证据。</x:v>
      </x:c>
      <x:c r="G10" s="10" t="str">
        <x:f>'UI检查'!K9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H10" s="274" t="str">
        <x:v>待选择</x:v>
      </x:c>
      <x:c r="I10" s="274" t="str">
        <x:v>未走查</x:v>
      </x:c>
      <x:c r="J10" s="274"/>
      <x:c r="K10" s="274"/>
      <x:c r="L10" s="274"/>
      <x:c r="M10" s="274"/>
      <x:c r="N10" s="274"/>
      <x:c r="O10" s="274"/>
      <x:c r="P10" s="274"/>
      <x:c r="Q10" s="274"/>
      <x:c r="R10" s="274"/>
      <x:c r="S10" s="10" t="str">
        <x:f>IF(AND(H10="是",OR(I10="已走查",I10="待复查",I10="已复查")),IF(OR(Y10="页面覆盖已通过",Y10="已覆盖，仍有失败/受阻/缺依据"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,Y10)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)</x:f>
        <x:v>未纳入</x:v>
      </x:c>
      <x:c r="T10" s="10" t="str">
        <x:f>'UI检查'!I9</x:f>
        <x:v>未纳入本批</x:v>
      </x:c>
      <x:c r="U10" s="283" t="str">
        <x:v>待确认</x:v>
      </x:c>
      <x:c r="V10" s="282" t="n">
        <x:f>COUNTIFS($B$62:$B$1055,A10,$E$62:$E$1055,"是")</x:f>
        <x:v>0</x:v>
      </x:c>
      <x:c r="W10" s="282" t="n">
        <x:f>COUNTIFS($B$62:$B$1055,A10,$E$62:$E$1055,"是",$O$62:$O$1055,"通过")+COUNTIFS($B$62:$B$1055,A10,$E$62:$E$1055,"是",$O$62:$O$1055,"失败已记录")+COUNTIFS($B$62:$B$1055,A10,$E$62:$E$1055,"是",$O$62:$O$1055,"受阻已记录")+COUNTIFS($B$62:$B$1055,A10,$E$62:$E$1055,"是",$O$62:$O$1055,"缺依据已记录")</x:f>
        <x:v>0</x:v>
      </x:c>
      <x:c r="X10" s="282" t="n">
        <x:f>COUNTIFS($B$62:$B$1055,A10,$E$62:$E$1055,"是",$O$62:$O$1055,"通过")</x:f>
        <x:v>0</x:v>
      </x:c>
      <x:c r="Y10" s="10" t="str">
        <x:f>IF(U10&lt;&gt;"已确认","页面范围待核定",IF((COUNTIFS($B$62:$B$1055,A10)-COUNTIFS($B$62:$B$1055,A10,$E$62:$E$1055,"是")-COUNTIFS($B$62:$B$1055,A10,$E$62:$E$1055,"否"))&gt;0,"页面适用范围未选齐",IF((COUNTIFS($B$62:$B$1055,A10,$E$62:$E$1055,"否")-COUNTIFS($B$62:$B$1055,A10,$E$62:$E$1055,"否",$O$62:$O$1055,"不适用"))&gt;0,"不适用依据未齐",IF(V10=0,"适用页面未登记",IF(W10&lt;V10,"页面走查未覆盖",IF(X10&lt;V10,"已覆盖，仍有失败/受阻/缺依据","页面覆盖已通过"))))))</x:f>
        <x:v>页面范围待核定</x:v>
      </x:c>
    </x:row>
    <x:row r="11" ht="112.5" customHeight="1">
      <x:c r="A11" s="278" t="str">
        <x:v>UI05</x:v>
      </x:c>
      <x:c r="B11" s="278" t="str">
        <x:f>'UI检查'!B10</x:f>
        <x:v>全局</x:v>
      </x:c>
      <x:c r="C11" s="278" t="str">
        <x:f>'UI检查'!C10</x:f>
        <x:v>原型说明文案清理</x:v>
      </x:c>
      <x:c r="D11" s="278" t="str">
        <x:f>'UI检查'!R10</x:f>
        <x:v>业务交互、信息待明确</x:v>
      </x:c>
      <x:c r="E11" s="10" t="str">
        <x:v>产品先明确文案/交互边界；实际页面可先盘点必要提示与多余说明，缺口登记后再按批准清单验收。</x:v>
      </x:c>
      <x:c r="F11" s="10" t="str">
        <x:f>'UI检查'!J10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G11" s="10" t="str">
        <x:f>'UI检查'!K10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H11" s="274" t="str">
        <x:v>待选择</x:v>
      </x:c>
      <x:c r="I11" s="274" t="str">
        <x:v>未走查</x:v>
      </x:c>
      <x:c r="J11" s="274"/>
      <x:c r="K11" s="274"/>
      <x:c r="L11" s="274"/>
      <x:c r="M11" s="274"/>
      <x:c r="N11" s="274"/>
      <x:c r="O11" s="274"/>
      <x:c r="P11" s="274"/>
      <x:c r="Q11" s="274"/>
      <x:c r="R11" s="274"/>
      <x:c r="S11" s="10" t="str">
        <x:f>IF(AND(H11="是",OR(I11="已走查",I11="待复查",I11="已复查")),IF(OR(Y11="页面覆盖已通过",Y11="已覆盖，仍有失败/受阻/缺依据"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,Y11)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)</x:f>
        <x:v>未纳入</x:v>
      </x:c>
      <x:c r="T11" s="10" t="str">
        <x:f>'UI检查'!I10</x:f>
        <x:v>未纳入本批</x:v>
      </x:c>
      <x:c r="U11" s="283" t="str">
        <x:v>待确认</x:v>
      </x:c>
      <x:c r="V11" s="282" t="n">
        <x:f>COUNTIFS($B$62:$B$1055,A11,$E$62:$E$1055,"是")</x:f>
        <x:v>0</x:v>
      </x:c>
      <x:c r="W11" s="282" t="n">
        <x:f>COUNTIFS($B$62:$B$1055,A11,$E$62:$E$1055,"是",$O$62:$O$1055,"通过")+COUNTIFS($B$62:$B$1055,A11,$E$62:$E$1055,"是",$O$62:$O$1055,"失败已记录")+COUNTIFS($B$62:$B$1055,A11,$E$62:$E$1055,"是",$O$62:$O$1055,"受阻已记录")+COUNTIFS($B$62:$B$1055,A11,$E$62:$E$1055,"是",$O$62:$O$1055,"缺依据已记录")</x:f>
        <x:v>0</x:v>
      </x:c>
      <x:c r="X11" s="282" t="n">
        <x:f>COUNTIFS($B$62:$B$1055,A11,$E$62:$E$1055,"是",$O$62:$O$1055,"通过")</x:f>
        <x:v>0</x:v>
      </x:c>
      <x:c r="Y11" s="10" t="str">
        <x:f>IF(U11&lt;&gt;"已确认","页面范围待核定",IF((COUNTIFS($B$62:$B$1055,A11)-COUNTIFS($B$62:$B$1055,A11,$E$62:$E$1055,"是")-COUNTIFS($B$62:$B$1055,A11,$E$62:$E$1055,"否"))&gt;0,"页面适用范围未选齐",IF((COUNTIFS($B$62:$B$1055,A11,$E$62:$E$1055,"否")-COUNTIFS($B$62:$B$1055,A11,$E$62:$E$1055,"否",$O$62:$O$1055,"不适用"))&gt;0,"不适用依据未齐",IF(V11=0,"适用页面未登记",IF(W11&lt;V11,"页面走查未覆盖",IF(X11&lt;V11,"已覆盖，仍有失败/受阻/缺依据","页面覆盖已通过"))))))</x:f>
        <x:v>页面范围待核定</x:v>
      </x:c>
    </x:row>
    <x:row r="12" ht="112.5" customHeight="1">
      <x:c r="A12" s="279" t="str">
        <x:v>UI06</x:v>
      </x:c>
      <x:c r="B12" s="279" t="str">
        <x:f>'UI检查'!B11</x:f>
        <x:v>左侧菜单</x:v>
      </x:c>
      <x:c r="C12" s="279" t="str">
        <x:f>'UI检查'!C11</x:f>
        <x:v>菜单视觉与图标</x:v>
      </x:c>
      <x:c r="D12" s="279" t="str">
        <x:f>'UI检查'!R11</x:f>
        <x:v>直接复用</x:v>
      </x:c>
      <x:c r="E12" s="10" t="str">
        <x:v>先行核通用框架组件、页面状态与实际交互；有既有批准规范即可查，不要求另出专项稿。</x:v>
      </x:c>
      <x:c r="F12" s="10" t="str">
        <x:f>'UI检查'!J11</x:f>
        <x:v>1.对照本批通用框架检查一级菜单及各级子菜单。
2.逐项核对缩进、字号、字重、选中态尺寸、展开箭头和菜单间距。
3.检查一级菜单左侧图标及选中／展开状态。</x:v>
      </x:c>
      <x:c r="G12" s="10" t="str">
        <x:f>'UI检查'!K11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H12" s="274" t="str">
        <x:v>待选择</x:v>
      </x:c>
      <x:c r="I12" s="274" t="str">
        <x:v>未走查</x:v>
      </x:c>
      <x:c r="J12" s="274"/>
      <x:c r="K12" s="274"/>
      <x:c r="L12" s="274"/>
      <x:c r="M12" s="274"/>
      <x:c r="N12" s="274"/>
      <x:c r="O12" s="274"/>
      <x:c r="P12" s="274"/>
      <x:c r="Q12" s="274"/>
      <x:c r="R12" s="274"/>
      <x:c r="S12" s="10" t="str">
        <x:f>IF(AND(H12="是",OR(I12="已走查",I12="待复查",I12="已复查")),IF(OR(Y12="页面覆盖已通过",Y12="已覆盖，仍有失败/受阻/缺依据"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,Y12)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)</x:f>
        <x:v>未纳入</x:v>
      </x:c>
      <x:c r="T12" s="10" t="str">
        <x:f>'UI检查'!I11</x:f>
        <x:v>未纳入本批</x:v>
      </x:c>
      <x:c r="U12" s="283" t="str">
        <x:v>待确认</x:v>
      </x:c>
      <x:c r="V12" s="282" t="n">
        <x:f>COUNTIFS($B$62:$B$1055,A12,$E$62:$E$1055,"是")</x:f>
        <x:v>0</x:v>
      </x:c>
      <x:c r="W12" s="282" t="n">
        <x:f>COUNTIFS($B$62:$B$1055,A12,$E$62:$E$1055,"是",$O$62:$O$1055,"通过")+COUNTIFS($B$62:$B$1055,A12,$E$62:$E$1055,"是",$O$62:$O$1055,"失败已记录")+COUNTIFS($B$62:$B$1055,A12,$E$62:$E$1055,"是",$O$62:$O$1055,"受阻已记录")+COUNTIFS($B$62:$B$1055,A12,$E$62:$E$1055,"是",$O$62:$O$1055,"缺依据已记录")</x:f>
        <x:v>0</x:v>
      </x:c>
      <x:c r="X12" s="282" t="n">
        <x:f>COUNTIFS($B$62:$B$1055,A12,$E$62:$E$1055,"是",$O$62:$O$1055,"通过")</x:f>
        <x:v>0</x:v>
      </x:c>
      <x:c r="Y12" s="10" t="str">
        <x:f>IF(U12&lt;&gt;"已确认","页面范围待核定",IF((COUNTIFS($B$62:$B$1055,A12)-COUNTIFS($B$62:$B$1055,A12,$E$62:$E$1055,"是")-COUNTIFS($B$62:$B$1055,A12,$E$62:$E$1055,"否"))&gt;0,"页面适用范围未选齐",IF((COUNTIFS($B$62:$B$1055,A12,$E$62:$E$1055,"否")-COUNTIFS($B$62:$B$1055,A12,$E$62:$E$1055,"否",$O$62:$O$1055,"不适用"))&gt;0,"不适用依据未齐",IF(V12=0,"适用页面未登记",IF(W12&lt;V12,"页面走查未覆盖",IF(X12&lt;V12,"已覆盖，仍有失败/受阻/缺依据","页面覆盖已通过"))))))</x:f>
        <x:v>页面范围待核定</x:v>
      </x:c>
    </x:row>
    <x:row r="13" ht="112.5" customHeight="1">
      <x:c r="A13" s="279" t="str">
        <x:v>UI07</x:v>
      </x:c>
      <x:c r="B13" s="279" t="str">
        <x:f>'UI检查'!B12</x:f>
        <x:v>顶部导航</x:v>
      </x:c>
      <x:c r="C13" s="279" t="str">
        <x:f>'UI检查'!C12</x:f>
        <x:v>导航结构与无功能入口</x:v>
      </x:c>
      <x:c r="D13" s="279" t="str">
        <x:f>'UI检查'!R12</x:f>
        <x:v>直接复用</x:v>
      </x:c>
      <x:c r="E13" s="10" t="str">
        <x:v>先行核通用框架组件、页面状态与实际交互；有既有批准规范即可查，不要求另出专项稿。</x:v>
      </x:c>
      <x:c r="F13" s="10" t="str">
        <x:f>'UI检查'!J12</x:f>
        <x:v>1.对照框架检查顶部导航与页面内容页头。
2.核对多余页面标题是否按本批方案移除。
3.检查搜索、消息等入口的实际功能及本批隐藏清单。</x:v>
      </x:c>
      <x:c r="G13" s="10" t="str">
        <x:f>'UI检查'!K12</x:f>
        <x:v>顶部导航复用通用框架；多余标题按采用方案处理。搜索、消息等尚无功能的板块可按批准方案暂时隐藏；有已交付功能的入口应保留可用，不能据该建议一律隐藏。</x:v>
      </x:c>
      <x:c r="H13" s="274" t="str">
        <x:v>待选择</x:v>
      </x:c>
      <x:c r="I13" s="274" t="str">
        <x:v>未走查</x:v>
      </x:c>
      <x:c r="J13" s="274"/>
      <x:c r="K13" s="274"/>
      <x:c r="L13" s="274"/>
      <x:c r="M13" s="274"/>
      <x:c r="N13" s="274"/>
      <x:c r="O13" s="274"/>
      <x:c r="P13" s="274"/>
      <x:c r="Q13" s="274"/>
      <x:c r="R13" s="274"/>
      <x:c r="S13" s="10" t="str">
        <x:f>IF(AND(H13="是",OR(I13="已走查",I13="待复查",I13="已复查")),IF(OR(Y13="页面覆盖已通过",Y13="已覆盖，仍有失败/受阻/缺依据"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,Y13)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)</x:f>
        <x:v>未纳入</x:v>
      </x:c>
      <x:c r="T13" s="10" t="str">
        <x:f>'UI检查'!I12</x:f>
        <x:v>未纳入本批</x:v>
      </x:c>
      <x:c r="U13" s="283" t="str">
        <x:v>待确认</x:v>
      </x:c>
      <x:c r="V13" s="282" t="n">
        <x:f>COUNTIFS($B$62:$B$1055,A13,$E$62:$E$1055,"是")</x:f>
        <x:v>0</x:v>
      </x:c>
      <x:c r="W13" s="282" t="n">
        <x:f>COUNTIFS($B$62:$B$1055,A13,$E$62:$E$1055,"是",$O$62:$O$1055,"通过")+COUNTIFS($B$62:$B$1055,A13,$E$62:$E$1055,"是",$O$62:$O$1055,"失败已记录")+COUNTIFS($B$62:$B$1055,A13,$E$62:$E$1055,"是",$O$62:$O$1055,"受阻已记录")+COUNTIFS($B$62:$B$1055,A13,$E$62:$E$1055,"是",$O$62:$O$1055,"缺依据已记录")</x:f>
        <x:v>0</x:v>
      </x:c>
      <x:c r="X13" s="282" t="n">
        <x:f>COUNTIFS($B$62:$B$1055,A13,$E$62:$E$1055,"是",$O$62:$O$1055,"通过")</x:f>
        <x:v>0</x:v>
      </x:c>
      <x:c r="Y13" s="10" t="str">
        <x:f>IF(U13&lt;&gt;"已确认","页面范围待核定",IF((COUNTIFS($B$62:$B$1055,A13)-COUNTIFS($B$62:$B$1055,A13,$E$62:$E$1055,"是")-COUNTIFS($B$62:$B$1055,A13,$E$62:$E$1055,"否"))&gt;0,"页面适用范围未选齐",IF((COUNTIFS($B$62:$B$1055,A13,$E$62:$E$1055,"否")-COUNTIFS($B$62:$B$1055,A13,$E$62:$E$1055,"否",$O$62:$O$1055,"不适用"))&gt;0,"不适用依据未齐",IF(V13=0,"适用页面未登记",IF(W13&lt;V13,"页面走查未覆盖",IF(X13&lt;V13,"已覆盖，仍有失败/受阻/缺依据","页面覆盖已通过"))))))</x:f>
        <x:v>页面范围待核定</x:v>
      </x:c>
    </x:row>
    <x:row r="14" ht="112.5" customHeight="1">
      <x:c r="A14" s="279" t="str">
        <x:v>UI08</x:v>
      </x:c>
      <x:c r="B14" s="279" t="str">
        <x:f>'UI检查'!B13</x:f>
        <x:v>所有页头栏</x:v>
      </x:c>
      <x:c r="C14" s="279" t="str">
        <x:f>'UI检查'!C13</x:f>
        <x:v>面包屑与操作对齐</x:v>
      </x:c>
      <x:c r="D14" s="279" t="str">
        <x:f>'UI检查'!R13</x:f>
        <x:v>直接复用</x:v>
      </x:c>
      <x:c r="E14" s="10" t="str">
        <x:v>先行核通用框架组件、页面状态与实际交互；有既有批准规范即可查，不要求另出专项稿。</x:v>
      </x:c>
      <x:c r="F14" s="10" t="str">
        <x:f>'UI检查'!J13</x:f>
        <x:v>1.检查面包屑落位与页面标题、按钮对齐。
2.对照产品文案稿核对副标题是否必要；保留时核对带副标题页头规范。
3.核对说明中的「」是否按已采纳文案建议调整。</x:v>
      </x:c>
      <x:c r="G14" s="10" t="str">
        <x:f>'UI检查'!K13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H14" s="274" t="str">
        <x:v>待选择</x:v>
      </x:c>
      <x:c r="I14" s="274" t="str">
        <x:v>未走查</x:v>
      </x:c>
      <x:c r="J14" s="274"/>
      <x:c r="K14" s="274"/>
      <x:c r="L14" s="274"/>
      <x:c r="M14" s="274"/>
      <x:c r="N14" s="274"/>
      <x:c r="O14" s="274"/>
      <x:c r="P14" s="274"/>
      <x:c r="Q14" s="274"/>
      <x:c r="R14" s="274"/>
      <x:c r="S14" s="10" t="str">
        <x:f>IF(AND(H14="是",OR(I14="已走查",I14="待复查",I14="已复查")),IF(OR(Y14="页面覆盖已通过",Y14="已覆盖，仍有失败/受阻/缺依据"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,Y14)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)</x:f>
        <x:v>未纳入</x:v>
      </x:c>
      <x:c r="T14" s="10" t="str">
        <x:f>'UI检查'!I13</x:f>
        <x:v>未纳入本批</x:v>
      </x:c>
      <x:c r="U14" s="283" t="str">
        <x:v>待确认</x:v>
      </x:c>
      <x:c r="V14" s="282" t="n">
        <x:f>COUNTIFS($B$62:$B$1055,A14,$E$62:$E$1055,"是")</x:f>
        <x:v>0</x:v>
      </x:c>
      <x:c r="W14" s="282" t="n">
        <x:f>COUNTIFS($B$62:$B$1055,A14,$E$62:$E$1055,"是",$O$62:$O$1055,"通过")+COUNTIFS($B$62:$B$1055,A14,$E$62:$E$1055,"是",$O$62:$O$1055,"失败已记录")+COUNTIFS($B$62:$B$1055,A14,$E$62:$E$1055,"是",$O$62:$O$1055,"受阻已记录")+COUNTIFS($B$62:$B$1055,A14,$E$62:$E$1055,"是",$O$62:$O$1055,"缺依据已记录")</x:f>
        <x:v>0</x:v>
      </x:c>
      <x:c r="X14" s="282" t="n">
        <x:f>COUNTIFS($B$62:$B$1055,A14,$E$62:$E$1055,"是",$O$62:$O$1055,"通过")</x:f>
        <x:v>0</x:v>
      </x:c>
      <x:c r="Y14" s="10" t="str">
        <x:f>IF(U14&lt;&gt;"已确认","页面范围待核定",IF((COUNTIFS($B$62:$B$1055,A14)-COUNTIFS($B$62:$B$1055,A14,$E$62:$E$1055,"是")-COUNTIFS($B$62:$B$1055,A14,$E$62:$E$1055,"否"))&gt;0,"页面适用范围未选齐",IF((COUNTIFS($B$62:$B$1055,A14,$E$62:$E$1055,"否")-COUNTIFS($B$62:$B$1055,A14,$E$62:$E$1055,"否",$O$62:$O$1055,"不适用"))&gt;0,"不适用依据未齐",IF(V14=0,"适用页面未登记",IF(W14&lt;V14,"页面走查未覆盖",IF(X14&lt;V14,"已覆盖，仍有失败/受阻/缺依据","页面覆盖已通过"))))))</x:f>
        <x:v>页面范围待核定</x:v>
      </x:c>
    </x:row>
    <x:row r="15" ht="112.5" customHeight="1">
      <x:c r="A15" s="279" t="str">
        <x:v>UI09</x:v>
      </x:c>
      <x:c r="B15" s="279" t="str">
        <x:f>'UI检查'!B14</x:f>
        <x:v>所有查询区</x:v>
      </x:c>
      <x:c r="C15" s="279" t="str">
        <x:f>'UI检查'!C14</x:f>
        <x:v>筛选布局与刷新反馈</x:v>
      </x:c>
      <x:c r="D15" s="279" t="str">
        <x:f>'UI检查'!R14</x:f>
        <x:v>直接复用</x:v>
      </x:c>
      <x:c r="E15" s="10" t="str">
        <x:v>先行核通用框架组件、页面状态与实际交互；有既有批准规范即可查，不要求另出专项稿。</x:v>
      </x:c>
      <x:c r="F15" s="10" t="str">
        <x:f>'UI检查'!J14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G15" s="10" t="str">
        <x:f>'UI检查'!K14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H15" s="274" t="str">
        <x:v>待选择</x:v>
      </x:c>
      <x:c r="I15" s="274" t="str">
        <x:v>未走查</x:v>
      </x:c>
      <x:c r="J15" s="274"/>
      <x:c r="K15" s="274"/>
      <x:c r="L15" s="274"/>
      <x:c r="M15" s="274"/>
      <x:c r="N15" s="274"/>
      <x:c r="O15" s="274"/>
      <x:c r="P15" s="274"/>
      <x:c r="Q15" s="274"/>
      <x:c r="R15" s="274"/>
      <x:c r="S15" s="10" t="str">
        <x:f>IF(AND(H15="是",OR(I15="已走查",I15="待复查",I15="已复查")),IF(OR(Y15="页面覆盖已通过",Y15="已覆盖，仍有失败/受阻/缺依据"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,Y15)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)</x:f>
        <x:v>未纳入</x:v>
      </x:c>
      <x:c r="T15" s="10" t="str">
        <x:f>'UI检查'!I14</x:f>
        <x:v>未纳入本批</x:v>
      </x:c>
      <x:c r="U15" s="283" t="str">
        <x:v>待确认</x:v>
      </x:c>
      <x:c r="V15" s="282" t="n">
        <x:f>COUNTIFS($B$62:$B$1055,A15,$E$62:$E$1055,"是")</x:f>
        <x:v>0</x:v>
      </x:c>
      <x:c r="W15" s="282" t="n">
        <x:f>COUNTIFS($B$62:$B$1055,A15,$E$62:$E$1055,"是",$O$62:$O$1055,"通过")+COUNTIFS($B$62:$B$1055,A15,$E$62:$E$1055,"是",$O$62:$O$1055,"失败已记录")+COUNTIFS($B$62:$B$1055,A15,$E$62:$E$1055,"是",$O$62:$O$1055,"受阻已记录")+COUNTIFS($B$62:$B$1055,A15,$E$62:$E$1055,"是",$O$62:$O$1055,"缺依据已记录")</x:f>
        <x:v>0</x:v>
      </x:c>
      <x:c r="X15" s="282" t="n">
        <x:f>COUNTIFS($B$62:$B$1055,A15,$E$62:$E$1055,"是",$O$62:$O$1055,"通过")</x:f>
        <x:v>0</x:v>
      </x:c>
      <x:c r="Y15" s="10" t="str">
        <x:f>IF(U15&lt;&gt;"已确认","页面范围待核定",IF((COUNTIFS($B$62:$B$1055,A15)-COUNTIFS($B$62:$B$1055,A15,$E$62:$E$1055,"是")-COUNTIFS($B$62:$B$1055,A15,$E$62:$E$1055,"否"))&gt;0,"页面适用范围未选齐",IF((COUNTIFS($B$62:$B$1055,A15,$E$62:$E$1055,"否")-COUNTIFS($B$62:$B$1055,A15,$E$62:$E$1055,"否",$O$62:$O$1055,"不适用"))&gt;0,"不适用依据未齐",IF(V15=0,"适用页面未登记",IF(W15&lt;V15,"页面走查未覆盖",IF(X15&lt;V15,"已覆盖，仍有失败/受阻/缺依据","页面覆盖已通过"))))))</x:f>
        <x:v>页面范围待核定</x:v>
      </x:c>
    </x:row>
    <x:row r="16" ht="112.5" customHeight="1">
      <x:c r="A16" s="279" t="str">
        <x:v>UI10</x:v>
      </x:c>
      <x:c r="B16" s="279" t="str">
        <x:f>'UI检查'!B15</x:f>
        <x:v>所有列表区</x:v>
      </x:c>
      <x:c r="C16" s="279" t="str">
        <x:f>'UI检查'!C15</x:f>
        <x:v>列表容器与列适配</x:v>
      </x:c>
      <x:c r="D16" s="279" t="str">
        <x:f>'UI检查'!R15</x:f>
        <x:v>直接复用</x:v>
      </x:c>
      <x:c r="E16" s="10" t="str">
        <x:v>先行核通用框架组件、页面状态与实际交互；有既有批准规范即可查，不要求另出专项稿。</x:v>
      </x:c>
      <x:c r="F16" s="10" t="str">
        <x:f>'UI检查'!J15</x:f>
        <x:v>1.核对Table容器、表头/行高、行背景、列宽、固定列和操作区。
2.分别查看本批有/无顶部操作按钮的列表。
3.用长文本、宽字段及多操作记录检查适配。</x:v>
      </x:c>
      <x:c r="G16" s="10" t="str">
        <x:f>'UI检查'!K15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H16" s="274" t="str">
        <x:v>待选择</x:v>
      </x:c>
      <x:c r="I16" s="274" t="str">
        <x:v>未走查</x:v>
      </x:c>
      <x:c r="J16" s="274"/>
      <x:c r="K16" s="274"/>
      <x:c r="L16" s="274"/>
      <x:c r="M16" s="274"/>
      <x:c r="N16" s="274"/>
      <x:c r="O16" s="274"/>
      <x:c r="P16" s="274"/>
      <x:c r="Q16" s="274"/>
      <x:c r="R16" s="274"/>
      <x:c r="S16" s="10" t="str">
        <x:f>IF(AND(H16="是",OR(I16="已走查",I16="待复查",I16="已复查")),IF(OR(Y16="页面覆盖已通过",Y16="已覆盖，仍有失败/受阻/缺依据"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,Y16)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)</x:f>
        <x:v>未纳入</x:v>
      </x:c>
      <x:c r="T16" s="10" t="str">
        <x:f>'UI检查'!I15</x:f>
        <x:v>未纳入本批</x:v>
      </x:c>
      <x:c r="U16" s="283" t="str">
        <x:v>待确认</x:v>
      </x:c>
      <x:c r="V16" s="282" t="n">
        <x:f>COUNTIFS($B$62:$B$1055,A16,$E$62:$E$1055,"是")</x:f>
        <x:v>0</x:v>
      </x:c>
      <x:c r="W16" s="282" t="n">
        <x:f>COUNTIFS($B$62:$B$1055,A16,$E$62:$E$1055,"是",$O$62:$O$1055,"通过")+COUNTIFS($B$62:$B$1055,A16,$E$62:$E$1055,"是",$O$62:$O$1055,"失败已记录")+COUNTIFS($B$62:$B$1055,A16,$E$62:$E$1055,"是",$O$62:$O$1055,"受阻已记录")+COUNTIFS($B$62:$B$1055,A16,$E$62:$E$1055,"是",$O$62:$O$1055,"缺依据已记录")</x:f>
        <x:v>0</x:v>
      </x:c>
      <x:c r="X16" s="282" t="n">
        <x:f>COUNTIFS($B$62:$B$1055,A16,$E$62:$E$1055,"是",$O$62:$O$1055,"通过")</x:f>
        <x:v>0</x:v>
      </x:c>
      <x:c r="Y16" s="10" t="str">
        <x:f>IF(U16&lt;&gt;"已确认","页面范围待核定",IF((COUNTIFS($B$62:$B$1055,A16)-COUNTIFS($B$62:$B$1055,A16,$E$62:$E$1055,"是")-COUNTIFS($B$62:$B$1055,A16,$E$62:$E$1055,"否"))&gt;0,"页面适用范围未选齐",IF((COUNTIFS($B$62:$B$1055,A16,$E$62:$E$1055,"否")-COUNTIFS($B$62:$B$1055,A16,$E$62:$E$1055,"否",$O$62:$O$1055,"不适用"))&gt;0,"不适用依据未齐",IF(V16=0,"适用页面未登记",IF(W16&lt;V16,"页面走查未覆盖",IF(X16&lt;V16,"已覆盖，仍有失败/受阻/缺依据","页面覆盖已通过"))))))</x:f>
        <x:v>页面范围待核定</x:v>
      </x:c>
    </x:row>
    <x:row r="17" ht="139.5" customHeight="1">
      <x:c r="A17" s="279" t="str">
        <x:v>UI11</x:v>
      </x:c>
      <x:c r="B17" s="279" t="str">
        <x:f>'UI检查'!B16</x:f>
        <x:v>所有列表区</x:v>
      </x:c>
      <x:c r="C17" s="279" t="str">
        <x:f>'UI检查'!C16</x:f>
        <x:v>分页组件与能力</x:v>
      </x:c>
      <x:c r="D17" s="279" t="str">
        <x:f>'UI检查'!R16</x:f>
        <x:v>直接复用</x:v>
      </x:c>
      <x:c r="E17" s="10" t="str">
        <x:v>先行核通用框架组件、页面状态与实际交互；有既有批准规范即可查，不要求另出专项稿。</x:v>
      </x:c>
      <x:c r="F17" s="10" t="str">
        <x:f>'UI检查'!J16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</x:v>
      </x:c>
      <x:c r="G17" s="10" t="str">
        <x:f>'UI检查'!K16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H17" s="274" t="str">
        <x:v>待选择</x:v>
      </x:c>
      <x:c r="I17" s="274" t="str">
        <x:v>未走查</x:v>
      </x:c>
      <x:c r="J17" s="274"/>
      <x:c r="K17" s="274"/>
      <x:c r="L17" s="274"/>
      <x:c r="M17" s="274"/>
      <x:c r="N17" s="274"/>
      <x:c r="O17" s="274"/>
      <x:c r="P17" s="274"/>
      <x:c r="Q17" s="274"/>
      <x:c r="R17" s="274"/>
      <x:c r="S17" s="10" t="str">
        <x:f>IF(AND(H17="是",OR(I17="已走查",I17="待复查",I17="已复查")),IF(OR(Y17="页面覆盖已通过",Y17="已覆盖，仍有失败/受阻/缺依据"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,Y17)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)</x:f>
        <x:v>未纳入</x:v>
      </x:c>
      <x:c r="T17" s="10" t="str">
        <x:f>'UI检查'!I16</x:f>
        <x:v>未纳入本批</x:v>
      </x:c>
      <x:c r="U17" s="283" t="str">
        <x:v>待确认</x:v>
      </x:c>
      <x:c r="V17" s="282" t="n">
        <x:f>COUNTIFS($B$62:$B$1055,A17,$E$62:$E$1055,"是")</x:f>
        <x:v>0</x:v>
      </x:c>
      <x:c r="W17" s="282" t="n">
        <x:f>COUNTIFS($B$62:$B$1055,A17,$E$62:$E$1055,"是",$O$62:$O$1055,"通过")+COUNTIFS($B$62:$B$1055,A17,$E$62:$E$1055,"是",$O$62:$O$1055,"失败已记录")+COUNTIFS($B$62:$B$1055,A17,$E$62:$E$1055,"是",$O$62:$O$1055,"受阻已记录")+COUNTIFS($B$62:$B$1055,A17,$E$62:$E$1055,"是",$O$62:$O$1055,"缺依据已记录")</x:f>
        <x:v>0</x:v>
      </x:c>
      <x:c r="X17" s="282" t="n">
        <x:f>COUNTIFS($B$62:$B$1055,A17,$E$62:$E$1055,"是",$O$62:$O$1055,"通过")</x:f>
        <x:v>0</x:v>
      </x:c>
      <x:c r="Y17" s="10" t="str">
        <x:f>IF(U17&lt;&gt;"已确认","页面范围待核定",IF((COUNTIFS($B$62:$B$1055,A17)-COUNTIFS($B$62:$B$1055,A17,$E$62:$E$1055,"是")-COUNTIFS($B$62:$B$1055,A17,$E$62:$E$1055,"否"))&gt;0,"页面适用范围未选齐",IF((COUNTIFS($B$62:$B$1055,A17,$E$62:$E$1055,"否")-COUNTIFS($B$62:$B$1055,A17,$E$62:$E$1055,"否",$O$62:$O$1055,"不适用"))&gt;0,"不适用依据未齐",IF(V17=0,"适用页面未登记",IF(W17&lt;V17,"页面走查未覆盖",IF(X17&lt;V17,"已覆盖，仍有失败/受阻/缺依据","页面覆盖已通过"))))))</x:f>
        <x:v>页面范围待核定</x:v>
      </x:c>
    </x:row>
    <x:row r="18" ht="112.5" customHeight="1">
      <x:c r="A18" s="279" t="str">
        <x:v>UI12</x:v>
      </x:c>
      <x:c r="B18" s="279" t="str">
        <x:f>'UI检查'!B17</x:f>
        <x:v>所有列表区</x:v>
      </x:c>
      <x:c r="C18" s="279" t="str">
        <x:f>'UI检查'!C17</x:f>
        <x:v>横向滚动固定列</x:v>
      </x:c>
      <x:c r="D18" s="279" t="str">
        <x:f>'UI检查'!R17</x:f>
        <x:v>直接复用</x:v>
      </x:c>
      <x:c r="E18" s="10" t="str">
        <x:v>先行核通用框架组件、页面状态与实际交互；有既有批准规范即可查，不要求另出专项稿。</x:v>
      </x:c>
      <x:c r="F18" s="10" t="str">
        <x:f>'UI检查'!J17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G18" s="10" t="str">
        <x:f>'UI检查'!K17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H18" s="274" t="str">
        <x:v>待选择</x:v>
      </x:c>
      <x:c r="I18" s="274" t="str">
        <x:v>未走查</x:v>
      </x:c>
      <x:c r="J18" s="274"/>
      <x:c r="K18" s="274"/>
      <x:c r="L18" s="274"/>
      <x:c r="M18" s="274"/>
      <x:c r="N18" s="274"/>
      <x:c r="O18" s="274"/>
      <x:c r="P18" s="274"/>
      <x:c r="Q18" s="274"/>
      <x:c r="R18" s="274"/>
      <x:c r="S18" s="10" t="str">
        <x:f>IF(AND(H18="是",OR(I18="已走查",I18="待复查",I18="已复查")),IF(OR(Y18="页面覆盖已通过",Y18="已覆盖，仍有失败/受阻/缺依据"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,Y18)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)</x:f>
        <x:v>未纳入</x:v>
      </x:c>
      <x:c r="T18" s="10" t="str">
        <x:f>'UI检查'!I17</x:f>
        <x:v>未纳入本批</x:v>
      </x:c>
      <x:c r="U18" s="283" t="str">
        <x:v>待确认</x:v>
      </x:c>
      <x:c r="V18" s="282" t="n">
        <x:f>COUNTIFS($B$62:$B$1055,A18,$E$62:$E$1055,"是")</x:f>
        <x:v>0</x:v>
      </x:c>
      <x:c r="W18" s="282" t="n">
        <x:f>COUNTIFS($B$62:$B$1055,A18,$E$62:$E$1055,"是",$O$62:$O$1055,"通过")+COUNTIFS($B$62:$B$1055,A18,$E$62:$E$1055,"是",$O$62:$O$1055,"失败已记录")+COUNTIFS($B$62:$B$1055,A18,$E$62:$E$1055,"是",$O$62:$O$1055,"受阻已记录")+COUNTIFS($B$62:$B$1055,A18,$E$62:$E$1055,"是",$O$62:$O$1055,"缺依据已记录")</x:f>
        <x:v>0</x:v>
      </x:c>
      <x:c r="X18" s="282" t="n">
        <x:f>COUNTIFS($B$62:$B$1055,A18,$E$62:$E$1055,"是",$O$62:$O$1055,"通过")</x:f>
        <x:v>0</x:v>
      </x:c>
      <x:c r="Y18" s="10" t="str">
        <x:f>IF(U18&lt;&gt;"已确认","页面范围待核定",IF((COUNTIFS($B$62:$B$1055,A18)-COUNTIFS($B$62:$B$1055,A18,$E$62:$E$1055,"是")-COUNTIFS($B$62:$B$1055,A18,$E$62:$E$1055,"否"))&gt;0,"页面适用范围未选齐",IF((COUNTIFS($B$62:$B$1055,A18,$E$62:$E$1055,"否")-COUNTIFS($B$62:$B$1055,A18,$E$62:$E$1055,"否",$O$62:$O$1055,"不适用"))&gt;0,"不适用依据未齐",IF(V18=0,"适用页面未登记",IF(W18&lt;V18,"页面走查未覆盖",IF(X18&lt;V18,"已覆盖，仍有失败/受阻/缺依据","页面覆盖已通过"))))))</x:f>
        <x:v>页面范围待核定</x:v>
      </x:c>
    </x:row>
    <x:row r="19" ht="112.5" customHeight="1">
      <x:c r="A19" s="279" t="str">
        <x:v>UI13</x:v>
      </x:c>
      <x:c r="B19" s="279" t="str">
        <x:f>'UI检查'!B18</x:f>
        <x:v>所有列表区</x:v>
      </x:c>
      <x:c r="C19" s="279" t="str">
        <x:f>'UI检查'!C18</x:f>
        <x:v>批量操作栏位置</x:v>
      </x:c>
      <x:c r="D19" s="279" t="str">
        <x:f>'UI检查'!R18</x:f>
        <x:v>直接复用</x:v>
      </x:c>
      <x:c r="E19" s="10" t="str">
        <x:v>先行核通用框架组件、页面状态与实际交互；有既有批准规范即可查，不要求另出专项稿。</x:v>
      </x:c>
      <x:c r="F19" s="10" t="str">
        <x:f>'UI检查'!J18</x:f>
        <x:v>1.记录未选中时Table顶部默认工具栏。
2.勾选1行及多行，核对顶部批量按钮与整行选中态。
3.取消部分选择，再取消全部选择。
4.检查页面底部及末行是否被浮层遮挡。</x:v>
      </x:c>
      <x:c r="G19" s="10" t="str">
        <x:f>'UI检查'!K18</x:f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H19" s="274" t="str">
        <x:v>待选择</x:v>
      </x:c>
      <x:c r="I19" s="274" t="str">
        <x:v>未走查</x:v>
      </x:c>
      <x:c r="J19" s="274"/>
      <x:c r="K19" s="274"/>
      <x:c r="L19" s="274"/>
      <x:c r="M19" s="274"/>
      <x:c r="N19" s="274"/>
      <x:c r="O19" s="274"/>
      <x:c r="P19" s="274"/>
      <x:c r="Q19" s="274"/>
      <x:c r="R19" s="274"/>
      <x:c r="S19" s="10" t="str">
        <x:f>IF(AND(H19="是",OR(I19="已走查",I19="待复查",I19="已复查")),IF(OR(Y19="页面覆盖已通过",Y19="已覆盖，仍有失败/受阻/缺依据"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,Y19)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)</x:f>
        <x:v>未纳入</x:v>
      </x:c>
      <x:c r="T19" s="10" t="str">
        <x:f>'UI检查'!I18</x:f>
        <x:v>未纳入本批</x:v>
      </x:c>
      <x:c r="U19" s="283" t="str">
        <x:v>待确认</x:v>
      </x:c>
      <x:c r="V19" s="282" t="n">
        <x:f>COUNTIFS($B$62:$B$1055,A19,$E$62:$E$1055,"是")</x:f>
        <x:v>0</x:v>
      </x:c>
      <x:c r="W19" s="282" t="n">
        <x:f>COUNTIFS($B$62:$B$1055,A19,$E$62:$E$1055,"是",$O$62:$O$1055,"通过")+COUNTIFS($B$62:$B$1055,A19,$E$62:$E$1055,"是",$O$62:$O$1055,"失败已记录")+COUNTIFS($B$62:$B$1055,A19,$E$62:$E$1055,"是",$O$62:$O$1055,"受阻已记录")+COUNTIFS($B$62:$B$1055,A19,$E$62:$E$1055,"是",$O$62:$O$1055,"缺依据已记录")</x:f>
        <x:v>0</x:v>
      </x:c>
      <x:c r="X19" s="282" t="n">
        <x:f>COUNTIFS($B$62:$B$1055,A19,$E$62:$E$1055,"是",$O$62:$O$1055,"通过")</x:f>
        <x:v>0</x:v>
      </x:c>
      <x:c r="Y19" s="10" t="str">
        <x:f>IF(U19&lt;&gt;"已确认","页面范围待核定",IF((COUNTIFS($B$62:$B$1055,A19)-COUNTIFS($B$62:$B$1055,A19,$E$62:$E$1055,"是")-COUNTIFS($B$62:$B$1055,A19,$E$62:$E$1055,"否"))&gt;0,"页面适用范围未选齐",IF((COUNTIFS($B$62:$B$1055,A19,$E$62:$E$1055,"否")-COUNTIFS($B$62:$B$1055,A19,$E$62:$E$1055,"否",$O$62:$O$1055,"不适用"))&gt;0,"不适用依据未齐",IF(V19=0,"适用页面未登记",IF(W19&lt;V19,"页面走查未覆盖",IF(X19&lt;V19,"已覆盖，仍有失败/受阻/缺依据","页面覆盖已通过"))))))</x:f>
        <x:v>页面范围待核定</x:v>
      </x:c>
    </x:row>
    <x:row r="20" ht="112.5" customHeight="1">
      <x:c r="A20" s="279" t="str">
        <x:v>UI14</x:v>
      </x:c>
      <x:c r="B20" s="279" t="str">
        <x:f>'UI检查'!B19</x:f>
        <x:v>所有列表区</x:v>
      </x:c>
      <x:c r="C20" s="279" t="str">
        <x:f>'UI检查'!C19</x:f>
        <x:v>行级选中态与固定区</x:v>
      </x:c>
      <x:c r="D20" s="279" t="str">
        <x:f>'UI检查'!R19</x:f>
        <x:v>直接复用</x:v>
      </x:c>
      <x:c r="E20" s="10" t="str">
        <x:v>先行核通用框架组件、页面状态与实际交互；有既有批准规范即可查，不要求另出专项稿。</x:v>
      </x:c>
      <x:c r="F20" s="10" t="str">
        <x:f>'UI检查'!J19</x:f>
        <x:v>1.比较默认/hover/选中行的主区与左右固定区。
2.逐项检查行高、字体层级、Checkbox和Tag。
3.取消选择，核对全行及固定区恢复。</x:v>
      </x:c>
      <x:c r="G20" s="10" t="str">
        <x:f>'UI检查'!K19</x:f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H20" s="274" t="str">
        <x:v>待选择</x:v>
      </x:c>
      <x:c r="I20" s="274" t="str">
        <x:v>未走查</x:v>
      </x:c>
      <x:c r="J20" s="274"/>
      <x:c r="K20" s="274"/>
      <x:c r="L20" s="274"/>
      <x:c r="M20" s="274"/>
      <x:c r="N20" s="274"/>
      <x:c r="O20" s="274"/>
      <x:c r="P20" s="274"/>
      <x:c r="Q20" s="274"/>
      <x:c r="R20" s="274"/>
      <x:c r="S20" s="10" t="str">
        <x:f>IF(AND(H20="是",OR(I20="已走查",I20="待复查",I20="已复查")),IF(OR(Y20="页面覆盖已通过",Y20="已覆盖，仍有失败/受阻/缺依据"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,Y20)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)</x:f>
        <x:v>未纳入</x:v>
      </x:c>
      <x:c r="T20" s="10" t="str">
        <x:f>'UI检查'!I19</x:f>
        <x:v>未纳入本批</x:v>
      </x:c>
      <x:c r="U20" s="283" t="str">
        <x:v>待确认</x:v>
      </x:c>
      <x:c r="V20" s="282" t="n">
        <x:f>COUNTIFS($B$62:$B$1055,A20,$E$62:$E$1055,"是")</x:f>
        <x:v>0</x:v>
      </x:c>
      <x:c r="W20" s="282" t="n">
        <x:f>COUNTIFS($B$62:$B$1055,A20,$E$62:$E$1055,"是",$O$62:$O$1055,"通过")+COUNTIFS($B$62:$B$1055,A20,$E$62:$E$1055,"是",$O$62:$O$1055,"失败已记录")+COUNTIFS($B$62:$B$1055,A20,$E$62:$E$1055,"是",$O$62:$O$1055,"受阻已记录")+COUNTIFS($B$62:$B$1055,A20,$E$62:$E$1055,"是",$O$62:$O$1055,"缺依据已记录")</x:f>
        <x:v>0</x:v>
      </x:c>
      <x:c r="X20" s="282" t="n">
        <x:f>COUNTIFS($B$62:$B$1055,A20,$E$62:$E$1055,"是",$O$62:$O$1055,"通过")</x:f>
        <x:v>0</x:v>
      </x:c>
      <x:c r="Y20" s="10" t="str">
        <x:f>IF(U20&lt;&gt;"已确认","页面范围待核定",IF((COUNTIFS($B$62:$B$1055,A20)-COUNTIFS($B$62:$B$1055,A20,$E$62:$E$1055,"是")-COUNTIFS($B$62:$B$1055,A20,$E$62:$E$1055,"否"))&gt;0,"页面适用范围未选齐",IF((COUNTIFS($B$62:$B$1055,A20,$E$62:$E$1055,"否")-COUNTIFS($B$62:$B$1055,A20,$E$62:$E$1055,"否",$O$62:$O$1055,"不适用"))&gt;0,"不适用依据未齐",IF(V20=0,"适用页面未登记",IF(W20&lt;V20,"页面走查未覆盖",IF(X20&lt;V20,"已覆盖，仍有失败/受阻/缺依据","页面覆盖已通过"))))))</x:f>
        <x:v>页面范围待核定</x:v>
      </x:c>
    </x:row>
    <x:row r="21" ht="112.5" customHeight="1">
      <x:c r="A21" s="279" t="str">
        <x:v>UI15</x:v>
      </x:c>
      <x:c r="B21" s="279" t="str">
        <x:f>'UI检查'!B20</x:f>
        <x:v>所有列表区</x:v>
      </x:c>
      <x:c r="C21" s="279" t="str">
        <x:f>'UI检查'!C20</x:f>
        <x:v>编码链接的真实行为</x:v>
      </x:c>
      <x:c r="D21" s="279" t="str">
        <x:f>'UI检查'!R20</x:f>
        <x:v>直接复用</x:v>
      </x:c>
      <x:c r="E21" s="10" t="str">
        <x:v>先行核通用框架组件、页面状态与实际交互；有既有批准规范即可查，不要求另出专项稿。</x:v>
      </x:c>
      <x:c r="F21" s="10" t="str">
        <x:f>'UI检查'!J20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G21" s="10" t="str">
        <x:f>'UI检查'!K20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H21" s="274" t="str">
        <x:v>待选择</x:v>
      </x:c>
      <x:c r="I21" s="274" t="str">
        <x:v>未走查</x:v>
      </x:c>
      <x:c r="J21" s="274"/>
      <x:c r="K21" s="274"/>
      <x:c r="L21" s="274"/>
      <x:c r="M21" s="274"/>
      <x:c r="N21" s="274"/>
      <x:c r="O21" s="274"/>
      <x:c r="P21" s="274"/>
      <x:c r="Q21" s="274"/>
      <x:c r="R21" s="274"/>
      <x:c r="S21" s="10" t="str">
        <x:f>IF(AND(H21="是",OR(I21="已走查",I21="待复查",I21="已复查")),IF(OR(Y21="页面覆盖已通过",Y21="已覆盖，仍有失败/受阻/缺依据"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,Y21)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)</x:f>
        <x:v>未纳入</x:v>
      </x:c>
      <x:c r="T21" s="10" t="str">
        <x:f>'UI检查'!I20</x:f>
        <x:v>未纳入本批</x:v>
      </x:c>
      <x:c r="U21" s="283" t="str">
        <x:v>待确认</x:v>
      </x:c>
      <x:c r="V21" s="282" t="n">
        <x:f>COUNTIFS($B$62:$B$1055,A21,$E$62:$E$1055,"是")</x:f>
        <x:v>0</x:v>
      </x:c>
      <x:c r="W21" s="282" t="n">
        <x:f>COUNTIFS($B$62:$B$1055,A21,$E$62:$E$1055,"是",$O$62:$O$1055,"通过")+COUNTIFS($B$62:$B$1055,A21,$E$62:$E$1055,"是",$O$62:$O$1055,"失败已记录")+COUNTIFS($B$62:$B$1055,A21,$E$62:$E$1055,"是",$O$62:$O$1055,"受阻已记录")+COUNTIFS($B$62:$B$1055,A21,$E$62:$E$1055,"是",$O$62:$O$1055,"缺依据已记录")</x:f>
        <x:v>0</x:v>
      </x:c>
      <x:c r="X21" s="282" t="n">
        <x:f>COUNTIFS($B$62:$B$1055,A21,$E$62:$E$1055,"是",$O$62:$O$1055,"通过")</x:f>
        <x:v>0</x:v>
      </x:c>
      <x:c r="Y21" s="10" t="str">
        <x:f>IF(U21&lt;&gt;"已确认","页面范围待核定",IF((COUNTIFS($B$62:$B$1055,A21)-COUNTIFS($B$62:$B$1055,A21,$E$62:$E$1055,"是")-COUNTIFS($B$62:$B$1055,A21,$E$62:$E$1055,"否"))&gt;0,"页面适用范围未选齐",IF((COUNTIFS($B$62:$B$1055,A21,$E$62:$E$1055,"否")-COUNTIFS($B$62:$B$1055,A21,$E$62:$E$1055,"否",$O$62:$O$1055,"不适用"))&gt;0,"不适用依据未齐",IF(V21=0,"适用页面未登记",IF(W21&lt;V21,"页面走查未覆盖",IF(X21&lt;V21,"已覆盖，仍有失败/受阻/缺依据","页面覆盖已通过"))))))</x:f>
        <x:v>页面范围待核定</x:v>
      </x:c>
    </x:row>
    <x:row r="22" ht="112.5" customHeight="1">
      <x:c r="A22" s="279" t="str">
        <x:v>UI16</x:v>
      </x:c>
      <x:c r="B22" s="279" t="str">
        <x:f>'UI检查'!B21</x:f>
        <x:v>Ai 建档解析</x:v>
      </x:c>
      <x:c r="C22" s="279" t="str">
        <x:f>'UI检查'!C21</x:f>
        <x:v>建档页面承载</x:v>
      </x:c>
      <x:c r="D22" s="279" t="str">
        <x:f>'UI检查'!R21</x:f>
        <x:v>直接复用</x:v>
      </x:c>
      <x:c r="E22" s="10" t="str">
        <x:v>先行核通用框架组件、页面状态与实际交互；有既有批准规范即可查，不要求另出专项稿。</x:v>
      </x:c>
      <x:c r="F22" s="10" t="str">
        <x:f>'UI检查'!J21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G22" s="10" t="str">
        <x:f>'UI检查'!K21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H22" s="274" t="str">
        <x:v>待选择</x:v>
      </x:c>
      <x:c r="I22" s="274" t="str">
        <x:v>未走查</x:v>
      </x:c>
      <x:c r="J22" s="274"/>
      <x:c r="K22" s="274"/>
      <x:c r="L22" s="274"/>
      <x:c r="M22" s="274"/>
      <x:c r="N22" s="274"/>
      <x:c r="O22" s="274"/>
      <x:c r="P22" s="274"/>
      <x:c r="Q22" s="274"/>
      <x:c r="R22" s="274"/>
      <x:c r="S22" s="10" t="str">
        <x:f>IF(AND(H22="是",OR(I22="已走查",I22="待复查",I22="已复查")),IF(OR(Y22="页面覆盖已通过",Y22="已覆盖，仍有失败/受阻/缺依据"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,Y22)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)</x:f>
        <x:v>未纳入</x:v>
      </x:c>
      <x:c r="T22" s="10" t="str">
        <x:f>'UI检查'!I21</x:f>
        <x:v>未纳入本批</x:v>
      </x:c>
      <x:c r="U22" s="283" t="str">
        <x:v>待确认</x:v>
      </x:c>
      <x:c r="V22" s="282" t="n">
        <x:f>COUNTIFS($B$62:$B$1055,A22,$E$62:$E$1055,"是")</x:f>
        <x:v>0</x:v>
      </x:c>
      <x:c r="W22" s="282" t="n">
        <x:f>COUNTIFS($B$62:$B$1055,A22,$E$62:$E$1055,"是",$O$62:$O$1055,"通过")+COUNTIFS($B$62:$B$1055,A22,$E$62:$E$1055,"是",$O$62:$O$1055,"失败已记录")+COUNTIFS($B$62:$B$1055,A22,$E$62:$E$1055,"是",$O$62:$O$1055,"受阻已记录")+COUNTIFS($B$62:$B$1055,A22,$E$62:$E$1055,"是",$O$62:$O$1055,"缺依据已记录")</x:f>
        <x:v>0</x:v>
      </x:c>
      <x:c r="X22" s="282" t="n">
        <x:f>COUNTIFS($B$62:$B$1055,A22,$E$62:$E$1055,"是",$O$62:$O$1055,"通过")</x:f>
        <x:v>0</x:v>
      </x:c>
      <x:c r="Y22" s="10" t="str">
        <x:f>IF(U22&lt;&gt;"已确认","页面范围待核定",IF((COUNTIFS($B$62:$B$1055,A22)-COUNTIFS($B$62:$B$1055,A22,$E$62:$E$1055,"是")-COUNTIFS($B$62:$B$1055,A22,$E$62:$E$1055,"否"))&gt;0,"页面适用范围未选齐",IF((COUNTIFS($B$62:$B$1055,A22,$E$62:$E$1055,"否")-COUNTIFS($B$62:$B$1055,A22,$E$62:$E$1055,"否",$O$62:$O$1055,"不适用"))&gt;0,"不适用依据未齐",IF(V22=0,"适用页面未登记",IF(W22&lt;V22,"页面走查未覆盖",IF(X22&lt;V22,"已覆盖，仍有失败/受阻/缺依据","页面覆盖已通过"))))))</x:f>
        <x:v>页面范围待核定</x:v>
      </x:c>
    </x:row>
    <x:row r="23" ht="126" customHeight="1">
      <x:c r="A23" s="279" t="str">
        <x:v>UI17</x:v>
      </x:c>
      <x:c r="B23" s="279" t="str">
        <x:f>'UI检查'!B22</x:f>
        <x:v>全局</x:v>
      </x:c>
      <x:c r="C23" s="279" t="str">
        <x:f>'UI检查'!C22</x:f>
        <x:v>刷新保持页面</x:v>
      </x:c>
      <x:c r="D23" s="279" t="str">
        <x:f>'UI检查'!R22</x:f>
        <x:v>直接复用</x:v>
      </x:c>
      <x:c r="E23" s="10" t="str">
        <x:v>先行核通用框架组件、页面状态与实际交互；有既有批准规范即可查，不要求另出专项稿。</x:v>
      </x:c>
      <x:c r="F23" s="10" t="str">
        <x:f>'UI检查'!J22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G23" s="10" t="str">
        <x:f>'UI检查'!K22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H23" s="274" t="str">
        <x:v>待选择</x:v>
      </x:c>
      <x:c r="I23" s="274" t="str">
        <x:v>未走查</x:v>
      </x:c>
      <x:c r="J23" s="274"/>
      <x:c r="K23" s="274"/>
      <x:c r="L23" s="274"/>
      <x:c r="M23" s="274"/>
      <x:c r="N23" s="274"/>
      <x:c r="O23" s="274"/>
      <x:c r="P23" s="274"/>
      <x:c r="Q23" s="274"/>
      <x:c r="R23" s="274"/>
      <x:c r="S23" s="10" t="str">
        <x:f>IF(AND(H23="是",OR(I23="已走查",I23="待复查",I23="已复查")),IF(OR(Y23="页面覆盖已通过",Y23="已覆盖，仍有失败/受阻/缺依据"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,Y23)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)</x:f>
        <x:v>未纳入</x:v>
      </x:c>
      <x:c r="T23" s="10" t="str">
        <x:f>'UI检查'!I22</x:f>
        <x:v>未纳入本批</x:v>
      </x:c>
      <x:c r="U23" s="283" t="str">
        <x:v>待确认</x:v>
      </x:c>
      <x:c r="V23" s="282" t="n">
        <x:f>COUNTIFS($B$62:$B$1055,A23,$E$62:$E$1055,"是")</x:f>
        <x:v>0</x:v>
      </x:c>
      <x:c r="W23" s="282" t="n">
        <x:f>COUNTIFS($B$62:$B$1055,A23,$E$62:$E$1055,"是",$O$62:$O$1055,"通过")+COUNTIFS($B$62:$B$1055,A23,$E$62:$E$1055,"是",$O$62:$O$1055,"失败已记录")+COUNTIFS($B$62:$B$1055,A23,$E$62:$E$1055,"是",$O$62:$O$1055,"受阻已记录")+COUNTIFS($B$62:$B$1055,A23,$E$62:$E$1055,"是",$O$62:$O$1055,"缺依据已记录")</x:f>
        <x:v>0</x:v>
      </x:c>
      <x:c r="X23" s="282" t="n">
        <x:f>COUNTIFS($B$62:$B$1055,A23,$E$62:$E$1055,"是",$O$62:$O$1055,"通过")</x:f>
        <x:v>0</x:v>
      </x:c>
      <x:c r="Y23" s="10" t="str">
        <x:f>IF(U23&lt;&gt;"已确认","页面范围待核定",IF((COUNTIFS($B$62:$B$1055,A23)-COUNTIFS($B$62:$B$1055,A23,$E$62:$E$1055,"是")-COUNTIFS($B$62:$B$1055,A23,$E$62:$E$1055,"否"))&gt;0,"页面适用范围未选齐",IF((COUNTIFS($B$62:$B$1055,A23,$E$62:$E$1055,"否")-COUNTIFS($B$62:$B$1055,A23,$E$62:$E$1055,"否",$O$62:$O$1055,"不适用"))&gt;0,"不适用依据未齐",IF(V23=0,"适用页面未登记",IF(W23&lt;V23,"页面走查未覆盖",IF(X23&lt;V23,"已覆盖，仍有失败/受阻/缺依据","页面覆盖已通过"))))))</x:f>
        <x:v>页面范围待核定</x:v>
      </x:c>
    </x:row>
    <x:row r="24" ht="112.5" customHeight="1">
      <x:c r="A24" s="279" t="str">
        <x:v>UI18</x:v>
      </x:c>
      <x:c r="B24" s="279" t="str">
        <x:f>'UI检查'!B23</x:f>
        <x:v>服务单元</x:v>
      </x:c>
      <x:c r="C24" s="279" t="str">
        <x:f>'UI检查'!C23</x:f>
        <x:v>详情 Drawer 与滚动</x:v>
      </x:c>
      <x:c r="D24" s="279" t="str">
        <x:f>'UI检查'!R23</x:f>
        <x:v>直接复用</x:v>
      </x:c>
      <x:c r="E24" s="10" t="str">
        <x:v>先行核通用框架组件、页面状态与实际交互；有既有批准规范即可查，不要求另出专项稿。</x:v>
      </x:c>
      <x:c r="F24" s="10" t="str">
        <x:f>'UI检查'!J23</x:f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G24" s="10" t="str">
        <x:f>'UI检查'!K23</x:f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H24" s="274" t="str">
        <x:v>待选择</x:v>
      </x:c>
      <x:c r="I24" s="274" t="str">
        <x:v>未走查</x:v>
      </x:c>
      <x:c r="J24" s="274"/>
      <x:c r="K24" s="274"/>
      <x:c r="L24" s="274"/>
      <x:c r="M24" s="274"/>
      <x:c r="N24" s="274"/>
      <x:c r="O24" s="274"/>
      <x:c r="P24" s="274"/>
      <x:c r="Q24" s="274"/>
      <x:c r="R24" s="274"/>
      <x:c r="S24" s="10" t="str">
        <x:f>IF(AND(H24="是",OR(I24="已走查",I24="待复查",I24="已复查")),IF(OR(Y24="页面覆盖已通过",Y24="已覆盖，仍有失败/受阻/缺依据"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,Y24)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)</x:f>
        <x:v>未纳入</x:v>
      </x:c>
      <x:c r="T24" s="10" t="str">
        <x:f>'UI检查'!I23</x:f>
        <x:v>未纳入本批</x:v>
      </x:c>
      <x:c r="U24" s="283" t="str">
        <x:v>待确认</x:v>
      </x:c>
      <x:c r="V24" s="282" t="n">
        <x:f>COUNTIFS($B$62:$B$1055,A24,$E$62:$E$1055,"是")</x:f>
        <x:v>0</x:v>
      </x:c>
      <x:c r="W24" s="282" t="n">
        <x:f>COUNTIFS($B$62:$B$1055,A24,$E$62:$E$1055,"是",$O$62:$O$1055,"通过")+COUNTIFS($B$62:$B$1055,A24,$E$62:$E$1055,"是",$O$62:$O$1055,"失败已记录")+COUNTIFS($B$62:$B$1055,A24,$E$62:$E$1055,"是",$O$62:$O$1055,"受阻已记录")+COUNTIFS($B$62:$B$1055,A24,$E$62:$E$1055,"是",$O$62:$O$1055,"缺依据已记录")</x:f>
        <x:v>0</x:v>
      </x:c>
      <x:c r="X24" s="282" t="n">
        <x:f>COUNTIFS($B$62:$B$1055,A24,$E$62:$E$1055,"是",$O$62:$O$1055,"通过")</x:f>
        <x:v>0</x:v>
      </x:c>
      <x:c r="Y24" s="10" t="str">
        <x:f>IF(U24&lt;&gt;"已确认","页面范围待核定",IF((COUNTIFS($B$62:$B$1055,A24)-COUNTIFS($B$62:$B$1055,A24,$E$62:$E$1055,"是")-COUNTIFS($B$62:$B$1055,A24,$E$62:$E$1055,"否"))&gt;0,"页面适用范围未选齐",IF((COUNTIFS($B$62:$B$1055,A24,$E$62:$E$1055,"否")-COUNTIFS($B$62:$B$1055,A24,$E$62:$E$1055,"否",$O$62:$O$1055,"不适用"))&gt;0,"不适用依据未齐",IF(V24=0,"适用页面未登记",IF(W24&lt;V24,"页面走查未覆盖",IF(X24&lt;V24,"已覆盖，仍有失败/受阻/缺依据","页面覆盖已通过"))))))</x:f>
        <x:v>页面范围待核定</x:v>
      </x:c>
    </x:row>
    <x:row r="25" ht="112.5" customHeight="1">
      <x:c r="A25" s="10" t="str">
        <x:v>UI19</x:v>
      </x:c>
      <x:c r="B25" s="10" t="str">
        <x:f>'UI检查'!B24</x:f>
        <x:v>通用字体</x:v>
      </x:c>
      <x:c r="C25" s="10" t="str">
        <x:f>'UI检查'!C24</x:f>
        <x:v>字体数值与字重</x:v>
      </x:c>
      <x:c r="D25" s="10" t="str">
        <x:f>'UI检查'!R24</x:f>
        <x:v>规范／检查建议</x:v>
      </x:c>
      <x:c r="E25" s="10" t="str">
        <x:v>按实际控件/支持端裁剪，依据通用规范与公共基准验证，未交付能力写明不适用。</x:v>
      </x:c>
      <x:c r="F25" s="10" t="str">
        <x:f>'UI检查'!J24</x:f>
        <x:v>用计算样式核对页头、模块标题、正文、辅助文字和标签。</x:v>
      </x:c>
      <x:c r="G25" s="10" t="str">
        <x:f>'UI检查'!K24</x:f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H25" s="274" t="str">
        <x:v>待选择</x:v>
      </x:c>
      <x:c r="I25" s="274" t="str">
        <x:v>未走查</x:v>
      </x:c>
      <x:c r="J25" s="274"/>
      <x:c r="K25" s="274"/>
      <x:c r="L25" s="274"/>
      <x:c r="M25" s="274"/>
      <x:c r="N25" s="274"/>
      <x:c r="O25" s="274"/>
      <x:c r="P25" s="274"/>
      <x:c r="Q25" s="274"/>
      <x:c r="R25" s="274"/>
      <x:c r="S25" s="10" t="str">
        <x:f>IF(AND(H25="是",OR(I25="已走查",I25="待复查",I25="已复查")),IF(OR(Y25="页面覆盖已通过",Y25="已覆盖，仍有失败/受阻/缺依据"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,Y25)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)</x:f>
        <x:v>未纳入</x:v>
      </x:c>
      <x:c r="T25" s="10" t="str">
        <x:f>'UI检查'!I24</x:f>
        <x:v>未纳入本批</x:v>
      </x:c>
      <x:c r="U25" s="283" t="str">
        <x:v>待确认</x:v>
      </x:c>
      <x:c r="V25" s="282" t="n">
        <x:f>COUNTIFS($B$62:$B$1055,A25,$E$62:$E$1055,"是")</x:f>
        <x:v>0</x:v>
      </x:c>
      <x:c r="W25" s="282" t="n">
        <x:f>COUNTIFS($B$62:$B$1055,A25,$E$62:$E$1055,"是",$O$62:$O$1055,"通过")+COUNTIFS($B$62:$B$1055,A25,$E$62:$E$1055,"是",$O$62:$O$1055,"失败已记录")+COUNTIFS($B$62:$B$1055,A25,$E$62:$E$1055,"是",$O$62:$O$1055,"受阻已记录")+COUNTIFS($B$62:$B$1055,A25,$E$62:$E$1055,"是",$O$62:$O$1055,"缺依据已记录")</x:f>
        <x:v>0</x:v>
      </x:c>
      <x:c r="X25" s="282" t="n">
        <x:f>COUNTIFS($B$62:$B$1055,A25,$E$62:$E$1055,"是",$O$62:$O$1055,"通过")</x:f>
        <x:v>0</x:v>
      </x:c>
      <x:c r="Y25" s="10" t="str">
        <x:f>IF(U25&lt;&gt;"已确认","页面范围待核定",IF((COUNTIFS($B$62:$B$1055,A25)-COUNTIFS($B$62:$B$1055,A25,$E$62:$E$1055,"是")-COUNTIFS($B$62:$B$1055,A25,$E$62:$E$1055,"否"))&gt;0,"页面适用范围未选齐",IF((COUNTIFS($B$62:$B$1055,A25,$E$62:$E$1055,"否")-COUNTIFS($B$62:$B$1055,A25,$E$62:$E$1055,"否",$O$62:$O$1055,"不适用"))&gt;0,"不适用依据未齐",IF(V25=0,"适用页面未登记",IF(W25&lt;V25,"页面走查未覆盖",IF(X25&lt;V25,"已覆盖，仍有失败/受阻/缺依据","页面覆盖已通过"))))))</x:f>
        <x:v>页面范围待核定</x:v>
      </x:c>
    </x:row>
    <x:row r="26" ht="112.5" customHeight="1">
      <x:c r="A26" s="10" t="str">
        <x:v>UI20</x:v>
      </x:c>
      <x:c r="B26" s="10" t="str">
        <x:f>'UI检查'!B25</x:f>
        <x:v>桌面表格</x:v>
      </x:c>
      <x:c r="C26" s="10" t="str">
        <x:f>'UI检查'!C25</x:f>
        <x:v>表格基础规格</x:v>
      </x:c>
      <x:c r="D26" s="10" t="str">
        <x:f>'UI检查'!R25</x:f>
        <x:v>规范／检查建议</x:v>
      </x:c>
      <x:c r="E26" s="10" t="str">
        <x:v>按实际控件/支持端裁剪，依据通用规范与公共基准验证，未交付能力写明不适用。</x:v>
      </x:c>
      <x:c r="F26" s="10" t="str">
        <x:f>'UI检查'!J25</x:f>
        <x:v>在约定桌面视口查看行高、表头、分割线和行状态。</x:v>
      </x:c>
      <x:c r="G26" s="10" t="str">
        <x:f>'UI检查'!K25</x:f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H26" s="274" t="str">
        <x:v>待选择</x:v>
      </x:c>
      <x:c r="I26" s="274" t="str">
        <x:v>未走查</x:v>
      </x:c>
      <x:c r="J26" s="274"/>
      <x:c r="K26" s="274"/>
      <x:c r="L26" s="274"/>
      <x:c r="M26" s="274"/>
      <x:c r="N26" s="274"/>
      <x:c r="O26" s="274"/>
      <x:c r="P26" s="274"/>
      <x:c r="Q26" s="274"/>
      <x:c r="R26" s="274"/>
      <x:c r="S26" s="10" t="str">
        <x:f>IF(AND(H26="是",OR(I26="已走查",I26="待复查",I26="已复查")),IF(OR(Y26="页面覆盖已通过",Y26="已覆盖，仍有失败/受阻/缺依据"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,Y26)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)</x:f>
        <x:v>未纳入</x:v>
      </x:c>
      <x:c r="T26" s="10" t="str">
        <x:f>'UI检查'!I25</x:f>
        <x:v>未纳入本批</x:v>
      </x:c>
      <x:c r="U26" s="283" t="str">
        <x:v>待确认</x:v>
      </x:c>
      <x:c r="V26" s="282" t="n">
        <x:f>COUNTIFS($B$62:$B$1055,A26,$E$62:$E$1055,"是")</x:f>
        <x:v>0</x:v>
      </x:c>
      <x:c r="W26" s="282" t="n">
        <x:f>COUNTIFS($B$62:$B$1055,A26,$E$62:$E$1055,"是",$O$62:$O$1055,"通过")+COUNTIFS($B$62:$B$1055,A26,$E$62:$E$1055,"是",$O$62:$O$1055,"失败已记录")+COUNTIFS($B$62:$B$1055,A26,$E$62:$E$1055,"是",$O$62:$O$1055,"受阻已记录")+COUNTIFS($B$62:$B$1055,A26,$E$62:$E$1055,"是",$O$62:$O$1055,"缺依据已记录")</x:f>
        <x:v>0</x:v>
      </x:c>
      <x:c r="X26" s="282" t="n">
        <x:f>COUNTIFS($B$62:$B$1055,A26,$E$62:$E$1055,"是",$O$62:$O$1055,"通过")</x:f>
        <x:v>0</x:v>
      </x:c>
      <x:c r="Y26" s="10" t="str">
        <x:f>IF(U26&lt;&gt;"已确认","页面范围待核定",IF((COUNTIFS($B$62:$B$1055,A26)-COUNTIFS($B$62:$B$1055,A26,$E$62:$E$1055,"是")-COUNTIFS($B$62:$B$1055,A26,$E$62:$E$1055,"否"))&gt;0,"页面适用范围未选齐",IF((COUNTIFS($B$62:$B$1055,A26,$E$62:$E$1055,"否")-COUNTIFS($B$62:$B$1055,A26,$E$62:$E$1055,"否",$O$62:$O$1055,"不适用"))&gt;0,"不适用依据未齐",IF(V26=0,"适用页面未登记",IF(W26&lt;V26,"页面走查未覆盖",IF(X26&lt;V26,"已覆盖，仍有失败/受阻/缺依据","页面覆盖已通过"))))))</x:f>
        <x:v>页面范围待核定</x:v>
      </x:c>
    </x:row>
    <x:row r="27" ht="112.5" customHeight="1">
      <x:c r="A27" s="10" t="str">
        <x:v>UI21</x:v>
      </x:c>
      <x:c r="B27" s="10" t="str">
        <x:f>'UI检查'!B26</x:f>
        <x:v>表格操作</x:v>
      </x:c>
      <x:c r="C27" s="10" t="str">
        <x:f>'UI检查'!C26</x:f>
        <x:v>操作位置与间距</x:v>
      </x:c>
      <x:c r="D27" s="10" t="str">
        <x:f>'UI检查'!R26</x:f>
        <x:v>规范／检查建议</x:v>
      </x:c>
      <x:c r="E27" s="10" t="str">
        <x:v>按实际控件/支持端裁剪，依据通用规范与公共基准验证，未交付能力写明不适用。</x:v>
      </x:c>
      <x:c r="F27" s="10" t="str">
        <x:f>'UI检查'!J26</x:f>
        <x:v>横向滚动后检查操作列，测量文字按钮间距。</x:v>
      </x:c>
      <x:c r="G27" s="10" t="str">
        <x:f>'UI检查'!K26</x:f>
        <x:v>操作列位于最右并固定；采用文字按钮；操作间距 16px。</x:v>
      </x:c>
      <x:c r="H27" s="274" t="str">
        <x:v>待选择</x:v>
      </x:c>
      <x:c r="I27" s="274" t="str">
        <x:v>未走查</x:v>
      </x:c>
      <x:c r="J27" s="274"/>
      <x:c r="K27" s="274"/>
      <x:c r="L27" s="274"/>
      <x:c r="M27" s="274"/>
      <x:c r="N27" s="274"/>
      <x:c r="O27" s="274"/>
      <x:c r="P27" s="274"/>
      <x:c r="Q27" s="274"/>
      <x:c r="R27" s="274"/>
      <x:c r="S27" s="10" t="str">
        <x:f>IF(AND(H27="是",OR(I27="已走查",I27="待复查",I27="已复查")),IF(OR(Y27="页面覆盖已通过",Y27="已覆盖，仍有失败/受阻/缺依据"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,Y27)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)</x:f>
        <x:v>未纳入</x:v>
      </x:c>
      <x:c r="T27" s="10" t="str">
        <x:f>'UI检查'!I26</x:f>
        <x:v>未纳入本批</x:v>
      </x:c>
      <x:c r="U27" s="283" t="str">
        <x:v>待确认</x:v>
      </x:c>
      <x:c r="V27" s="282" t="n">
        <x:f>COUNTIFS($B$62:$B$1055,A27,$E$62:$E$1055,"是")</x:f>
        <x:v>0</x:v>
      </x:c>
      <x:c r="W27" s="282" t="n">
        <x:f>COUNTIFS($B$62:$B$1055,A27,$E$62:$E$1055,"是",$O$62:$O$1055,"通过")+COUNTIFS($B$62:$B$1055,A27,$E$62:$E$1055,"是",$O$62:$O$1055,"失败已记录")+COUNTIFS($B$62:$B$1055,A27,$E$62:$E$1055,"是",$O$62:$O$1055,"受阻已记录")+COUNTIFS($B$62:$B$1055,A27,$E$62:$E$1055,"是",$O$62:$O$1055,"缺依据已记录")</x:f>
        <x:v>0</x:v>
      </x:c>
      <x:c r="X27" s="282" t="n">
        <x:f>COUNTIFS($B$62:$B$1055,A27,$E$62:$E$1055,"是",$O$62:$O$1055,"通过")</x:f>
        <x:v>0</x:v>
      </x:c>
      <x:c r="Y27" s="10" t="str">
        <x:f>IF(U27&lt;&gt;"已确认","页面范围待核定",IF((COUNTIFS($B$62:$B$1055,A27)-COUNTIFS($B$62:$B$1055,A27,$E$62:$E$1055,"是")-COUNTIFS($B$62:$B$1055,A27,$E$62:$E$1055,"否"))&gt;0,"页面适用范围未选齐",IF((COUNTIFS($B$62:$B$1055,A27,$E$62:$E$1055,"否")-COUNTIFS($B$62:$B$1055,A27,$E$62:$E$1055,"否",$O$62:$O$1055,"不适用"))&gt;0,"不适用依据未齐",IF(V27=0,"适用页面未登记",IF(W27&lt;V27,"页面走查未覆盖",IF(X27&lt;V27,"已覆盖，仍有失败/受阻/缺依据","页面覆盖已通过"))))))</x:f>
        <x:v>页面范围待核定</x:v>
      </x:c>
    </x:row>
    <x:row r="28" ht="112.5" customHeight="1">
      <x:c r="A28" s="10" t="str">
        <x:v>UI22</x:v>
      </x:c>
      <x:c r="B28" s="10" t="str">
        <x:f>'UI检查'!B27</x:f>
        <x:v>金额字段</x:v>
      </x:c>
      <x:c r="C28" s="10" t="str">
        <x:f>'UI检查'!C27</x:f>
        <x:v>金额右对齐与精度</x:v>
      </x:c>
      <x:c r="D28" s="10" t="str">
        <x:f>'UI检查'!R27</x:f>
        <x:v>规范／检查建议</x:v>
      </x:c>
      <x:c r="E28" s="10" t="str">
        <x:v>按实际控件/支持端裁剪，依据通用规范与公共基准验证，未交付能力写明不适用。</x:v>
      </x:c>
      <x:c r="F28" s="10" t="str">
        <x:f>'UI检查'!J27</x:f>
        <x:v>检查本批价格、成本及计费页面的金额展示。</x:v>
      </x:c>
      <x:c r="G28" s="10" t="str">
        <x:f>'UI检查'!K27</x:f>
        <x:v>项目要求金额右对齐、两位小数；通用规范§9.2要求金额四位小数、千分位及货币符号。先以 DEC10 确认项目例外与展示口径，再验收；不自行定两位或四位。</x:v>
      </x:c>
      <x:c r="H28" s="274" t="str">
        <x:v>待选择</x:v>
      </x:c>
      <x:c r="I28" s="274" t="str">
        <x:v>未走查</x:v>
      </x:c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10" t="str">
        <x:f>IF(AND(H28="是",OR(I28="已走查",I28="待复查",I28="已复查")),IF(OR(Y28="页面覆盖已通过",Y28="已覆盖，仍有失败/受阻/缺依据"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,Y28)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)</x:f>
        <x:v>未纳入</x:v>
      </x:c>
      <x:c r="T28" s="10" t="str">
        <x:f>'UI检查'!I27</x:f>
        <x:v>未纳入本批</x:v>
      </x:c>
      <x:c r="U28" s="283" t="str">
        <x:v>待确认</x:v>
      </x:c>
      <x:c r="V28" s="282" t="n">
        <x:f>COUNTIFS($B$62:$B$1055,A28,$E$62:$E$1055,"是")</x:f>
        <x:v>0</x:v>
      </x:c>
      <x:c r="W28" s="282" t="n">
        <x:f>COUNTIFS($B$62:$B$1055,A28,$E$62:$E$1055,"是",$O$62:$O$1055,"通过")+COUNTIFS($B$62:$B$1055,A28,$E$62:$E$1055,"是",$O$62:$O$1055,"失败已记录")+COUNTIFS($B$62:$B$1055,A28,$E$62:$E$1055,"是",$O$62:$O$1055,"受阻已记录")+COUNTIFS($B$62:$B$1055,A28,$E$62:$E$1055,"是",$O$62:$O$1055,"缺依据已记录")</x:f>
        <x:v>0</x:v>
      </x:c>
      <x:c r="X28" s="282" t="n">
        <x:f>COUNTIFS($B$62:$B$1055,A28,$E$62:$E$1055,"是",$O$62:$O$1055,"通过")</x:f>
        <x:v>0</x:v>
      </x:c>
      <x:c r="Y28" s="10" t="str">
        <x:f>IF(U28&lt;&gt;"已确认","页面范围待核定",IF((COUNTIFS($B$62:$B$1055,A28)-COUNTIFS($B$62:$B$1055,A28,$E$62:$E$1055,"是")-COUNTIFS($B$62:$B$1055,A28,$E$62:$E$1055,"否"))&gt;0,"页面适用范围未选齐",IF((COUNTIFS($B$62:$B$1055,A28,$E$62:$E$1055,"否")-COUNTIFS($B$62:$B$1055,A28,$E$62:$E$1055,"否",$O$62:$O$1055,"不适用"))&gt;0,"不适用依据未齐",IF(V28=0,"适用页面未登记",IF(W28&lt;V28,"页面走查未覆盖",IF(X28&lt;V28,"已覆盖，仍有失败/受阻/缺依据","页面覆盖已通过"))))))</x:f>
        <x:v>页面范围待核定</x:v>
      </x:c>
    </x:row>
    <x:row r="29" ht="112.5" customHeight="1">
      <x:c r="A29" s="10" t="str">
        <x:v>UI23</x:v>
      </x:c>
      <x:c r="B29" s="10" t="str">
        <x:f>'UI检查'!B28</x:f>
        <x:v>状态反馈</x:v>
      </x:c>
      <x:c r="C29" s="10" t="str">
        <x:f>'UI检查'!C28</x:f>
        <x:v>默认、加载、空态与错误</x:v>
      </x:c>
      <x:c r="D29" s="10" t="str">
        <x:f>'UI检查'!R28</x:f>
        <x:v>规范／检查建议</x:v>
      </x:c>
      <x:c r="E29" s="10" t="str">
        <x:v>按实际控件/支持端裁剪，依据通用规范与公共基准验证，未交付能力写明不适用。</x:v>
      </x:c>
      <x:c r="F29" s="10" t="str">
        <x:f>'UI检查'!J28</x:f>
        <x:v>按同一页面检查有数据、无数据、无匹配结果、请求失败和加载。</x:v>
      </x:c>
      <x:c r="G29" s="10" t="str">
        <x:f>'UI检查'!K28</x:f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H29" s="274" t="str">
        <x:v>待选择</x:v>
      </x:c>
      <x:c r="I29" s="274" t="str">
        <x:v>未走查</x:v>
      </x:c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10" t="str">
        <x:f>IF(AND(H29="是",OR(I29="已走查",I29="待复查",I29="已复查")),IF(OR(Y29="页面覆盖已通过",Y29="已覆盖，仍有失败/受阻/缺依据"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,Y29)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)</x:f>
        <x:v>未纳入</x:v>
      </x:c>
      <x:c r="T29" s="10" t="str">
        <x:f>'UI检查'!I28</x:f>
        <x:v>未纳入本批</x:v>
      </x:c>
      <x:c r="U29" s="283" t="str">
        <x:v>待确认</x:v>
      </x:c>
      <x:c r="V29" s="282" t="n">
        <x:f>COUNTIFS($B$62:$B$1055,A29,$E$62:$E$1055,"是")</x:f>
        <x:v>0</x:v>
      </x:c>
      <x:c r="W29" s="282" t="n">
        <x:f>COUNTIFS($B$62:$B$1055,A29,$E$62:$E$1055,"是",$O$62:$O$1055,"通过")+COUNTIFS($B$62:$B$1055,A29,$E$62:$E$1055,"是",$O$62:$O$1055,"失败已记录")+COUNTIFS($B$62:$B$1055,A29,$E$62:$E$1055,"是",$O$62:$O$1055,"受阻已记录")+COUNTIFS($B$62:$B$1055,A29,$E$62:$E$1055,"是",$O$62:$O$1055,"缺依据已记录")</x:f>
        <x:v>0</x:v>
      </x:c>
      <x:c r="X29" s="282" t="n">
        <x:f>COUNTIFS($B$62:$B$1055,A29,$E$62:$E$1055,"是",$O$62:$O$1055,"通过")</x:f>
        <x:v>0</x:v>
      </x:c>
      <x:c r="Y29" s="10" t="str">
        <x:f>IF(U29&lt;&gt;"已确认","页面范围待核定",IF((COUNTIFS($B$62:$B$1055,A29)-COUNTIFS($B$62:$B$1055,A29,$E$62:$E$1055,"是")-COUNTIFS($B$62:$B$1055,A29,$E$62:$E$1055,"否"))&gt;0,"页面适用范围未选齐",IF((COUNTIFS($B$62:$B$1055,A29,$E$62:$E$1055,"否")-COUNTIFS($B$62:$B$1055,A29,$E$62:$E$1055,"否",$O$62:$O$1055,"不适用"))&gt;0,"不适用依据未齐",IF(V29=0,"适用页面未登记",IF(W29&lt;V29,"页面走查未覆盖",IF(X29&lt;V29,"已覆盖，仍有失败/受阻/缺依据","页面覆盖已通过"))))))</x:f>
        <x:v>页面范围待核定</x:v>
      </x:c>
    </x:row>
    <x:row r="30" ht="112.5" customHeight="1">
      <x:c r="A30" s="10" t="str">
        <x:v>UI24</x:v>
      </x:c>
      <x:c r="B30" s="10" t="str">
        <x:f>'UI检查'!B29</x:f>
        <x:v>响应式</x:v>
      </x:c>
      <x:c r="C30" s="10" t="str">
        <x:f>'UI检查'!C29</x:f>
        <x:v>本批支持视口</x:v>
      </x:c>
      <x:c r="D30" s="10" t="str">
        <x:f>'UI检查'!R29</x:f>
        <x:v>规范／检查建议</x:v>
      </x:c>
      <x:c r="E30" s="10" t="str">
        <x:v>按实际控件/支持端裁剪，依据通用规范与公共基准验证，未交付能力写明不适用。</x:v>
      </x:c>
      <x:c r="F30" s="10" t="str">
        <x:f>'UI检查'!J29</x:f>
        <x:v>按本批支持范围检查桌面基准及边界；支持平板或手机时补对应断点。</x:v>
      </x:c>
      <x:c r="G30" s="10" t="str">
        <x:f>'UI检查'!K29</x:f>
        <x:v>桌面设计基准 1440px、范围 ≥1280px；平板 768–1279px；手机 &lt;768px；支持范围需本批确认，无关键操作被截断。</x:v>
      </x:c>
      <x:c r="H30" s="274" t="str">
        <x:v>待选择</x:v>
      </x:c>
      <x:c r="I30" s="274" t="str">
        <x:v>未走查</x:v>
      </x:c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10" t="str">
        <x:f>IF(AND(H30="是",OR(I30="已走查",I30="待复查",I30="已复查")),IF(OR(Y30="页面覆盖已通过",Y30="已覆盖，仍有失败/受阻/缺依据"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,Y30)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)</x:f>
        <x:v>未纳入</x:v>
      </x:c>
      <x:c r="T30" s="10" t="str">
        <x:f>'UI检查'!I29</x:f>
        <x:v>未纳入本批</x:v>
      </x:c>
      <x:c r="U30" s="283" t="str">
        <x:v>待确认</x:v>
      </x:c>
      <x:c r="V30" s="282" t="n">
        <x:f>COUNTIFS($B$62:$B$1055,A30,$E$62:$E$1055,"是")</x:f>
        <x:v>0</x:v>
      </x:c>
      <x:c r="W30" s="282" t="n">
        <x:f>COUNTIFS($B$62:$B$1055,A30,$E$62:$E$1055,"是",$O$62:$O$1055,"通过")+COUNTIFS($B$62:$B$1055,A30,$E$62:$E$1055,"是",$O$62:$O$1055,"失败已记录")+COUNTIFS($B$62:$B$1055,A30,$E$62:$E$1055,"是",$O$62:$O$1055,"受阻已记录")+COUNTIFS($B$62:$B$1055,A30,$E$62:$E$1055,"是",$O$62:$O$1055,"缺依据已记录")</x:f>
        <x:v>0</x:v>
      </x:c>
      <x:c r="X30" s="282" t="n">
        <x:f>COUNTIFS($B$62:$B$1055,A30,$E$62:$E$1055,"是",$O$62:$O$1055,"通过")</x:f>
        <x:v>0</x:v>
      </x:c>
      <x:c r="Y30" s="10" t="str">
        <x:f>IF(U30&lt;&gt;"已确认","页面范围待核定",IF((COUNTIFS($B$62:$B$1055,A30)-COUNTIFS($B$62:$B$1055,A30,$E$62:$E$1055,"是")-COUNTIFS($B$62:$B$1055,A30,$E$62:$E$1055,"否"))&gt;0,"页面适用范围未选齐",IF((COUNTIFS($B$62:$B$1055,A30,$E$62:$E$1055,"否")-COUNTIFS($B$62:$B$1055,A30,$E$62:$E$1055,"否",$O$62:$O$1055,"不适用"))&gt;0,"不适用依据未齐",IF(V30=0,"适用页面未登记",IF(W30&lt;V30,"页面走查未覆盖",IF(X30&lt;V30,"已覆盖，仍有失败/受阻/缺依据","页面覆盖已通过"))))))</x:f>
        <x:v>页面范围待核定</x:v>
      </x:c>
    </x:row>
    <x:row r="31" ht="112.5" customHeight="1">
      <x:c r="A31" s="10" t="str">
        <x:v>UI25</x:v>
      </x:c>
      <x:c r="B31" s="10" t="str">
        <x:f>'UI检查'!B30</x:f>
        <x:v>表单交互</x:v>
      </x:c>
      <x:c r="C31" s="10" t="str">
        <x:f>'UI检查'!C30</x:f>
        <x:v>可操作的控件状态</x:v>
      </x:c>
      <x:c r="D31" s="10" t="str">
        <x:f>'UI检查'!R30</x:f>
        <x:v>规范／检查建议</x:v>
      </x:c>
      <x:c r="E31" s="10" t="str">
        <x:v>按实际控件/支持端裁剪，依据通用规范与公共基准验证，未交付能力写明不适用。</x:v>
      </x:c>
      <x:c r="F31" s="10" t="str">
        <x:f>'UI检查'!J30</x:f>
        <x:v>检查必填、错误、禁用、加载及键盘焦点等本批适用状态。</x:v>
      </x:c>
      <x:c r="G31" s="10" t="str">
        <x:f>'UI检查'!K30</x:f>
        <x:v>状态与可操作性一致；错误对应字段；关键按钮可见、可达；具体样式采用确认基线。</x:v>
      </x:c>
      <x:c r="H31" s="274" t="str">
        <x:v>待选择</x:v>
      </x:c>
      <x:c r="I31" s="274" t="str">
        <x:v>未走查</x:v>
      </x:c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10" t="str">
        <x:f>IF(AND(H31="是",OR(I31="已走查",I31="待复查",I31="已复查")),IF(OR(Y31="页面覆盖已通过",Y31="已覆盖，仍有失败/受阻/缺依据"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,Y31)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)</x:f>
        <x:v>未纳入</x:v>
      </x:c>
      <x:c r="T31" s="10" t="str">
        <x:f>'UI检查'!I30</x:f>
        <x:v>未纳入本批</x:v>
      </x:c>
      <x:c r="U31" s="283" t="str">
        <x:v>待确认</x:v>
      </x:c>
      <x:c r="V31" s="282" t="n">
        <x:f>COUNTIFS($B$62:$B$1055,A31,$E$62:$E$1055,"是")</x:f>
        <x:v>0</x:v>
      </x:c>
      <x:c r="W31" s="282" t="n">
        <x:f>COUNTIFS($B$62:$B$1055,A31,$E$62:$E$1055,"是",$O$62:$O$1055,"通过")+COUNTIFS($B$62:$B$1055,A31,$E$62:$E$1055,"是",$O$62:$O$1055,"失败已记录")+COUNTIFS($B$62:$B$1055,A31,$E$62:$E$1055,"是",$O$62:$O$1055,"受阻已记录")+COUNTIFS($B$62:$B$1055,A31,$E$62:$E$1055,"是",$O$62:$O$1055,"缺依据已记录")</x:f>
        <x:v>0</x:v>
      </x:c>
      <x:c r="X31" s="282" t="n">
        <x:f>COUNTIFS($B$62:$B$1055,A31,$E$62:$E$1055,"是",$O$62:$O$1055,"通过")</x:f>
        <x:v>0</x:v>
      </x:c>
      <x:c r="Y31" s="10" t="str">
        <x:f>IF(U31&lt;&gt;"已确认","页面范围待核定",IF((COUNTIFS($B$62:$B$1055,A31)-COUNTIFS($B$62:$B$1055,A31,$E$62:$E$1055,"是")-COUNTIFS($B$62:$B$1055,A31,$E$62:$E$1055,"否"))&gt;0,"页面适用范围未选齐",IF((COUNTIFS($B$62:$B$1055,A31,$E$62:$E$1055,"否")-COUNTIFS($B$62:$B$1055,A31,$E$62:$E$1055,"否",$O$62:$O$1055,"不适用"))&gt;0,"不适用依据未齐",IF(V31=0,"适用页面未登记",IF(W31&lt;V31,"页面走查未覆盖",IF(X31&lt;V31,"已覆盖，仍有失败/受阻/缺依据","页面覆盖已通过"))))))</x:f>
        <x:v>页面范围待核定</x:v>
      </x:c>
    </x:row>
    <x:row r="32" ht="112.5" customHeight="1">
      <x:c r="A32" s="10" t="str">
        <x:v>UI26</x:v>
      </x:c>
      <x:c r="B32" s="10" t="str">
        <x:f>'UI检查'!B31</x:f>
        <x:v>长内容</x:v>
      </x:c>
      <x:c r="C32" s="10" t="str">
        <x:f>'UI检查'!C31</x:f>
        <x:v>长文本与内容滚动</x:v>
      </x:c>
      <x:c r="D32" s="10" t="str">
        <x:f>'UI检查'!R31</x:f>
        <x:v>规范／检查建议</x:v>
      </x:c>
      <x:c r="E32" s="10" t="str">
        <x:v>按实际控件/支持端裁剪，依据通用规范与公共基准验证，未交付能力写明不适用。</x:v>
      </x:c>
      <x:c r="F32" s="10" t="str">
        <x:f>'UI检查'!J31</x:f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G32" s="10" t="str">
        <x:f>'UI检查'!K31</x:f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H32" s="274" t="str">
        <x:v>待选择</x:v>
      </x:c>
      <x:c r="I32" s="274" t="str">
        <x:v>未走查</x:v>
      </x:c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10" t="str">
        <x:f>IF(AND(H32="是",OR(I32="已走查",I32="待复查",I32="已复查")),IF(OR(Y32="页面覆盖已通过",Y32="已覆盖，仍有失败/受阻/缺依据"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,Y32)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)</x:f>
        <x:v>未纳入</x:v>
      </x:c>
      <x:c r="T32" s="10" t="str">
        <x:f>'UI检查'!I31</x:f>
        <x:v>未纳入本批</x:v>
      </x:c>
      <x:c r="U32" s="283" t="str">
        <x:v>待确认</x:v>
      </x:c>
      <x:c r="V32" s="282" t="n">
        <x:f>COUNTIFS($B$62:$B$1055,A32,$E$62:$E$1055,"是")</x:f>
        <x:v>0</x:v>
      </x:c>
      <x:c r="W32" s="282" t="n">
        <x:f>COUNTIFS($B$62:$B$1055,A32,$E$62:$E$1055,"是",$O$62:$O$1055,"通过")+COUNTIFS($B$62:$B$1055,A32,$E$62:$E$1055,"是",$O$62:$O$1055,"失败已记录")+COUNTIFS($B$62:$B$1055,A32,$E$62:$E$1055,"是",$O$62:$O$1055,"受阻已记录")+COUNTIFS($B$62:$B$1055,A32,$E$62:$E$1055,"是",$O$62:$O$1055,"缺依据已记录")</x:f>
        <x:v>0</x:v>
      </x:c>
      <x:c r="X32" s="282" t="n">
        <x:f>COUNTIFS($B$62:$B$1055,A32,$E$62:$E$1055,"是",$O$62:$O$1055,"通过")</x:f>
        <x:v>0</x:v>
      </x:c>
      <x:c r="Y32" s="10" t="str">
        <x:f>IF(U32&lt;&gt;"已确认","页面范围待核定",IF((COUNTIFS($B$62:$B$1055,A32)-COUNTIFS($B$62:$B$1055,A32,$E$62:$E$1055,"是")-COUNTIFS($B$62:$B$1055,A32,$E$62:$E$1055,"否"))&gt;0,"页面适用范围未选齐",IF((COUNTIFS($B$62:$B$1055,A32,$E$62:$E$1055,"否")-COUNTIFS($B$62:$B$1055,A32,$E$62:$E$1055,"否",$O$62:$O$1055,"不适用"))&gt;0,"不适用依据未齐",IF(V32=0,"适用页面未登记",IF(W32&lt;V32,"页面走查未覆盖",IF(X32&lt;V32,"已覆盖，仍有失败/受阻/缺依据","页面覆盖已通过"))))))</x:f>
        <x:v>页面范围待核定</x:v>
      </x:c>
    </x:row>
    <x:row r="33" ht="112.5" customHeight="1">
      <x:c r="A33" s="10" t="str">
        <x:v>UI27</x:v>
      </x:c>
      <x:c r="B33" s="10" t="str">
        <x:f>'UI检查'!B32</x:f>
        <x:v>通用间距</x:v>
      </x:c>
      <x:c r="C33" s="10" t="str">
        <x:f>'UI检查'!C32</x:f>
        <x:v>间距Token与页面留白</x:v>
      </x:c>
      <x:c r="D33" s="10" t="str">
        <x:f>'UI检查'!R32</x:f>
        <x:v>规范／检查建议</x:v>
      </x:c>
      <x:c r="E33" s="10" t="str">
        <x:v>按实际控件/支持端裁剪，依据通用规范与公共基准验证，未交付能力写明不适用。</x:v>
      </x:c>
      <x:c r="F33" s="10" t="str">
        <x:f>'UI检查'!J32</x:f>
        <x:v>测量图标文字、表单、模块及页面内边距，并记录CSS像素。</x:v>
      </x:c>
      <x:c r="G33" s="10" t="str">
        <x:f>'UI检查'!K32</x:f>
        <x:v>基础单位4px；Token4/8/16/24/32/48px；图标文字4px、页面内容及模块间距24px；组件专用值优先使用对应章节。</x:v>
      </x:c>
      <x:c r="H33" s="274" t="str">
        <x:v>待选择</x:v>
      </x:c>
      <x:c r="I33" s="274" t="str">
        <x:v>未走查</x:v>
      </x:c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10" t="str">
        <x:f>IF(AND(H33="是",OR(I33="已走查",I33="待复查",I33="已复查")),IF(OR(Y33="页面覆盖已通过",Y33="已覆盖，仍有失败/受阻/缺依据"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,Y33)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)</x:f>
        <x:v>未纳入</x:v>
      </x:c>
      <x:c r="T33" s="10" t="str">
        <x:f>'UI检查'!I32</x:f>
        <x:v>未纳入本批</x:v>
      </x:c>
      <x:c r="U33" s="283" t="str">
        <x:v>待确认</x:v>
      </x:c>
      <x:c r="V33" s="282" t="n">
        <x:f>COUNTIFS($B$62:$B$1055,A33,$E$62:$E$1055,"是")</x:f>
        <x:v>0</x:v>
      </x:c>
      <x:c r="W33" s="282" t="n">
        <x:f>COUNTIFS($B$62:$B$1055,A33,$E$62:$E$1055,"是",$O$62:$O$1055,"通过")+COUNTIFS($B$62:$B$1055,A33,$E$62:$E$1055,"是",$O$62:$O$1055,"失败已记录")+COUNTIFS($B$62:$B$1055,A33,$E$62:$E$1055,"是",$O$62:$O$1055,"受阻已记录")+COUNTIFS($B$62:$B$1055,A33,$E$62:$E$1055,"是",$O$62:$O$1055,"缺依据已记录")</x:f>
        <x:v>0</x:v>
      </x:c>
      <x:c r="X33" s="282" t="n">
        <x:f>COUNTIFS($B$62:$B$1055,A33,$E$62:$E$1055,"是",$O$62:$O$1055,"通过")</x:f>
        <x:v>0</x:v>
      </x:c>
      <x:c r="Y33" s="10" t="str">
        <x:f>IF(U33&lt;&gt;"已确认","页面范围待核定",IF((COUNTIFS($B$62:$B$1055,A33)-COUNTIFS($B$62:$B$1055,A33,$E$62:$E$1055,"是")-COUNTIFS($B$62:$B$1055,A33,$E$62:$E$1055,"否"))&gt;0,"页面适用范围未选齐",IF((COUNTIFS($B$62:$B$1055,A33,$E$62:$E$1055,"否")-COUNTIFS($B$62:$B$1055,A33,$E$62:$E$1055,"否",$O$62:$O$1055,"不适用"))&gt;0,"不适用依据未齐",IF(V33=0,"适用页面未登记",IF(W33&lt;V33,"页面走查未覆盖",IF(X33&lt;V33,"已覆盖，仍有失败/受阻/缺依据","页面覆盖已通过"))))))</x:f>
        <x:v>页面范围待核定</x:v>
      </x:c>
    </x:row>
    <x:row r="34" ht="112.5" customHeight="1">
      <x:c r="A34" s="10" t="str">
        <x:v>UI28</x:v>
      </x:c>
      <x:c r="B34" s="10" t="str">
        <x:f>'UI检查'!B33</x:f>
        <x:v>按钮</x:v>
      </x:c>
      <x:c r="C34" s="10" t="str">
        <x:f>'UI检查'!C33</x:f>
        <x:v>主次、危险和状态语义</x:v>
      </x:c>
      <x:c r="D34" s="10" t="str">
        <x:f>'UI检查'!R33</x:f>
        <x:v>规范／检查建议</x:v>
      </x:c>
      <x:c r="E34" s="10" t="str">
        <x:v>按实际控件/支持端裁剪，依据通用规范与公共基准验证，未交付能力写明不适用。</x:v>
      </x:c>
      <x:c r="F34" s="10" t="str">
        <x:f>'UI检查'!J33</x:f>
        <x:v>检查一个区域内主按钮数量、颜色和提交中重复点击。</x:v>
      </x:c>
      <x:c r="G34" s="10" t="str">
        <x:f>'UI检查'!K33</x:f>
        <x:v>区域最多1主按钮；主色#046EFC、危险#E24B4A；表格行内文字按钮；实际交互状态沿用规范，提交中禁止重复触发。</x:v>
      </x:c>
      <x:c r="H34" s="274" t="str">
        <x:v>待选择</x:v>
      </x:c>
      <x:c r="I34" s="274" t="str">
        <x:v>未走查</x:v>
      </x:c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10" t="str">
        <x:f>IF(AND(H34="是",OR(I34="已走查",I34="待复查",I34="已复查")),IF(OR(Y34="页面覆盖已通过",Y34="已覆盖，仍有失败/受阻/缺依据"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,Y34)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)</x:f>
        <x:v>未纳入</x:v>
      </x:c>
      <x:c r="T34" s="10" t="str">
        <x:f>'UI检查'!I33</x:f>
        <x:v>未纳入本批</x:v>
      </x:c>
      <x:c r="U34" s="283" t="str">
        <x:v>待确认</x:v>
      </x:c>
      <x:c r="V34" s="282" t="n">
        <x:f>COUNTIFS($B$62:$B$1055,A34,$E$62:$E$1055,"是")</x:f>
        <x:v>0</x:v>
      </x:c>
      <x:c r="W34" s="282" t="n">
        <x:f>COUNTIFS($B$62:$B$1055,A34,$E$62:$E$1055,"是",$O$62:$O$1055,"通过")+COUNTIFS($B$62:$B$1055,A34,$E$62:$E$1055,"是",$O$62:$O$1055,"失败已记录")+COUNTIFS($B$62:$B$1055,A34,$E$62:$E$1055,"是",$O$62:$O$1055,"受阻已记录")+COUNTIFS($B$62:$B$1055,A34,$E$62:$E$1055,"是",$O$62:$O$1055,"缺依据已记录")</x:f>
        <x:v>0</x:v>
      </x:c>
      <x:c r="X34" s="282" t="n">
        <x:f>COUNTIFS($B$62:$B$1055,A34,$E$62:$E$1055,"是",$O$62:$O$1055,"通过")</x:f>
        <x:v>0</x:v>
      </x:c>
      <x:c r="Y34" s="10" t="str">
        <x:f>IF(U34&lt;&gt;"已确认","页面范围待核定",IF((COUNTIFS($B$62:$B$1055,A34)-COUNTIFS($B$62:$B$1055,A34,$E$62:$E$1055,"是")-COUNTIFS($B$62:$B$1055,A34,$E$62:$E$1055,"否"))&gt;0,"页面适用范围未选齐",IF((COUNTIFS($B$62:$B$1055,A34,$E$62:$E$1055,"否")-COUNTIFS($B$62:$B$1055,A34,$E$62:$E$1055,"否",$O$62:$O$1055,"不适用"))&gt;0,"不适用依据未齐",IF(V34=0,"适用页面未登记",IF(W34&lt;V34,"页面走查未覆盖",IF(X34&lt;V34,"已覆盖，仍有失败/受阻/缺依据","页面覆盖已通过"))))))</x:f>
        <x:v>页面范围待核定</x:v>
      </x:c>
    </x:row>
    <x:row r="35" ht="112.5" customHeight="1">
      <x:c r="A35" s="10" t="str">
        <x:v>UI29</x:v>
      </x:c>
      <x:c r="B35" s="10" t="str">
        <x:f>'UI检查'!B34</x:f>
        <x:v>数据展示</x:v>
      </x:c>
      <x:c r="C35" s="10" t="str">
        <x:f>'UI检查'!C34</x:f>
        <x:v>缺失值与真实零值</x:v>
      </x:c>
      <x:c r="D35" s="10" t="str">
        <x:f>'UI检查'!R34</x:f>
        <x:v>规范／检查建议</x:v>
      </x:c>
      <x:c r="E35" s="10" t="str">
        <x:v>按实际控件/支持端裁剪，依据通用规范与公共基准验证，未交付能力写明不适用。</x:v>
      </x:c>
      <x:c r="F35" s="10" t="str">
        <x:f>'UI检查'!J34</x:f>
        <x:v>分别准备无值、真实0、金额、重量、件数、百分比和体积字段；核对小数位、千分位、符号/单位及同列格式，不改变原始计算值。</x:v>
      </x:c>
      <x:c r="G35" s="10" t="str">
        <x:f>'UI检查'!K34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H35" s="274" t="str">
        <x:v>待选择</x:v>
      </x:c>
      <x:c r="I35" s="274" t="str">
        <x:v>未走查</x:v>
      </x:c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10" t="str">
        <x:f>IF(AND(H35="是",OR(I35="已走查",I35="待复查",I35="已复查")),IF(OR(Y35="页面覆盖已通过",Y35="已覆盖，仍有失败/受阻/缺依据"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,Y35)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)</x:f>
        <x:v>未纳入</x:v>
      </x:c>
      <x:c r="T35" s="10" t="str">
        <x:f>'UI检查'!I34</x:f>
        <x:v>未纳入本批</x:v>
      </x:c>
      <x:c r="U35" s="283" t="str">
        <x:v>待确认</x:v>
      </x:c>
      <x:c r="V35" s="282" t="n">
        <x:f>COUNTIFS($B$62:$B$1055,A35,$E$62:$E$1055,"是")</x:f>
        <x:v>0</x:v>
      </x:c>
      <x:c r="W35" s="282" t="n">
        <x:f>COUNTIFS($B$62:$B$1055,A35,$E$62:$E$1055,"是",$O$62:$O$1055,"通过")+COUNTIFS($B$62:$B$1055,A35,$E$62:$E$1055,"是",$O$62:$O$1055,"失败已记录")+COUNTIFS($B$62:$B$1055,A35,$E$62:$E$1055,"是",$O$62:$O$1055,"受阻已记录")+COUNTIFS($B$62:$B$1055,A35,$E$62:$E$1055,"是",$O$62:$O$1055,"缺依据已记录")</x:f>
        <x:v>0</x:v>
      </x:c>
      <x:c r="X35" s="282" t="n">
        <x:f>COUNTIFS($B$62:$B$1055,A35,$E$62:$E$1055,"是",$O$62:$O$1055,"通过")</x:f>
        <x:v>0</x:v>
      </x:c>
      <x:c r="Y35" s="10" t="str">
        <x:f>IF(U35&lt;&gt;"已确认","页面范围待核定",IF((COUNTIFS($B$62:$B$1055,A35)-COUNTIFS($B$62:$B$1055,A35,$E$62:$E$1055,"是")-COUNTIFS($B$62:$B$1055,A35,$E$62:$E$1055,"否"))&gt;0,"页面适用范围未选齐",IF((COUNTIFS($B$62:$B$1055,A35,$E$62:$E$1055,"否")-COUNTIFS($B$62:$B$1055,A35,$E$62:$E$1055,"否",$O$62:$O$1055,"不适用"))&gt;0,"不适用依据未齐",IF(V35=0,"适用页面未登记",IF(W35&lt;V35,"页面走查未覆盖",IF(X35&lt;V35,"已覆盖，仍有失败/受阻/缺依据","页面覆盖已通过"))))))</x:f>
        <x:v>页面范围待核定</x:v>
      </x:c>
    </x:row>
    <x:row r="36" ht="112.5" customHeight="1">
      <x:c r="A36" s="10" t="str">
        <x:v>UI30</x:v>
      </x:c>
      <x:c r="B36" s="10" t="str">
        <x:f>'UI检查'!B35</x:f>
        <x:v>时间展示</x:v>
      </x:c>
      <x:c r="C36" s="10" t="str">
        <x:f>'UI检查'!C35</x:f>
        <x:v>日期、分钟与秒格式</x:v>
      </x:c>
      <x:c r="D36" s="10" t="str">
        <x:f>'UI检查'!R35</x:f>
        <x:v>规范／检查建议</x:v>
      </x:c>
      <x:c r="E36" s="10" t="str">
        <x:v>按实际控件/支持端裁剪，依据通用规范与公共基准验证，未交付能力写明不适用。</x:v>
      </x:c>
      <x:c r="F36" s="10" t="str">
        <x:f>'UI检查'!J35</x:f>
        <x:v>检查列表和详情同一时间列，区分日期和需要秒的记录。</x:v>
      </x:c>
      <x:c r="G36" s="10" t="str">
        <x:f>'UI检查'!K35</x:f>
        <x:v>默认YYYY-MM-DD HH:mm；需秒用HH:mm:ss；日期YYYY-MM-DD；不使用斜线和12小时制；同列格式一致；时区由业务基线确认。</x:v>
      </x:c>
      <x:c r="H36" s="274" t="str">
        <x:v>待选择</x:v>
      </x:c>
      <x:c r="I36" s="274" t="str">
        <x:v>未走查</x:v>
      </x:c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10" t="str">
        <x:f>IF(AND(H36="是",OR(I36="已走查",I36="待复查",I36="已复查")),IF(OR(Y36="页面覆盖已通过",Y36="已覆盖，仍有失败/受阻/缺依据"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,Y36)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)</x:f>
        <x:v>未纳入</x:v>
      </x:c>
      <x:c r="T36" s="10" t="str">
        <x:f>'UI检查'!I35</x:f>
        <x:v>未纳入本批</x:v>
      </x:c>
      <x:c r="U36" s="283" t="str">
        <x:v>待确认</x:v>
      </x:c>
      <x:c r="V36" s="282" t="n">
        <x:f>COUNTIFS($B$62:$B$1055,A36,$E$62:$E$1055,"是")</x:f>
        <x:v>0</x:v>
      </x:c>
      <x:c r="W36" s="282" t="n">
        <x:f>COUNTIFS($B$62:$B$1055,A36,$E$62:$E$1055,"是",$O$62:$O$1055,"通过")+COUNTIFS($B$62:$B$1055,A36,$E$62:$E$1055,"是",$O$62:$O$1055,"失败已记录")+COUNTIFS($B$62:$B$1055,A36,$E$62:$E$1055,"是",$O$62:$O$1055,"受阻已记录")+COUNTIFS($B$62:$B$1055,A36,$E$62:$E$1055,"是",$O$62:$O$1055,"缺依据已记录")</x:f>
        <x:v>0</x:v>
      </x:c>
      <x:c r="X36" s="282" t="n">
        <x:f>COUNTIFS($B$62:$B$1055,A36,$E$62:$E$1055,"是",$O$62:$O$1055,"通过")</x:f>
        <x:v>0</x:v>
      </x:c>
      <x:c r="Y36" s="10" t="str">
        <x:f>IF(U36&lt;&gt;"已确认","页面范围待核定",IF((COUNTIFS($B$62:$B$1055,A36)-COUNTIFS($B$62:$B$1055,A36,$E$62:$E$1055,"是")-COUNTIFS($B$62:$B$1055,A36,$E$62:$E$1055,"否"))&gt;0,"页面适用范围未选齐",IF((COUNTIFS($B$62:$B$1055,A36,$E$62:$E$1055,"否")-COUNTIFS($B$62:$B$1055,A36,$E$62:$E$1055,"否",$O$62:$O$1055,"不适用"))&gt;0,"不适用依据未齐",IF(V36=0,"适用页面未登记",IF(W36&lt;V36,"页面走查未覆盖",IF(X36&lt;V36,"已覆盖，仍有失败/受阻/缺依据","页面覆盖已通过"))))))</x:f>
        <x:v>页面范围待核定</x:v>
      </x:c>
    </x:row>
    <x:row r="37" ht="112.5" customHeight="1">
      <x:c r="A37" s="10" t="str">
        <x:v>UI31</x:v>
      </x:c>
      <x:c r="B37" s="10" t="str">
        <x:f>'UI检查'!B36</x:f>
        <x:v>表单布局</x:v>
      </x:c>
      <x:c r="C37" s="10" t="str">
        <x:f>'UI检查'!C36</x:f>
        <x:v>字段上下排与宽度</x:v>
      </x:c>
      <x:c r="D37" s="10" t="str">
        <x:f>'UI检查'!R36</x:f>
        <x:v>规范／检查建议</x:v>
      </x:c>
      <x:c r="E37" s="10" t="str">
        <x:v>按实际控件/支持端裁剪，依据通用规范与公共基准验证，未交付能力写明不适用。</x:v>
      </x:c>
      <x:c r="F37" s="10" t="str">
        <x:f>'UI检查'!J36</x:f>
        <x:v>在确认视口检查新增／编辑表单及双列表单。</x:v>
      </x:c>
      <x:c r="G37" s="10" t="str">
        <x:f>'UI检查'!K36</x:f>
        <x:v>字段名在上、输入框在下；表单区域最大720px；字段名到输入框8px，表单项24px；≥1440px双列内部仍上下排，列间24px，长字段可跨列。</x:v>
      </x:c>
      <x:c r="H37" s="274" t="str">
        <x:v>待选择</x:v>
      </x:c>
      <x:c r="I37" s="274" t="str">
        <x:v>未走查</x:v>
      </x:c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10" t="str">
        <x:f>IF(AND(H37="是",OR(I37="已走查",I37="待复查",I37="已复查")),IF(OR(Y37="页面覆盖已通过",Y37="已覆盖，仍有失败/受阻/缺依据"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,Y37)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)</x:f>
        <x:v>未纳入</x:v>
      </x:c>
      <x:c r="T37" s="10" t="str">
        <x:f>'UI检查'!I36</x:f>
        <x:v>未纳入本批</x:v>
      </x:c>
      <x:c r="U37" s="283" t="str">
        <x:v>待确认</x:v>
      </x:c>
      <x:c r="V37" s="282" t="n">
        <x:f>COUNTIFS($B$62:$B$1055,A37,$E$62:$E$1055,"是")</x:f>
        <x:v>0</x:v>
      </x:c>
      <x:c r="W37" s="282" t="n">
        <x:f>COUNTIFS($B$62:$B$1055,A37,$E$62:$E$1055,"是",$O$62:$O$1055,"通过")+COUNTIFS($B$62:$B$1055,A37,$E$62:$E$1055,"是",$O$62:$O$1055,"失败已记录")+COUNTIFS($B$62:$B$1055,A37,$E$62:$E$1055,"是",$O$62:$O$1055,"受阻已记录")+COUNTIFS($B$62:$B$1055,A37,$E$62:$E$1055,"是",$O$62:$O$1055,"缺依据已记录")</x:f>
        <x:v>0</x:v>
      </x:c>
      <x:c r="X37" s="282" t="n">
        <x:f>COUNTIFS($B$62:$B$1055,A37,$E$62:$E$1055,"是",$O$62:$O$1055,"通过")</x:f>
        <x:v>0</x:v>
      </x:c>
      <x:c r="Y37" s="10" t="str">
        <x:f>IF(U37&lt;&gt;"已确认","页面范围待核定",IF((COUNTIFS($B$62:$B$1055,A37)-COUNTIFS($B$62:$B$1055,A37,$E$62:$E$1055,"是")-COUNTIFS($B$62:$B$1055,A37,$E$62:$E$1055,"否"))&gt;0,"页面适用范围未选齐",IF((COUNTIFS($B$62:$B$1055,A37,$E$62:$E$1055,"否")-COUNTIFS($B$62:$B$1055,A37,$E$62:$E$1055,"否",$O$62:$O$1055,"不适用"))&gt;0,"不适用依据未齐",IF(V37=0,"适用页面未登记",IF(W37&lt;V37,"页面走查未覆盖",IF(X37&lt;V37,"已覆盖，仍有失败/受阻/缺依据","页面覆盖已通过"))))))</x:f>
        <x:v>页面范围待核定</x:v>
      </x:c>
    </x:row>
    <x:row r="38" ht="112.5" customHeight="1">
      <x:c r="A38" s="10" t="str">
        <x:v>UI32</x:v>
      </x:c>
      <x:c r="B38" s="10" t="str">
        <x:f>'UI检查'!B37</x:f>
        <x:v>比对方法</x:v>
      </x:c>
      <x:c r="C38" s="10" t="str">
        <x:f>'UI检查'!C37</x:f>
        <x:v>可复现的UI证据</x:v>
      </x:c>
      <x:c r="D38" s="10" t="str">
        <x:f>'UI检查'!R37</x:f>
        <x:v>规范／检查建议</x:v>
      </x:c>
      <x:c r="E38" s="10" t="str">
        <x:v>按实际控件/支持端裁剪，依据通用规范与公共基准验证，未交付能力写明不适用。</x:v>
      </x:c>
      <x:c r="F38" s="10" t="str">
        <x:f>'UI检查'!J37</x:f>
        <x:v>同URL、账号角色、数据、视口、缩放、字体和状态截图；记录规范／设计版本；必要时读取computed style。</x:v>
      </x:c>
      <x:c r="G38" s="10" t="str">
        <x:f>'UI检查'!K37</x:f>
        <x:v>证据能复现；动态时间等仅按批准遮罩；逐项量值和交互判定。未批准像素容差／截图差异阈值时，不自行以像素相似度作为提测门槛。</x:v>
      </x:c>
      <x:c r="H38" s="274" t="str">
        <x:v>待选择</x:v>
      </x:c>
      <x:c r="I38" s="274" t="str">
        <x:v>未走查</x:v>
      </x:c>
      <x:c r="J38" s="274"/>
      <x:c r="K38" s="274"/>
      <x:c r="L38" s="274"/>
      <x:c r="M38" s="274"/>
      <x:c r="N38" s="274"/>
      <x:c r="O38" s="274"/>
      <x:c r="P38" s="274"/>
      <x:c r="Q38" s="274"/>
      <x:c r="R38" s="274"/>
      <x:c r="S38" s="10" t="str">
        <x:f>IF(AND(H38="是",OR(I38="已走查",I38="待复查",I38="已复查")),IF(OR(Y38="页面覆盖已通过",Y38="已覆盖，仍有失败/受阻/缺依据"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,Y38)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)</x:f>
        <x:v>未纳入</x:v>
      </x:c>
      <x:c r="T38" s="10" t="str">
        <x:f>'UI检查'!I37</x:f>
        <x:v>未纳入本批</x:v>
      </x:c>
      <x:c r="U38" s="283" t="str">
        <x:v>待确认</x:v>
      </x:c>
      <x:c r="V38" s="282" t="n">
        <x:f>COUNTIFS($B$62:$B$1055,A38,$E$62:$E$1055,"是")</x:f>
        <x:v>0</x:v>
      </x:c>
      <x:c r="W38" s="282" t="n">
        <x:f>COUNTIFS($B$62:$B$1055,A38,$E$62:$E$1055,"是",$O$62:$O$1055,"通过")+COUNTIFS($B$62:$B$1055,A38,$E$62:$E$1055,"是",$O$62:$O$1055,"失败已记录")+COUNTIFS($B$62:$B$1055,A38,$E$62:$E$1055,"是",$O$62:$O$1055,"受阻已记录")+COUNTIFS($B$62:$B$1055,A38,$E$62:$E$1055,"是",$O$62:$O$1055,"缺依据已记录")</x:f>
        <x:v>0</x:v>
      </x:c>
      <x:c r="X38" s="282" t="n">
        <x:f>COUNTIFS($B$62:$B$1055,A38,$E$62:$E$1055,"是",$O$62:$O$1055,"通过")</x:f>
        <x:v>0</x:v>
      </x:c>
      <x:c r="Y38" s="10" t="str">
        <x:f>IF(U38&lt;&gt;"已确认","页面范围待核定",IF((COUNTIFS($B$62:$B$1055,A38)-COUNTIFS($B$62:$B$1055,A38,$E$62:$E$1055,"是")-COUNTIFS($B$62:$B$1055,A38,$E$62:$E$1055,"否"))&gt;0,"页面适用范围未选齐",IF((COUNTIFS($B$62:$B$1055,A38,$E$62:$E$1055,"否")-COUNTIFS($B$62:$B$1055,A38,$E$62:$E$1055,"否",$O$62:$O$1055,"不适用"))&gt;0,"不适用依据未齐",IF(V38=0,"适用页面未登记",IF(W38&lt;V38,"页面走查未覆盖",IF(X38&lt;V38,"已覆盖，仍有失败/受阻/缺依据","页面覆盖已通过"))))))</x:f>
        <x:v>页面范围待核定</x:v>
      </x:c>
    </x:row>
    <x:row r="39" ht="112.5" customHeight="1">
      <x:c r="A39" s="10" t="str">
        <x:v>UI33</x:v>
      </x:c>
      <x:c r="B39" s="10" t="str">
        <x:f>'UI检查'!B38</x:f>
        <x:v>页签Tabs</x:v>
      </x:c>
      <x:c r="C39" s="10" t="str">
        <x:f>'UI检查'!C38</x:f>
        <x:v>适用范围、结构与密度</x:v>
      </x:c>
      <x:c r="D39" s="10" t="str">
        <x:f>'UI检查'!R38</x:f>
        <x:v>规范／检查建议</x:v>
      </x:c>
      <x:c r="E39" s="10" t="str">
        <x:v>按实际控件/支持端裁剪，依据通用规范与公共基准验证，未交付能力写明不适用。</x:v>
      </x:c>
      <x:c r="F39" s="10" t="str">
        <x:f>'UI检查'!J38</x:f>
        <x:v>仅页面采用Tabs时，核对同级视图、数量、页头／列表变体、hover与选中态；核对Review基础配置层级方案。</x:v>
      </x:c>
      <x:c r="G39" s="10" t="str">
        <x:f>'UI检查'!K38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H39" s="274" t="str">
        <x:v>待选择</x:v>
      </x:c>
      <x:c r="I39" s="274" t="str">
        <x:v>未走查</x:v>
      </x:c>
      <x:c r="J39" s="274"/>
      <x:c r="K39" s="274"/>
      <x:c r="L39" s="274"/>
      <x:c r="M39" s="274"/>
      <x:c r="N39" s="274"/>
      <x:c r="O39" s="274"/>
      <x:c r="P39" s="274"/>
      <x:c r="Q39" s="274"/>
      <x:c r="R39" s="274"/>
      <x:c r="S39" s="10" t="str">
        <x:f>IF(AND(H39="是",OR(I39="已走查",I39="待复查",I39="已复查")),IF(OR(Y39="页面覆盖已通过",Y39="已覆盖，仍有失败/受阻/缺依据"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,Y39)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)</x:f>
        <x:v>未纳入</x:v>
      </x:c>
      <x:c r="T39" s="10" t="str">
        <x:f>'UI检查'!I38</x:f>
        <x:v>未纳入本批</x:v>
      </x:c>
      <x:c r="U39" s="283" t="str">
        <x:v>待确认</x:v>
      </x:c>
      <x:c r="V39" s="282" t="n">
        <x:f>COUNTIFS($B$62:$B$1055,A39,$E$62:$E$1055,"是")</x:f>
        <x:v>0</x:v>
      </x:c>
      <x:c r="W39" s="282" t="n">
        <x:f>COUNTIFS($B$62:$B$1055,A39,$E$62:$E$1055,"是",$O$62:$O$1055,"通过")+COUNTIFS($B$62:$B$1055,A39,$E$62:$E$1055,"是",$O$62:$O$1055,"失败已记录")+COUNTIFS($B$62:$B$1055,A39,$E$62:$E$1055,"是",$O$62:$O$1055,"受阻已记录")+COUNTIFS($B$62:$B$1055,A39,$E$62:$E$1055,"是",$O$62:$O$1055,"缺依据已记录")</x:f>
        <x:v>0</x:v>
      </x:c>
      <x:c r="X39" s="282" t="n">
        <x:f>COUNTIFS($B$62:$B$1055,A39,$E$62:$E$1055,"是",$O$62:$O$1055,"通过")</x:f>
        <x:v>0</x:v>
      </x:c>
      <x:c r="Y39" s="10" t="str">
        <x:f>IF(U39&lt;&gt;"已确认","页面范围待核定",IF((COUNTIFS($B$62:$B$1055,A39)-COUNTIFS($B$62:$B$1055,A39,$E$62:$E$1055,"是")-COUNTIFS($B$62:$B$1055,A39,$E$62:$E$1055,"否"))&gt;0,"页面适用范围未选齐",IF((COUNTIFS($B$62:$B$1055,A39,$E$62:$E$1055,"否")-COUNTIFS($B$62:$B$1055,A39,$E$62:$E$1055,"否",$O$62:$O$1055,"不适用"))&gt;0,"不适用依据未齐",IF(V39=0,"适用页面未登记",IF(W39&lt;V39,"页面走查未覆盖",IF(X39&lt;V39,"已覆盖，仍有失败/受阻/缺依据","页面覆盖已通过"))))))</x:f>
        <x:v>页面范围待核定</x:v>
      </x:c>
    </x:row>
    <x:row r="40" ht="112.5" customHeight="1">
      <x:c r="A40" s="10" t="str">
        <x:v>UI34</x:v>
      </x:c>
      <x:c r="B40" s="10" t="str">
        <x:f>'UI检查'!B39</x:f>
        <x:v>页签Tabs</x:v>
      </x:c>
      <x:c r="C40" s="10" t="str">
        <x:f>'UI检查'!C39</x:f>
        <x:v>内容切换、键盘与响应式</x:v>
      </x:c>
      <x:c r="D40" s="10" t="str">
        <x:f>'UI检查'!R39</x:f>
        <x:v>规范／检查建议</x:v>
      </x:c>
      <x:c r="E40" s="10" t="str">
        <x:v>按实际控件/支持端裁剪，依据通用规范与公共基准验证，未交付能力写明不适用。</x:v>
      </x:c>
      <x:c r="F40" s="10" t="str">
        <x:f>'UI检查'!J39</x:f>
        <x:v>点击、Tab进入、左右键及Home/End；缩窄已确认支持的视口，并观察加载中的选中状态和长标签。</x:v>
      </x:c>
      <x:c r="G40" s="10" t="str">
        <x:f>'UI检查'!K39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H40" s="274" t="str">
        <x:v>待选择</x:v>
      </x:c>
      <x:c r="I40" s="274" t="str">
        <x:v>未走查</x:v>
      </x:c>
      <x:c r="J40" s="274"/>
      <x:c r="K40" s="274"/>
      <x:c r="L40" s="274"/>
      <x:c r="M40" s="274"/>
      <x:c r="N40" s="274"/>
      <x:c r="O40" s="274"/>
      <x:c r="P40" s="274"/>
      <x:c r="Q40" s="274"/>
      <x:c r="R40" s="274"/>
      <x:c r="S40" s="10" t="str">
        <x:f>IF(AND(H40="是",OR(I40="已走查",I40="待复查",I40="已复查")),IF(OR(Y40="页面覆盖已通过",Y40="已覆盖，仍有失败/受阻/缺依据"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,Y40)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)</x:f>
        <x:v>未纳入</x:v>
      </x:c>
      <x:c r="T40" s="10" t="str">
        <x:f>'UI检查'!I39</x:f>
        <x:v>未纳入本批</x:v>
      </x:c>
      <x:c r="U40" s="283" t="str">
        <x:v>待确认</x:v>
      </x:c>
      <x:c r="V40" s="282" t="n">
        <x:f>COUNTIFS($B$62:$B$1055,A40,$E$62:$E$1055,"是")</x:f>
        <x:v>0</x:v>
      </x:c>
      <x:c r="W40" s="282" t="n">
        <x:f>COUNTIFS($B$62:$B$1055,A40,$E$62:$E$1055,"是",$O$62:$O$1055,"通过")+COUNTIFS($B$62:$B$1055,A40,$E$62:$E$1055,"是",$O$62:$O$1055,"失败已记录")+COUNTIFS($B$62:$B$1055,A40,$E$62:$E$1055,"是",$O$62:$O$1055,"受阻已记录")+COUNTIFS($B$62:$B$1055,A40,$E$62:$E$1055,"是",$O$62:$O$1055,"缺依据已记录")</x:f>
        <x:v>0</x:v>
      </x:c>
      <x:c r="X40" s="282" t="n">
        <x:f>COUNTIFS($B$62:$B$1055,A40,$E$62:$E$1055,"是",$O$62:$O$1055,"通过")</x:f>
        <x:v>0</x:v>
      </x:c>
      <x:c r="Y40" s="10" t="str">
        <x:f>IF(U40&lt;&gt;"已确认","页面范围待核定",IF((COUNTIFS($B$62:$B$1055,A40)-COUNTIFS($B$62:$B$1055,A40,$E$62:$E$1055,"是")-COUNTIFS($B$62:$B$1055,A40,$E$62:$E$1055,"否"))&gt;0,"页面适用范围未选齐",IF((COUNTIFS($B$62:$B$1055,A40,$E$62:$E$1055,"否")-COUNTIFS($B$62:$B$1055,A40,$E$62:$E$1055,"否",$O$62:$O$1055,"不适用"))&gt;0,"不适用依据未齐",IF(V40=0,"适用页面未登记",IF(W40&lt;V40,"页面走查未覆盖",IF(X40&lt;V40,"已覆盖，仍有失败/受阻/缺依据","页面覆盖已通过"))))))</x:f>
        <x:v>页面范围待核定</x:v>
      </x:c>
    </x:row>
    <x:row r="41" ht="112.5" customHeight="1">
      <x:c r="A41" s="276" t="str">
        <x:v>UI35</x:v>
      </x:c>
      <x:c r="B41" s="276" t="str">
        <x:f>'UI检查'!B40</x:f>
        <x:v>服务单元</x:v>
      </x:c>
      <x:c r="C41" s="276" t="str">
        <x:f>'UI检查'!C40</x:f>
        <x:v>新建独立表单页与返回上下文</x:v>
      </x:c>
      <x:c r="D41" s="276" t="str">
        <x:f>'UI检查'!R40</x:f>
        <x:v>组合复用</x:v>
      </x:c>
      <x:c r="E41" s="10" t="str">
        <x:v>核组合页面与选择/返回/状态联动；新增静态图仅为区域参考，跨页/保存/数量口径按批准方案。</x:v>
      </x:c>
      <x:c r="F41" s="10" t="str">
        <x:f>'UI检查'!J40</x:f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G41" s="10" t="str">
        <x:f>'UI检查'!K40</x:f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H41" s="274" t="str">
        <x:v>待选择</x:v>
      </x:c>
      <x:c r="I41" s="274" t="str">
        <x:v>未走查</x:v>
      </x:c>
      <x:c r="J41" s="274"/>
      <x:c r="K41" s="274"/>
      <x:c r="L41" s="274"/>
      <x:c r="M41" s="274"/>
      <x:c r="N41" s="274"/>
      <x:c r="O41" s="274"/>
      <x:c r="P41" s="274"/>
      <x:c r="Q41" s="274"/>
      <x:c r="R41" s="274"/>
      <x:c r="S41" s="10" t="str">
        <x:f>IF(AND(H41="是",OR(I41="已走查",I41="待复查",I41="已复查")),IF(OR(Y41="页面覆盖已通过",Y41="已覆盖，仍有失败/受阻/缺依据"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,Y41)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)</x:f>
        <x:v>未纳入</x:v>
      </x:c>
      <x:c r="T41" s="10" t="str">
        <x:f>'UI检查'!I40</x:f>
        <x:v>未纳入本批</x:v>
      </x:c>
      <x:c r="U41" s="283" t="str">
        <x:v>待确认</x:v>
      </x:c>
      <x:c r="V41" s="282" t="n">
        <x:f>COUNTIFS($B$62:$B$1055,A41,$E$62:$E$1055,"是")</x:f>
        <x:v>0</x:v>
      </x:c>
      <x:c r="W41" s="282" t="n">
        <x:f>COUNTIFS($B$62:$B$1055,A41,$E$62:$E$1055,"是",$O$62:$O$1055,"通过")+COUNTIFS($B$62:$B$1055,A41,$E$62:$E$1055,"是",$O$62:$O$1055,"失败已记录")+COUNTIFS($B$62:$B$1055,A41,$E$62:$E$1055,"是",$O$62:$O$1055,"受阻已记录")+COUNTIFS($B$62:$B$1055,A41,$E$62:$E$1055,"是",$O$62:$O$1055,"缺依据已记录")</x:f>
        <x:v>0</x:v>
      </x:c>
      <x:c r="X41" s="282" t="n">
        <x:f>COUNTIFS($B$62:$B$1055,A41,$E$62:$E$1055,"是",$O$62:$O$1055,"通过")</x:f>
        <x:v>0</x:v>
      </x:c>
      <x:c r="Y41" s="10" t="str">
        <x:f>IF(U41&lt;&gt;"已确认","页面范围待核定",IF((COUNTIFS($B$62:$B$1055,A41)-COUNTIFS($B$62:$B$1055,A41,$E$62:$E$1055,"是")-COUNTIFS($B$62:$B$1055,A41,$E$62:$E$1055,"否"))&gt;0,"页面适用范围未选齐",IF((COUNTIFS($B$62:$B$1055,A41,$E$62:$E$1055,"否")-COUNTIFS($B$62:$B$1055,A41,$E$62:$E$1055,"否",$O$62:$O$1055,"不适用"))&gt;0,"不适用依据未齐",IF(V41=0,"适用页面未登记",IF(W41&lt;V41,"页面走查未覆盖",IF(X41&lt;V41,"已覆盖，仍有失败/受阻/缺依据","页面覆盖已通过"))))))</x:f>
        <x:v>页面范围待核定</x:v>
      </x:c>
    </x:row>
    <x:row r="42" ht="112.5" customHeight="1">
      <x:c r="A42" s="279" t="str">
        <x:v>UI36</x:v>
      </x:c>
      <x:c r="B42" s="279" t="str">
        <x:f>'UI检查'!B41</x:f>
        <x:v>服务单元列表</x:v>
      </x:c>
      <x:c r="C42" s="279" t="str">
        <x:f>'UI检查'!C41</x:f>
        <x:v>创建入口位置与重复标题</x:v>
      </x:c>
      <x:c r="D42" s="279" t="str">
        <x:f>'UI检查'!R41</x:f>
        <x:v>直接复用</x:v>
      </x:c>
      <x:c r="E42" s="10" t="str">
        <x:v>先行核通用框架组件、页面状态与实际交互；有既有批准规范即可查，不要求另出专项稿。</x:v>
      </x:c>
      <x:c r="F42" s="10" t="str">
        <x:f>'UI检查'!J41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G42" s="10" t="str">
        <x:f>'UI检查'!K41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H42" s="274" t="str">
        <x:v>待选择</x:v>
      </x:c>
      <x:c r="I42" s="274" t="str">
        <x:v>未走查</x:v>
      </x:c>
      <x:c r="J42" s="274"/>
      <x:c r="K42" s="274"/>
      <x:c r="L42" s="274"/>
      <x:c r="M42" s="274"/>
      <x:c r="N42" s="274"/>
      <x:c r="O42" s="274"/>
      <x:c r="P42" s="274"/>
      <x:c r="Q42" s="274"/>
      <x:c r="R42" s="274"/>
      <x:c r="S42" s="10" t="str">
        <x:f>IF(AND(H42="是",OR(I42="已走查",I42="待复查",I42="已复查")),IF(OR(Y42="页面覆盖已通过",Y42="已覆盖，仍有失败/受阻/缺依据"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,Y42)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)</x:f>
        <x:v>未纳入</x:v>
      </x:c>
      <x:c r="T42" s="10" t="str">
        <x:f>'UI检查'!I41</x:f>
        <x:v>未纳入本批</x:v>
      </x:c>
      <x:c r="U42" s="283" t="str">
        <x:v>待确认</x:v>
      </x:c>
      <x:c r="V42" s="282" t="n">
        <x:f>COUNTIFS($B$62:$B$1055,A42,$E$62:$E$1055,"是")</x:f>
        <x:v>0</x:v>
      </x:c>
      <x:c r="W42" s="282" t="n">
        <x:f>COUNTIFS($B$62:$B$1055,A42,$E$62:$E$1055,"是",$O$62:$O$1055,"通过")+COUNTIFS($B$62:$B$1055,A42,$E$62:$E$1055,"是",$O$62:$O$1055,"失败已记录")+COUNTIFS($B$62:$B$1055,A42,$E$62:$E$1055,"是",$O$62:$O$1055,"受阻已记录")+COUNTIFS($B$62:$B$1055,A42,$E$62:$E$1055,"是",$O$62:$O$1055,"缺依据已记录")</x:f>
        <x:v>0</x:v>
      </x:c>
      <x:c r="X42" s="282" t="n">
        <x:f>COUNTIFS($B$62:$B$1055,A42,$E$62:$E$1055,"是",$O$62:$O$1055,"通过")</x:f>
        <x:v>0</x:v>
      </x:c>
      <x:c r="Y42" s="10" t="str">
        <x:f>IF(U42&lt;&gt;"已确认","页面范围待核定",IF((COUNTIFS($B$62:$B$1055,A42)-COUNTIFS($B$62:$B$1055,A42,$E$62:$E$1055,"是")-COUNTIFS($B$62:$B$1055,A42,$E$62:$E$1055,"否"))&gt;0,"页面适用范围未选齐",IF((COUNTIFS($B$62:$B$1055,A42,$E$62:$E$1055,"否")-COUNTIFS($B$62:$B$1055,A42,$E$62:$E$1055,"否",$O$62:$O$1055,"不适用"))&gt;0,"不适用依据未齐",IF(V42=0,"适用页面未登记",IF(W42&lt;V42,"页面走查未覆盖",IF(X42&lt;V42,"已覆盖，仍有失败/受阻/缺依据","页面覆盖已通过"))))))</x:f>
        <x:v>页面范围待核定</x:v>
      </x:c>
    </x:row>
    <x:row r="43" ht="112.5" customHeight="1">
      <x:c r="A43" s="10" t="str">
        <x:v>UI37</x:v>
      </x:c>
      <x:c r="B43" s="10" t="str">
        <x:f>'UI检查'!B42</x:f>
        <x:v>AI 建档</x:v>
      </x:c>
      <x:c r="C43" s="10" t="str">
        <x:f>'UI检查'!C42</x:f>
        <x:v>生成、待确认与执行状态分层</x:v>
      </x:c>
      <x:c r="D43" s="10" t="str">
        <x:f>'UI检查'!R42</x:f>
        <x:v>规范／检查建议</x:v>
      </x:c>
      <x:c r="E43" s="10" t="str">
        <x:v>按实际控件/支持端裁剪，依据通用规范与公共基准验证，未交付能力写明不适用。</x:v>
      </x:c>
      <x:c r="F43" s="10" t="str">
        <x:f>'UI检查'!J42</x:f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G43" s="10" t="str">
        <x:f>'UI检查'!K42</x:f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H43" s="274" t="str">
        <x:v>待选择</x:v>
      </x:c>
      <x:c r="I43" s="274" t="str">
        <x:v>未走查</x:v>
      </x:c>
      <x:c r="J43" s="274"/>
      <x:c r="K43" s="274"/>
      <x:c r="L43" s="274"/>
      <x:c r="M43" s="274"/>
      <x:c r="N43" s="274"/>
      <x:c r="O43" s="274"/>
      <x:c r="P43" s="274"/>
      <x:c r="Q43" s="274"/>
      <x:c r="R43" s="274"/>
      <x:c r="S43" s="10" t="str">
        <x:f>IF(AND(H43="是",OR(I43="已走查",I43="待复查",I43="已复查")),IF(OR(Y43="页面覆盖已通过",Y43="已覆盖，仍有失败/受阻/缺依据"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,Y43)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)</x:f>
        <x:v>未纳入</x:v>
      </x:c>
      <x:c r="T43" s="10" t="str">
        <x:f>'UI检查'!I42</x:f>
        <x:v>未纳入本批</x:v>
      </x:c>
      <x:c r="U43" s="283" t="str">
        <x:v>待确认</x:v>
      </x:c>
      <x:c r="V43" s="282" t="n">
        <x:f>COUNTIFS($B$62:$B$1055,A43,$E$62:$E$1055,"是")</x:f>
        <x:v>0</x:v>
      </x:c>
      <x:c r="W43" s="282" t="n">
        <x:f>COUNTIFS($B$62:$B$1055,A43,$E$62:$E$1055,"是",$O$62:$O$1055,"通过")+COUNTIFS($B$62:$B$1055,A43,$E$62:$E$1055,"是",$O$62:$O$1055,"失败已记录")+COUNTIFS($B$62:$B$1055,A43,$E$62:$E$1055,"是",$O$62:$O$1055,"受阻已记录")+COUNTIFS($B$62:$B$1055,A43,$E$62:$E$1055,"是",$O$62:$O$1055,"缺依据已记录")</x:f>
        <x:v>0</x:v>
      </x:c>
      <x:c r="X43" s="282" t="n">
        <x:f>COUNTIFS($B$62:$B$1055,A43,$E$62:$E$1055,"是",$O$62:$O$1055,"通过")</x:f>
        <x:v>0</x:v>
      </x:c>
      <x:c r="Y43" s="10" t="str">
        <x:f>IF(U43&lt;&gt;"已确认","页面范围待核定",IF((COUNTIFS($B$62:$B$1055,A43)-COUNTIFS($B$62:$B$1055,A43,$E$62:$E$1055,"是")-COUNTIFS($B$62:$B$1055,A43,$E$62:$E$1055,"否"))&gt;0,"页面适用范围未选齐",IF((COUNTIFS($B$62:$B$1055,A43,$E$62:$E$1055,"否")-COUNTIFS($B$62:$B$1055,A43,$E$62:$E$1055,"否",$O$62:$O$1055,"不适用"))&gt;0,"不适用依据未齐",IF(V43=0,"适用页面未登记",IF(W43&lt;V43,"页面走查未覆盖",IF(X43&lt;V43,"已覆盖，仍有失败/受阻/缺依据","页面覆盖已通过"))))))</x:f>
        <x:v>页面范围待核定</x:v>
      </x:c>
    </x:row>
    <x:row r="44" ht="112.5" customHeight="1">
      <x:c r="A44" s="10" t="str">
        <x:v>UI38</x:v>
      </x:c>
      <x:c r="B44" s="10" t="str">
        <x:f>'UI检查'!B43</x:f>
        <x:v>上传材料</x:v>
      </x:c>
      <x:c r="C44" s="10" t="str">
        <x:f>'UI检查'!C43</x:f>
        <x:v>格式大小、进度、取消与重试</x:v>
      </x:c>
      <x:c r="D44" s="10" t="str">
        <x:f>'UI检查'!R43</x:f>
        <x:v>规范／检查建议</x:v>
      </x:c>
      <x:c r="E44" s="10" t="str">
        <x:v>按实际控件/支持端裁剪，依据通用规范与公共基准验证，未交付能力写明不适用。</x:v>
      </x:c>
      <x:c r="F44" s="10" t="str">
        <x:f>'UI检查'!J43</x:f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G44" s="10" t="str">
        <x:f>'UI检查'!K43</x:f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H44" s="274" t="str">
        <x:v>待选择</x:v>
      </x:c>
      <x:c r="I44" s="274" t="str">
        <x:v>未走查</x:v>
      </x:c>
      <x:c r="J44" s="274"/>
      <x:c r="K44" s="274"/>
      <x:c r="L44" s="274"/>
      <x:c r="M44" s="274"/>
      <x:c r="N44" s="274"/>
      <x:c r="O44" s="274"/>
      <x:c r="P44" s="274"/>
      <x:c r="Q44" s="274"/>
      <x:c r="R44" s="274"/>
      <x:c r="S44" s="10" t="str">
        <x:f>IF(AND(H44="是",OR(I44="已走查",I44="待复查",I44="已复查")),IF(OR(Y44="页面覆盖已通过",Y44="已覆盖，仍有失败/受阻/缺依据"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,Y44)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)</x:f>
        <x:v>未纳入</x:v>
      </x:c>
      <x:c r="T44" s="10" t="str">
        <x:f>'UI检查'!I43</x:f>
        <x:v>未纳入本批</x:v>
      </x:c>
      <x:c r="U44" s="283" t="str">
        <x:v>待确认</x:v>
      </x:c>
      <x:c r="V44" s="282" t="n">
        <x:f>COUNTIFS($B$62:$B$1055,A44,$E$62:$E$1055,"是")</x:f>
        <x:v>0</x:v>
      </x:c>
      <x:c r="W44" s="282" t="n">
        <x:f>COUNTIFS($B$62:$B$1055,A44,$E$62:$E$1055,"是",$O$62:$O$1055,"通过")+COUNTIFS($B$62:$B$1055,A44,$E$62:$E$1055,"是",$O$62:$O$1055,"失败已记录")+COUNTIFS($B$62:$B$1055,A44,$E$62:$E$1055,"是",$O$62:$O$1055,"受阻已记录")+COUNTIFS($B$62:$B$1055,A44,$E$62:$E$1055,"是",$O$62:$O$1055,"缺依据已记录")</x:f>
        <x:v>0</x:v>
      </x:c>
      <x:c r="X44" s="282" t="n">
        <x:f>COUNTIFS($B$62:$B$1055,A44,$E$62:$E$1055,"是",$O$62:$O$1055,"通过")</x:f>
        <x:v>0</x:v>
      </x:c>
      <x:c r="Y44" s="10" t="str">
        <x:f>IF(U44&lt;&gt;"已确认","页面范围待核定",IF((COUNTIFS($B$62:$B$1055,A44)-COUNTIFS($B$62:$B$1055,A44,$E$62:$E$1055,"是")-COUNTIFS($B$62:$B$1055,A44,$E$62:$E$1055,"否"))&gt;0,"页面适用范围未选齐",IF((COUNTIFS($B$62:$B$1055,A44,$E$62:$E$1055,"否")-COUNTIFS($B$62:$B$1055,A44,$E$62:$E$1055,"否",$O$62:$O$1055,"不适用"))&gt;0,"不适用依据未齐",IF(V44=0,"适用页面未登记",IF(W44&lt;V44,"页面走查未覆盖",IF(X44&lt;V44,"已覆盖，仍有失败/受阻/缺依据","页面覆盖已通过"))))))</x:f>
        <x:v>页面范围待核定</x:v>
      </x:c>
    </x:row>
    <x:row r="45" ht="126" customHeight="1">
      <x:c r="A45" s="10" t="str">
        <x:v>UI39</x:v>
      </x:c>
      <x:c r="B45" s="10" t="str">
        <x:f>'UI检查'!B44</x:f>
        <x:v>通用色彩与图标</x:v>
      </x:c>
      <x:c r="C45" s="10" t="str">
        <x:f>'UI检查'!C44</x:f>
        <x:v>背景、语义色、圆角与图标</x:v>
      </x:c>
      <x:c r="D45" s="10" t="str">
        <x:f>'UI检查'!R44</x:f>
        <x:v>规范／检查建议</x:v>
      </x:c>
      <x:c r="E45" s="10" t="str">
        <x:v>按实际控件/支持端裁剪，依据通用规范与公共基准验证，未交付能力写明不适用。</x:v>
      </x:c>
      <x:c r="F45" s="10" t="str">
        <x:f>'UI检查'!J44</x:f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G45" s="10" t="str">
        <x:f>'UI检查'!K44</x:f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H45" s="274" t="str">
        <x:v>待选择</x:v>
      </x:c>
      <x:c r="I45" s="274" t="str">
        <x:v>未走查</x:v>
      </x:c>
      <x:c r="J45" s="274"/>
      <x:c r="K45" s="274"/>
      <x:c r="L45" s="274"/>
      <x:c r="M45" s="274"/>
      <x:c r="N45" s="274"/>
      <x:c r="O45" s="274"/>
      <x:c r="P45" s="274"/>
      <x:c r="Q45" s="274"/>
      <x:c r="R45" s="274"/>
      <x:c r="S45" s="10" t="str">
        <x:f>IF(AND(H45="是",OR(I45="已走查",I45="待复查",I45="已复查")),IF(OR(Y45="页面覆盖已通过",Y45="已覆盖，仍有失败/受阻/缺依据"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,Y45)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)</x:f>
        <x:v>未纳入</x:v>
      </x:c>
      <x:c r="T45" s="10" t="str">
        <x:f>'UI检查'!I44</x:f>
        <x:v>未纳入本批</x:v>
      </x:c>
      <x:c r="U45" s="283" t="str">
        <x:v>待确认</x:v>
      </x:c>
      <x:c r="V45" s="282" t="n">
        <x:f>COUNTIFS($B$62:$B$1055,A45,$E$62:$E$1055,"是")</x:f>
        <x:v>0</x:v>
      </x:c>
      <x:c r="W45" s="282" t="n">
        <x:f>COUNTIFS($B$62:$B$1055,A45,$E$62:$E$1055,"是",$O$62:$O$1055,"通过")+COUNTIFS($B$62:$B$1055,A45,$E$62:$E$1055,"是",$O$62:$O$1055,"失败已记录")+COUNTIFS($B$62:$B$1055,A45,$E$62:$E$1055,"是",$O$62:$O$1055,"受阻已记录")+COUNTIFS($B$62:$B$1055,A45,$E$62:$E$1055,"是",$O$62:$O$1055,"缺依据已记录")</x:f>
        <x:v>0</x:v>
      </x:c>
      <x:c r="X45" s="282" t="n">
        <x:f>COUNTIFS($B$62:$B$1055,A45,$E$62:$E$1055,"是",$O$62:$O$1055,"通过")</x:f>
        <x:v>0</x:v>
      </x:c>
      <x:c r="Y45" s="10" t="str">
        <x:f>IF(U45&lt;&gt;"已确认","页面范围待核定",IF((COUNTIFS($B$62:$B$1055,A45)-COUNTIFS($B$62:$B$1055,A45,$E$62:$E$1055,"是")-COUNTIFS($B$62:$B$1055,A45,$E$62:$E$1055,"否"))&gt;0,"页面适用范围未选齐",IF((COUNTIFS($B$62:$B$1055,A45,$E$62:$E$1055,"否")-COUNTIFS($B$62:$B$1055,A45,$E$62:$E$1055,"否",$O$62:$O$1055,"不适用"))&gt;0,"不适用依据未齐",IF(V45=0,"适用页面未登记",IF(W45&lt;V45,"页面走查未覆盖",IF(X45&lt;V45,"已覆盖，仍有失败/受阻/缺依据","页面覆盖已通过"))))))</x:f>
        <x:v>页面范围待核定</x:v>
      </x:c>
    </x:row>
    <x:row r="46" ht="112.5" customHeight="1">
      <x:c r="A46" s="10" t="str">
        <x:v>UI40</x:v>
      </x:c>
      <x:c r="B46" s="10" t="str">
        <x:f>'UI检查'!B45</x:f>
        <x:v>布局与表单规格</x:v>
      </x:c>
      <x:c r="C46" s="10" t="str">
        <x:f>'UI检查'!C45</x:f>
        <x:v>页头类型、输入高度与错误定位</x:v>
      </x:c>
      <x:c r="D46" s="10" t="str">
        <x:f>'UI检查'!R45</x:f>
        <x:v>规范／检查建议</x:v>
      </x:c>
      <x:c r="E46" s="10" t="str">
        <x:v>按实际控件/支持端裁剪，依据通用规范与公共基准验证，未交付能力写明不适用。</x:v>
      </x:c>
      <x:c r="F46" s="10" t="str">
        <x:f>'UI检查'!J45</x:f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G46" s="10" t="str">
        <x:f>'UI检查'!K45</x:f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H46" s="274" t="str">
        <x:v>待选择</x:v>
      </x:c>
      <x:c r="I46" s="274" t="str">
        <x:v>未走查</x:v>
      </x:c>
      <x:c r="J46" s="274"/>
      <x:c r="K46" s="274"/>
      <x:c r="L46" s="274"/>
      <x:c r="M46" s="274"/>
      <x:c r="N46" s="274"/>
      <x:c r="O46" s="274"/>
      <x:c r="P46" s="274"/>
      <x:c r="Q46" s="274"/>
      <x:c r="R46" s="274"/>
      <x:c r="S46" s="10" t="str">
        <x:f>IF(AND(H46="是",OR(I46="已走查",I46="待复查",I46="已复查")),IF(OR(Y46="页面覆盖已通过",Y46="已覆盖，仍有失败/受阻/缺依据"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,Y46)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)</x:f>
        <x:v>未纳入</x:v>
      </x:c>
      <x:c r="T46" s="10" t="str">
        <x:f>'UI检查'!I45</x:f>
        <x:v>未纳入本批</x:v>
      </x:c>
      <x:c r="U46" s="283" t="str">
        <x:v>待确认</x:v>
      </x:c>
      <x:c r="V46" s="282" t="n">
        <x:f>COUNTIFS($B$62:$B$1055,A46,$E$62:$E$1055,"是")</x:f>
        <x:v>0</x:v>
      </x:c>
      <x:c r="W46" s="282" t="n">
        <x:f>COUNTIFS($B$62:$B$1055,A46,$E$62:$E$1055,"是",$O$62:$O$1055,"通过")+COUNTIFS($B$62:$B$1055,A46,$E$62:$E$1055,"是",$O$62:$O$1055,"失败已记录")+COUNTIFS($B$62:$B$1055,A46,$E$62:$E$1055,"是",$O$62:$O$1055,"受阻已记录")+COUNTIFS($B$62:$B$1055,A46,$E$62:$E$1055,"是",$O$62:$O$1055,"缺依据已记录")</x:f>
        <x:v>0</x:v>
      </x:c>
      <x:c r="X46" s="282" t="n">
        <x:f>COUNTIFS($B$62:$B$1055,A46,$E$62:$E$1055,"是",$O$62:$O$1055,"通过")</x:f>
        <x:v>0</x:v>
      </x:c>
      <x:c r="Y46" s="10" t="str">
        <x:f>IF(U46&lt;&gt;"已确认","页面范围待核定",IF((COUNTIFS($B$62:$B$1055,A46)-COUNTIFS($B$62:$B$1055,A46,$E$62:$E$1055,"是")-COUNTIFS($B$62:$B$1055,A46,$E$62:$E$1055,"否"))&gt;0,"页面适用范围未选齐",IF((COUNTIFS($B$62:$B$1055,A46,$E$62:$E$1055,"否")-COUNTIFS($B$62:$B$1055,A46,$E$62:$E$1055,"否",$O$62:$O$1055,"不适用"))&gt;0,"不适用依据未齐",IF(V46=0,"适用页面未登记",IF(W46&lt;V46,"页面走查未覆盖",IF(X46&lt;V46,"已覆盖，仍有失败/受阻/缺依据","页面覆盖已通过"))))))</x:f>
        <x:v>页面范围待核定</x:v>
      </x:c>
    </x:row>
    <x:row r="47" ht="112.5" customHeight="1">
      <x:c r="A47" s="10" t="str">
        <x:v>UI41</x:v>
      </x:c>
      <x:c r="B47" s="10" t="str">
        <x:f>'UI检查'!B46</x:f>
        <x:v>关联字段展示</x:v>
      </x:c>
      <x:c r="C47" s="10" t="str">
        <x:f>'UI检查'!C46</x:f>
        <x:v>关联ID、名称与编码跨视图一致性</x:v>
      </x:c>
      <x:c r="D47" s="10" t="str">
        <x:f>'UI检查'!R46</x:f>
        <x:v>按批准组件</x:v>
      </x:c>
      <x:c r="E47" s="10" t="str">
        <x:v>按实际控件/支持端裁剪，依据通用规范与公共基准验证，未交付能力写明不适用。</x:v>
      </x:c>
      <x:c r="F47" s="10" t="str">
        <x:f>'UI检查'!J46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G47" s="10" t="str">
        <x:f>'UI检查'!K46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H47" s="274" t="str">
        <x:v>待选择</x:v>
      </x:c>
      <x:c r="I47" s="274" t="str">
        <x:v>未走查</x:v>
      </x:c>
      <x:c r="J47" s="274"/>
      <x:c r="K47" s="274"/>
      <x:c r="L47" s="274"/>
      <x:c r="M47" s="274"/>
      <x:c r="N47" s="274"/>
      <x:c r="O47" s="274"/>
      <x:c r="P47" s="274"/>
      <x:c r="Q47" s="274"/>
      <x:c r="R47" s="274"/>
      <x:c r="S47" s="10" t="str">
        <x:f>IF(AND(H47="是",OR(I47="已走查",I47="待复查",I47="已复查")),IF(OR(Y47="页面覆盖已通过",Y47="已覆盖，仍有失败/受阻/缺依据"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,Y47)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)</x:f>
        <x:v>未纳入</x:v>
      </x:c>
      <x:c r="T47" s="10" t="str">
        <x:f>'UI检查'!I46</x:f>
        <x:v>未纳入本批</x:v>
      </x:c>
      <x:c r="U47" s="283" t="str">
        <x:v>待确认</x:v>
      </x:c>
      <x:c r="V47" s="282" t="n">
        <x:f>COUNTIFS($B$62:$B$1055,A47,$E$62:$E$1055,"是")</x:f>
        <x:v>0</x:v>
      </x:c>
      <x:c r="W47" s="282" t="n">
        <x:f>COUNTIFS($B$62:$B$1055,A47,$E$62:$E$1055,"是",$O$62:$O$1055,"通过")+COUNTIFS($B$62:$B$1055,A47,$E$62:$E$1055,"是",$O$62:$O$1055,"失败已记录")+COUNTIFS($B$62:$B$1055,A47,$E$62:$E$1055,"是",$O$62:$O$1055,"受阻已记录")+COUNTIFS($B$62:$B$1055,A47,$E$62:$E$1055,"是",$O$62:$O$1055,"缺依据已记录")</x:f>
        <x:v>0</x:v>
      </x:c>
      <x:c r="X47" s="282" t="n">
        <x:f>COUNTIFS($B$62:$B$1055,A47,$E$62:$E$1055,"是",$O$62:$O$1055,"通过")</x:f>
        <x:v>0</x:v>
      </x:c>
      <x:c r="Y47" s="10" t="str">
        <x:f>IF(U47&lt;&gt;"已确认","页面范围待核定",IF((COUNTIFS($B$62:$B$1055,A47)-COUNTIFS($B$62:$B$1055,A47,$E$62:$E$1055,"是")-COUNTIFS($B$62:$B$1055,A47,$E$62:$E$1055,"否"))&gt;0,"页面适用范围未选齐",IF((COUNTIFS($B$62:$B$1055,A47,$E$62:$E$1055,"否")-COUNTIFS($B$62:$B$1055,A47,$E$62:$E$1055,"否",$O$62:$O$1055,"不适用"))&gt;0,"不适用依据未齐",IF(V47=0,"适用页面未登记",IF(W47&lt;V47,"页面走查未覆盖",IF(X47&lt;V47,"已覆盖，仍有失败/受阻/缺依据","页面覆盖已通过"))))))</x:f>
        <x:v>页面范围待核定</x:v>
      </x:c>
    </x:row>
    <x:row r="48" ht="112.5" customHeight="1">
      <x:c r="A48" s="275" t="str">
        <x:v>UI42</x:v>
      </x:c>
      <x:c r="B48" s="275" t="str">
        <x:f>'UI检查'!B47</x:f>
        <x:v>全局行内编辑</x:v>
      </x:c>
      <x:c r="C48" s="275" t="str">
        <x:f>'UI检查'!C47</x:f>
        <x:v>行内编辑组件、状态与数据保护</x:v>
      </x:c>
      <x:c r="D48" s="275" t="str">
        <x:f>'UI检查'!R47</x:f>
        <x:v>无法覆盖</x:v>
      </x:c>
      <x:c r="E48" s="10" t="str">
        <x:v>先取得专项组件规范；实际页面可先盘点并登记缺依据，未定义规则不判通过。</x:v>
      </x:c>
      <x:c r="F48" s="10" t="str">
        <x:f>'UI检查'!J47</x:f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G48" s="10" t="str">
        <x:f>'UI检查'!K47</x:f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H48" s="274" t="str">
        <x:v>待选择</x:v>
      </x:c>
      <x:c r="I48" s="274" t="str">
        <x:v>未走查</x:v>
      </x:c>
      <x:c r="J48" s="274"/>
      <x:c r="K48" s="274"/>
      <x:c r="L48" s="274"/>
      <x:c r="M48" s="274"/>
      <x:c r="N48" s="274"/>
      <x:c r="O48" s="274"/>
      <x:c r="P48" s="274"/>
      <x:c r="Q48" s="274"/>
      <x:c r="R48" s="274"/>
      <x:c r="S48" s="10" t="str">
        <x:f>IF(AND(H48="是",OR(I48="已走查",I48="待复查",I48="已复查")),IF(OR(Y48="页面覆盖已通过",Y48="已覆盖，仍有失败/受阻/缺依据"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,Y48)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)</x:f>
        <x:v>未纳入</x:v>
      </x:c>
      <x:c r="T48" s="10" t="str">
        <x:f>'UI检查'!I47</x:f>
        <x:v>未纳入本批</x:v>
      </x:c>
      <x:c r="U48" s="283" t="str">
        <x:v>待确认</x:v>
      </x:c>
      <x:c r="V48" s="282" t="n">
        <x:f>COUNTIFS($B$62:$B$1055,A48,$E$62:$E$1055,"是")</x:f>
        <x:v>0</x:v>
      </x:c>
      <x:c r="W48" s="282" t="n">
        <x:f>COUNTIFS($B$62:$B$1055,A48,$E$62:$E$1055,"是",$O$62:$O$1055,"通过")+COUNTIFS($B$62:$B$1055,A48,$E$62:$E$1055,"是",$O$62:$O$1055,"失败已记录")+COUNTIFS($B$62:$B$1055,A48,$E$62:$E$1055,"是",$O$62:$O$1055,"受阻已记录")+COUNTIFS($B$62:$B$1055,A48,$E$62:$E$1055,"是",$O$62:$O$1055,"缺依据已记录")</x:f>
        <x:v>0</x:v>
      </x:c>
      <x:c r="X48" s="282" t="n">
        <x:f>COUNTIFS($B$62:$B$1055,A48,$E$62:$E$1055,"是",$O$62:$O$1055,"通过")</x:f>
        <x:v>0</x:v>
      </x:c>
      <x:c r="Y48" s="10" t="str">
        <x:f>IF(U48&lt;&gt;"已确认","页面范围待核定",IF((COUNTIFS($B$62:$B$1055,A48)-COUNTIFS($B$62:$B$1055,A48,$E$62:$E$1055,"是")-COUNTIFS($B$62:$B$1055,A48,$E$62:$E$1055,"否"))&gt;0,"页面适用范围未选齐",IF((COUNTIFS($B$62:$B$1055,A48,$E$62:$E$1055,"否")-COUNTIFS($B$62:$B$1055,A48,$E$62:$E$1055,"否",$O$62:$O$1055,"不适用"))&gt;0,"不适用依据未齐",IF(V48=0,"适用页面未登记",IF(W48&lt;V48,"页面走查未覆盖",IF(X48&lt;V48,"已覆盖，仍有失败/受阻/缺依据","页面覆盖已通过"))))))</x:f>
        <x:v>页面范围待核定</x:v>
      </x:c>
    </x:row>
    <x:row r="49" ht="112.5" customHeight="1">
      <x:c r="A49" s="10" t="str">
        <x:v>UI43</x:v>
      </x:c>
      <x:c r="B49" s="10" t="str">
        <x:f>'UI检查'!B48</x:f>
        <x:v>实际提供排序/筛选的列表</x:v>
      </x:c>
      <x:c r="C49" s="10" t="str">
        <x:f>'UI检查'!C48</x:f>
        <x:v>排序循环、组合排序与条件保持</x:v>
      </x:c>
      <x:c r="D49" s="10" t="str">
        <x:f>'UI检查'!R48</x:f>
        <x:v>公共基准补充（按需裁剪）</x:v>
      </x:c>
      <x:c r="E49" s="10" t="str">
        <x:v>按实际控件/支持端裁剪，依据通用规范与公共基准验证，未交付能力写明不适用。</x:v>
      </x:c>
      <x:c r="F49" s="10" t="str">
        <x:f>'UI检查'!J48</x:f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G49" s="10" t="str">
        <x:f>'UI检查'!K48</x:f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H49" s="274" t="str">
        <x:v>待选择</x:v>
      </x:c>
      <x:c r="I49" s="274" t="str">
        <x:v>未走查</x:v>
      </x:c>
      <x:c r="J49" s="274"/>
      <x:c r="K49" s="274"/>
      <x:c r="L49" s="274"/>
      <x:c r="M49" s="274"/>
      <x:c r="N49" s="274"/>
      <x:c r="O49" s="274"/>
      <x:c r="P49" s="274"/>
      <x:c r="Q49" s="274"/>
      <x:c r="R49" s="274"/>
      <x:c r="S49" s="10" t="str">
        <x:f>IF(AND(H49="是",OR(I49="已走查",I49="待复查",I49="已复查")),IF(OR(Y49="页面覆盖已通过",Y49="已覆盖，仍有失败/受阻/缺依据"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,Y49)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)</x:f>
        <x:v>未纳入</x:v>
      </x:c>
      <x:c r="T49" s="10" t="str">
        <x:f>'UI检查'!I48</x:f>
        <x:v>未纳入本批</x:v>
      </x:c>
      <x:c r="U49" s="283" t="str">
        <x:v>待确认</x:v>
      </x:c>
      <x:c r="V49" s="282" t="n">
        <x:f>COUNTIFS($B$62:$B$1055,A49,$E$62:$E$1055,"是")</x:f>
        <x:v>0</x:v>
      </x:c>
      <x:c r="W49" s="282" t="n">
        <x:f>COUNTIFS($B$62:$B$1055,A49,$E$62:$E$1055,"是",$O$62:$O$1055,"通过")+COUNTIFS($B$62:$B$1055,A49,$E$62:$E$1055,"是",$O$62:$O$1055,"失败已记录")+COUNTIFS($B$62:$B$1055,A49,$E$62:$E$1055,"是",$O$62:$O$1055,"受阻已记录")+COUNTIFS($B$62:$B$1055,A49,$E$62:$E$1055,"是",$O$62:$O$1055,"缺依据已记录")</x:f>
        <x:v>0</x:v>
      </x:c>
      <x:c r="X49" s="282" t="n">
        <x:f>COUNTIFS($B$62:$B$1055,A49,$E$62:$E$1055,"是",$O$62:$O$1055,"通过")</x:f>
        <x:v>0</x:v>
      </x:c>
      <x:c r="Y49" s="10" t="str">
        <x:f>IF(U49&lt;&gt;"已确认","页面范围待核定",IF((COUNTIFS($B$62:$B$1055,A49)-COUNTIFS($B$62:$B$1055,A49,$E$62:$E$1055,"是")-COUNTIFS($B$62:$B$1055,A49,$E$62:$E$1055,"否"))&gt;0,"页面适用范围未选齐",IF((COUNTIFS($B$62:$B$1055,A49,$E$62:$E$1055,"否")-COUNTIFS($B$62:$B$1055,A49,$E$62:$E$1055,"否",$O$62:$O$1055,"不适用"))&gt;0,"不适用依据未齐",IF(V49=0,"适用页面未登记",IF(W49&lt;V49,"页面走查未覆盖",IF(X49&lt;V49,"已覆盖，仍有失败/受阻/缺依据","页面覆盖已通过"))))))</x:f>
        <x:v>页面范围待核定</x:v>
      </x:c>
    </x:row>
    <x:row r="50" ht="112.5" customHeight="1">
      <x:c r="A50" s="10" t="str">
        <x:v>UI44</x:v>
      </x:c>
      <x:c r="B50" s="10" t="str">
        <x:f>'UI检查'!B49</x:f>
        <x:v>本批新增/编辑/行内编辑表单</x:v>
      </x:c>
      <x:c r="C50" s="10" t="str">
        <x:f>'UI检查'!C49</x:f>
        <x:v>输入校验触发、错误定位与回显</x:v>
      </x:c>
      <x:c r="D50" s="10" t="str">
        <x:f>'UI检查'!R49</x:f>
        <x:v>公共基准补充（按需裁剪）</x:v>
      </x:c>
      <x:c r="E50" s="10" t="str">
        <x:v>按实际控件/支持端裁剪，依据通用规范与公共基准验证，未交付能力写明不适用。</x:v>
      </x:c>
      <x:c r="F50" s="10" t="str">
        <x:f>'UI检查'!J49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G50" s="10" t="str">
        <x:f>'UI检查'!K49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H50" s="274" t="str">
        <x:v>待选择</x:v>
      </x:c>
      <x:c r="I50" s="274" t="str">
        <x:v>未走查</x:v>
      </x:c>
      <x:c r="J50" s="274"/>
      <x:c r="K50" s="274"/>
      <x:c r="L50" s="274"/>
      <x:c r="M50" s="274"/>
      <x:c r="N50" s="274"/>
      <x:c r="O50" s="274"/>
      <x:c r="P50" s="274"/>
      <x:c r="Q50" s="274"/>
      <x:c r="R50" s="274"/>
      <x:c r="S50" s="10" t="str">
        <x:f>IF(AND(H50="是",OR(I50="已走查",I50="待复查",I50="已复查")),IF(OR(Y50="页面覆盖已通过",Y50="已覆盖，仍有失败/受阻/缺依据"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,Y50)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)</x:f>
        <x:v>未纳入</x:v>
      </x:c>
      <x:c r="T50" s="10" t="str">
        <x:f>'UI检查'!I49</x:f>
        <x:v>未纳入本批</x:v>
      </x:c>
      <x:c r="U50" s="283" t="str">
        <x:v>待确认</x:v>
      </x:c>
      <x:c r="V50" s="282" t="n">
        <x:f>COUNTIFS($B$62:$B$1055,A50,$E$62:$E$1055,"是")</x:f>
        <x:v>0</x:v>
      </x:c>
      <x:c r="W50" s="282" t="n">
        <x:f>COUNTIFS($B$62:$B$1055,A50,$E$62:$E$1055,"是",$O$62:$O$1055,"通过")+COUNTIFS($B$62:$B$1055,A50,$E$62:$E$1055,"是",$O$62:$O$1055,"失败已记录")+COUNTIFS($B$62:$B$1055,A50,$E$62:$E$1055,"是",$O$62:$O$1055,"受阻已记录")+COUNTIFS($B$62:$B$1055,A50,$E$62:$E$1055,"是",$O$62:$O$1055,"缺依据已记录")</x:f>
        <x:v>0</x:v>
      </x:c>
      <x:c r="X50" s="282" t="n">
        <x:f>COUNTIFS($B$62:$B$1055,A50,$E$62:$E$1055,"是",$O$62:$O$1055,"通过")</x:f>
        <x:v>0</x:v>
      </x:c>
      <x:c r="Y50" s="10" t="str">
        <x:f>IF(U50&lt;&gt;"已确认","页面范围待核定",IF((COUNTIFS($B$62:$B$1055,A50)-COUNTIFS($B$62:$B$1055,A50,$E$62:$E$1055,"是")-COUNTIFS($B$62:$B$1055,A50,$E$62:$E$1055,"否"))&gt;0,"页面适用范围未选齐",IF((COUNTIFS($B$62:$B$1055,A50,$E$62:$E$1055,"否")-COUNTIFS($B$62:$B$1055,A50,$E$62:$E$1055,"否",$O$62:$O$1055,"不适用"))&gt;0,"不适用依据未齐",IF(V50=0,"适用页面未登记",IF(W50&lt;V50,"页面走查未覆盖",IF(X50&lt;V50,"已覆盖，仍有失败/受阻/缺依据","页面覆盖已通过"))))))</x:f>
        <x:v>页面范围待核定</x:v>
      </x:c>
    </x:row>
    <x:row r="51" ht="112.5" customHeight="1">
      <x:c r="A51" s="10" t="str">
        <x:v>UI45</x:v>
      </x:c>
      <x:c r="B51" s="10" t="str">
        <x:f>'UI检查'!B50</x:f>
        <x:v>实际提供选择控件的表单</x:v>
      </x:c>
      <x:c r="C51" s="10" t="str">
        <x:f>'UI检查'!C50</x:f>
        <x:v>默认选中、搜索、多选与级联反馈</x:v>
      </x:c>
      <x:c r="D51" s="10" t="str">
        <x:f>'UI检查'!R50</x:f>
        <x:v>公共基准补充（按需裁剪）</x:v>
      </x:c>
      <x:c r="E51" s="10" t="str">
        <x:v>按实际控件/支持端裁剪，依据通用规范与公共基准验证，未交付能力写明不适用。</x:v>
      </x:c>
      <x:c r="F51" s="10" t="str">
        <x:f>'UI检查'!J50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</x:v>
      </x:c>
      <x:c r="G51" s="10" t="str">
        <x:f>'UI检查'!K50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H51" s="274" t="str">
        <x:v>待选择</x:v>
      </x:c>
      <x:c r="I51" s="274" t="str">
        <x:v>未走查</x:v>
      </x:c>
      <x:c r="J51" s="274"/>
      <x:c r="K51" s="274"/>
      <x:c r="L51" s="274"/>
      <x:c r="M51" s="274"/>
      <x:c r="N51" s="274"/>
      <x:c r="O51" s="274"/>
      <x:c r="P51" s="274"/>
      <x:c r="Q51" s="274"/>
      <x:c r="R51" s="274"/>
      <x:c r="S51" s="10" t="str">
        <x:f>IF(AND(H51="是",OR(I51="已走查",I51="待复查",I51="已复查")),IF(OR(Y51="页面覆盖已通过",Y51="已覆盖，仍有失败/受阻/缺依据"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,Y51)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)</x:f>
        <x:v>未纳入</x:v>
      </x:c>
      <x:c r="T51" s="10" t="str">
        <x:f>'UI检查'!I50</x:f>
        <x:v>未纳入本批</x:v>
      </x:c>
      <x:c r="U51" s="283" t="str">
        <x:v>待确认</x:v>
      </x:c>
      <x:c r="V51" s="282" t="n">
        <x:f>COUNTIFS($B$62:$B$1055,A51,$E$62:$E$1055,"是")</x:f>
        <x:v>0</x:v>
      </x:c>
      <x:c r="W51" s="282" t="n">
        <x:f>COUNTIFS($B$62:$B$1055,A51,$E$62:$E$1055,"是",$O$62:$O$1055,"通过")+COUNTIFS($B$62:$B$1055,A51,$E$62:$E$1055,"是",$O$62:$O$1055,"失败已记录")+COUNTIFS($B$62:$B$1055,A51,$E$62:$E$1055,"是",$O$62:$O$1055,"受阻已记录")+COUNTIFS($B$62:$B$1055,A51,$E$62:$E$1055,"是",$O$62:$O$1055,"缺依据已记录")</x:f>
        <x:v>0</x:v>
      </x:c>
      <x:c r="X51" s="282" t="n">
        <x:f>COUNTIFS($B$62:$B$1055,A51,$E$62:$E$1055,"是",$O$62:$O$1055,"通过")</x:f>
        <x:v>0</x:v>
      </x:c>
      <x:c r="Y51" s="10" t="str">
        <x:f>IF(U51&lt;&gt;"已确认","页面范围待核定",IF((COUNTIFS($B$62:$B$1055,A51)-COUNTIFS($B$62:$B$1055,A51,$E$62:$E$1055,"是")-COUNTIFS($B$62:$B$1055,A51,$E$62:$E$1055,"否"))&gt;0,"页面适用范围未选齐",IF((COUNTIFS($B$62:$B$1055,A51,$E$62:$E$1055,"否")-COUNTIFS($B$62:$B$1055,A51,$E$62:$E$1055,"否",$O$62:$O$1055,"不适用"))&gt;0,"不适用依据未齐",IF(V51=0,"适用页面未登记",IF(W51&lt;V51,"页面走查未覆盖",IF(X51&lt;V51,"已覆盖，仍有失败/受阻/缺依据","页面覆盖已通过"))))))</x:f>
        <x:v>页面范围待核定</x:v>
      </x:c>
    </x:row>
    <x:row r="52" ht="112.5" customHeight="1">
      <x:c r="A52" s="10" t="str">
        <x:v>UI46</x:v>
      </x:c>
      <x:c r="B52" s="10" t="str">
        <x:f>'UI检查'!B51</x:f>
        <x:v>已确认需二次确认的危险操作</x:v>
      </x:c>
      <x:c r="C52" s="10" t="str">
        <x:f>'UI检查'!C51</x:f>
        <x:v>影响范围、取消与确认后的反馈</x:v>
      </x:c>
      <x:c r="D52" s="10" t="str">
        <x:f>'UI检查'!R51</x:f>
        <x:v>公共基准补充（按需裁剪）</x:v>
      </x:c>
      <x:c r="E52" s="10" t="str">
        <x:v>按实际控件/支持端裁剪，依据通用规范与公共基准验证，未交付能力写明不适用。</x:v>
      </x:c>
      <x:c r="F52" s="10" t="str">
        <x:f>'UI检查'!J51</x:f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G52" s="10" t="str">
        <x:f>'UI检查'!K51</x:f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H52" s="274" t="str">
        <x:v>待选择</x:v>
      </x:c>
      <x:c r="I52" s="274" t="str">
        <x:v>未走查</x:v>
      </x:c>
      <x:c r="J52" s="274"/>
      <x:c r="K52" s="274"/>
      <x:c r="L52" s="274"/>
      <x:c r="M52" s="274"/>
      <x:c r="N52" s="274"/>
      <x:c r="O52" s="274"/>
      <x:c r="P52" s="274"/>
      <x:c r="Q52" s="274"/>
      <x:c r="R52" s="274"/>
      <x:c r="S52" s="10" t="str">
        <x:f>IF(AND(H52="是",OR(I52="已走查",I52="待复查",I52="已复查")),IF(OR(Y52="页面覆盖已通过",Y52="已覆盖，仍有失败/受阻/缺依据"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,Y52)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)</x:f>
        <x:v>未纳入</x:v>
      </x:c>
      <x:c r="T52" s="10" t="str">
        <x:f>'UI检查'!I51</x:f>
        <x:v>未纳入本批</x:v>
      </x:c>
      <x:c r="U52" s="283" t="str">
        <x:v>待确认</x:v>
      </x:c>
      <x:c r="V52" s="282" t="n">
        <x:f>COUNTIFS($B$62:$B$1055,A52,$E$62:$E$1055,"是")</x:f>
        <x:v>0</x:v>
      </x:c>
      <x:c r="W52" s="282" t="n">
        <x:f>COUNTIFS($B$62:$B$1055,A52,$E$62:$E$1055,"是",$O$62:$O$1055,"通过")+COUNTIFS($B$62:$B$1055,A52,$E$62:$E$1055,"是",$O$62:$O$1055,"失败已记录")+COUNTIFS($B$62:$B$1055,A52,$E$62:$E$1055,"是",$O$62:$O$1055,"受阻已记录")+COUNTIFS($B$62:$B$1055,A52,$E$62:$E$1055,"是",$O$62:$O$1055,"缺依据已记录")</x:f>
        <x:v>0</x:v>
      </x:c>
      <x:c r="X52" s="282" t="n">
        <x:f>COUNTIFS($B$62:$B$1055,A52,$E$62:$E$1055,"是",$O$62:$O$1055,"通过")</x:f>
        <x:v>0</x:v>
      </x:c>
      <x:c r="Y52" s="10" t="str">
        <x:f>IF(U52&lt;&gt;"已确认","页面范围待核定",IF((COUNTIFS($B$62:$B$1055,A52)-COUNTIFS($B$62:$B$1055,A52,$E$62:$E$1055,"是")-COUNTIFS($B$62:$B$1055,A52,$E$62:$E$1055,"否"))&gt;0,"页面适用范围未选齐",IF((COUNTIFS($B$62:$B$1055,A52,$E$62:$E$1055,"否")-COUNTIFS($B$62:$B$1055,A52,$E$62:$E$1055,"否",$O$62:$O$1055,"不适用"))&gt;0,"不适用依据未齐",IF(V52=0,"适用页面未登记",IF(W52&lt;V52,"页面走查未覆盖",IF(X52&lt;V52,"已覆盖，仍有失败/受阻/缺依据","页面覆盖已通过"))))))</x:f>
        <x:v>页面范围待核定</x:v>
      </x:c>
    </x:row>
    <x:row r="53" ht="112.5" customHeight="1">
      <x:c r="A53" s="10" t="str">
        <x:v>UI47</x:v>
      </x:c>
      <x:c r="B53" s="10" t="str">
        <x:f>'UI检查'!B52</x:f>
        <x:v>查询、提交、保存与长任务</x:v>
      </x:c>
      <x:c r="C53" s="10" t="str">
        <x:f>'UI检查'!C52</x:f>
        <x:v>加载、防重、失败恢复及成功后同步</x:v>
      </x:c>
      <x:c r="D53" s="10" t="str">
        <x:f>'UI检查'!R52</x:f>
        <x:v>公共基准补充（按需裁剪）</x:v>
      </x:c>
      <x:c r="E53" s="10" t="str">
        <x:v>按实际控件/支持端裁剪，依据通用规范与公共基准验证，未交付能力写明不适用。</x:v>
      </x:c>
      <x:c r="F53" s="10" t="str">
        <x:f>'UI检查'!J52</x:f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G53" s="10" t="str">
        <x:f>'UI检查'!K52</x:f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H53" s="274" t="str">
        <x:v>待选择</x:v>
      </x:c>
      <x:c r="I53" s="274" t="str">
        <x:v>未走查</x:v>
      </x:c>
      <x:c r="J53" s="274"/>
      <x:c r="K53" s="274"/>
      <x:c r="L53" s="274"/>
      <x:c r="M53" s="274"/>
      <x:c r="N53" s="274"/>
      <x:c r="O53" s="274"/>
      <x:c r="P53" s="274"/>
      <x:c r="Q53" s="274"/>
      <x:c r="R53" s="274"/>
      <x:c r="S53" s="10" t="str">
        <x:f>IF(AND(H53="是",OR(I53="已走查",I53="待复查",I53="已复查")),IF(OR(Y53="页面覆盖已通过",Y53="已覆盖，仍有失败/受阻/缺依据"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,Y53)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)</x:f>
        <x:v>未纳入</x:v>
      </x:c>
      <x:c r="T53" s="10" t="str">
        <x:f>'UI检查'!I52</x:f>
        <x:v>未纳入本批</x:v>
      </x:c>
      <x:c r="U53" s="283" t="str">
        <x:v>待确认</x:v>
      </x:c>
      <x:c r="V53" s="282" t="n">
        <x:f>COUNTIFS($B$62:$B$1055,A53,$E$62:$E$1055,"是")</x:f>
        <x:v>0</x:v>
      </x:c>
      <x:c r="W53" s="282" t="n">
        <x:f>COUNTIFS($B$62:$B$1055,A53,$E$62:$E$1055,"是",$O$62:$O$1055,"通过")+COUNTIFS($B$62:$B$1055,A53,$E$62:$E$1055,"是",$O$62:$O$1055,"失败已记录")+COUNTIFS($B$62:$B$1055,A53,$E$62:$E$1055,"是",$O$62:$O$1055,"受阻已记录")+COUNTIFS($B$62:$B$1055,A53,$E$62:$E$1055,"是",$O$62:$O$1055,"缺依据已记录")</x:f>
        <x:v>0</x:v>
      </x:c>
      <x:c r="X53" s="282" t="n">
        <x:f>COUNTIFS($B$62:$B$1055,A53,$E$62:$E$1055,"是",$O$62:$O$1055,"通过")</x:f>
        <x:v>0</x:v>
      </x:c>
      <x:c r="Y53" s="10" t="str">
        <x:f>IF(U53&lt;&gt;"已确认","页面范围待核定",IF((COUNTIFS($B$62:$B$1055,A53)-COUNTIFS($B$62:$B$1055,A53,$E$62:$E$1055,"是")-COUNTIFS($B$62:$B$1055,A53,$E$62:$E$1055,"否"))&gt;0,"页面适用范围未选齐",IF((COUNTIFS($B$62:$B$1055,A53,$E$62:$E$1055,"否")-COUNTIFS($B$62:$B$1055,A53,$E$62:$E$1055,"否",$O$62:$O$1055,"不适用"))&gt;0,"不适用依据未齐",IF(V53=0,"适用页面未登记",IF(W53&lt;V53,"页面走查未覆盖",IF(X53&lt;V53,"已覆盖，仍有失败/受阻/缺依据","页面覆盖已通过"))))))</x:f>
        <x:v>页面范围待核定</x:v>
      </x:c>
    </x:row>
    <x:row r="54" ht="112.5" customHeight="1">
      <x:c r="A54" s="10" t="str">
        <x:v>UI48</x:v>
      </x:c>
      <x:c r="B54" s="10" t="str">
        <x:f>'UI检查'!B53</x:f>
        <x:v>编辑、独立表单、详情与行内编辑</x:v>
      </x:c>
      <x:c r="C54" s="10" t="str">
        <x:f>'UI检查'!C53</x:f>
        <x:v>取消、关闭、返回和未保存内容保护</x:v>
      </x:c>
      <x:c r="D54" s="10" t="str">
        <x:f>'UI检查'!R53</x:f>
        <x:v>公共基准补充（按需裁剪）</x:v>
      </x:c>
      <x:c r="E54" s="10" t="str">
        <x:v>按实际控件/支持端裁剪，依据通用规范与公共基准验证，未交付能力写明不适用。</x:v>
      </x:c>
      <x:c r="F54" s="10" t="str">
        <x:f>'UI检查'!J53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</x:v>
      </x:c>
      <x:c r="G54" s="10" t="str">
        <x:f>'UI检查'!K53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H54" s="274" t="str">
        <x:v>待选择</x:v>
      </x:c>
      <x:c r="I54" s="274" t="str">
        <x:v>未走查</x:v>
      </x:c>
      <x:c r="J54" s="274"/>
      <x:c r="K54" s="274"/>
      <x:c r="L54" s="274"/>
      <x:c r="M54" s="274"/>
      <x:c r="N54" s="274"/>
      <x:c r="O54" s="274"/>
      <x:c r="P54" s="274"/>
      <x:c r="Q54" s="274"/>
      <x:c r="R54" s="274"/>
      <x:c r="S54" s="10" t="str">
        <x:f>IF(AND(H54="是",OR(I54="已走查",I54="待复查",I54="已复查")),IF(OR(Y54="页面覆盖已通过",Y54="已覆盖，仍有失败/受阻/缺依据"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,Y54)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)</x:f>
        <x:v>未纳入</x:v>
      </x:c>
      <x:c r="T54" s="10" t="str">
        <x:f>'UI检查'!I53</x:f>
        <x:v>未纳入本批</x:v>
      </x:c>
      <x:c r="U54" s="283" t="str">
        <x:v>待确认</x:v>
      </x:c>
      <x:c r="V54" s="282" t="n">
        <x:f>COUNTIFS($B$62:$B$1055,A54,$E$62:$E$1055,"是")</x:f>
        <x:v>0</x:v>
      </x:c>
      <x:c r="W54" s="282" t="n">
        <x:f>COUNTIFS($B$62:$B$1055,A54,$E$62:$E$1055,"是",$O$62:$O$1055,"通过")+COUNTIFS($B$62:$B$1055,A54,$E$62:$E$1055,"是",$O$62:$O$1055,"失败已记录")+COUNTIFS($B$62:$B$1055,A54,$E$62:$E$1055,"是",$O$62:$O$1055,"受阻已记录")+COUNTIFS($B$62:$B$1055,A54,$E$62:$E$1055,"是",$O$62:$O$1055,"缺依据已记录")</x:f>
        <x:v>0</x:v>
      </x:c>
      <x:c r="X54" s="282" t="n">
        <x:f>COUNTIFS($B$62:$B$1055,A54,$E$62:$E$1055,"是",$O$62:$O$1055,"通过")</x:f>
        <x:v>0</x:v>
      </x:c>
      <x:c r="Y54" s="10" t="str">
        <x:f>IF(U54&lt;&gt;"已确认","页面范围待核定",IF((COUNTIFS($B$62:$B$1055,A54)-COUNTIFS($B$62:$B$1055,A54,$E$62:$E$1055,"是")-COUNTIFS($B$62:$B$1055,A54,$E$62:$E$1055,"否"))&gt;0,"页面适用范围未选齐",IF((COUNTIFS($B$62:$B$1055,A54,$E$62:$E$1055,"否")-COUNTIFS($B$62:$B$1055,A54,$E$62:$E$1055,"否",$O$62:$O$1055,"不适用"))&gt;0,"不适用依据未齐",IF(V54=0,"适用页面未登记",IF(W54&lt;V54,"页面走查未覆盖",IF(X54&lt;V54,"已覆盖，仍有失败/受阻/缺依据","页面覆盖已通过"))))))</x:f>
        <x:v>页面范围待核定</x:v>
      </x:c>
    </x:row>
    <x:row r="55" ht="112.5" customHeight="1">
      <x:c r="A55" s="10" t="str">
        <x:v>UI49</x:v>
      </x:c>
      <x:c r="B55" s="10" t="str">
        <x:f>'UI检查'!B54</x:f>
        <x:v>本批支持端与已交付辅助能力</x:v>
      </x:c>
      <x:c r="C55" s="10" t="str">
        <x:f>'UI检查'!C54</x:f>
        <x:v>键盘核心操作、标签与条件性帮助</x:v>
      </x:c>
      <x:c r="D55" s="10" t="str">
        <x:f>'UI检查'!R54</x:f>
        <x:v>公共基准补充（按需裁剪）</x:v>
      </x:c>
      <x:c r="E55" s="10" t="str">
        <x:v>按实际控件/支持端裁剪，依据通用规范与公共基准验证，未交付能力写明不适用。</x:v>
      </x:c>
      <x:c r="F55" s="10" t="str">
        <x:f>'UI检查'!J54</x:f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G55" s="10" t="str">
        <x:f>'UI检查'!K54</x:f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H55" s="274" t="str">
        <x:v>待选择</x:v>
      </x:c>
      <x:c r="I55" s="274" t="str">
        <x:v>未走查</x:v>
      </x:c>
      <x:c r="J55" s="274"/>
      <x:c r="K55" s="274"/>
      <x:c r="L55" s="274"/>
      <x:c r="M55" s="274"/>
      <x:c r="N55" s="274"/>
      <x:c r="O55" s="274"/>
      <x:c r="P55" s="274"/>
      <x:c r="Q55" s="274"/>
      <x:c r="R55" s="274"/>
      <x:c r="S55" s="10" t="str">
        <x:f>IF(AND(H55="是",OR(I55="已走查",I55="待复查",I55="已复查")),IF(OR(Y55="页面覆盖已通过",Y55="已覆盖，仍有失败/受阻/缺依据"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,Y55)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)</x:f>
        <x:v>未纳入</x:v>
      </x:c>
      <x:c r="T55" s="10" t="str">
        <x:f>'UI检查'!I54</x:f>
        <x:v>未纳入本批</x:v>
      </x:c>
      <x:c r="U55" s="283" t="str">
        <x:v>待确认</x:v>
      </x:c>
      <x:c r="V55" s="282" t="n">
        <x:f>COUNTIFS($B$62:$B$1055,A55,$E$62:$E$1055,"是")</x:f>
        <x:v>0</x:v>
      </x:c>
      <x:c r="W55" s="282" t="n">
        <x:f>COUNTIFS($B$62:$B$1055,A55,$E$62:$E$1055,"是",$O$62:$O$1055,"通过")+COUNTIFS($B$62:$B$1055,A55,$E$62:$E$1055,"是",$O$62:$O$1055,"失败已记录")+COUNTIFS($B$62:$B$1055,A55,$E$62:$E$1055,"是",$O$62:$O$1055,"受阻已记录")+COUNTIFS($B$62:$B$1055,A55,$E$62:$E$1055,"是",$O$62:$O$1055,"缺依据已记录")</x:f>
        <x:v>0</x:v>
      </x:c>
      <x:c r="X55" s="282" t="n">
        <x:f>COUNTIFS($B$62:$B$1055,A55,$E$62:$E$1055,"是",$O$62:$O$1055,"通过")</x:f>
        <x:v>0</x:v>
      </x:c>
      <x:c r="Y55" s="10" t="str">
        <x:f>IF(U55&lt;&gt;"已确认","页面范围待核定",IF((COUNTIFS($B$62:$B$1055,A55)-COUNTIFS($B$62:$B$1055,A55,$E$62:$E$1055,"是")-COUNTIFS($B$62:$B$1055,A55,$E$62:$E$1055,"否"))&gt;0,"页面适用范围未选齐",IF((COUNTIFS($B$62:$B$1055,A55,$E$62:$E$1055,"否")-COUNTIFS($B$62:$B$1055,A55,$E$62:$E$1055,"否",$O$62:$O$1055,"不适用"))&gt;0,"不适用依据未齐",IF(V55=0,"适用页面未登记",IF(W55&lt;V55,"页面走查未覆盖",IF(X55&lt;V55,"已覆盖，仍有失败/受阻/缺依据","页面覆盖已通过"))))))</x:f>
        <x:v>页面范围待核定</x:v>
      </x:c>
    </x:row>
    <x:row r="57" ht="52.5" customHeight="1">
      <x:c r="A57" s="10" t="str">
        <x:v>页面执行明细：先列本批适用的页面/对象、组件与视口，再核定上方U列范围。49条是用例定义，不是49个页面；一个页面通过不能代表其他页面。</x:v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</x:row>
    <x:row r="58" ht="52.5" customHeight="1">
      <x:c r="A58" s="10" t="str">
        <x:v>预置10行来自网站只读观察的候选示例，均未选择、未执行，不构成完整页面清单；服务单元、AI等页面及其他对象按交付补齐。页面实例须覆盖对应case全部适用步骤；不支持的能力逐项写批准裁剪依据。</x:v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</x:row>
    <x:row r="59" ht="52.5" customHeight="1">
      <x:c r="A59" s="10" t="str">
        <x:v>C列写页面/对象＋组件范围＋视口，D列写URL或菜单路径；相同case+C+D不可重复计数。新增行复制O:R公式并扩展原生表，统计至1055行；发现差异登记UI修改清单，缺依据不能记通过。</x:v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</x:row>
    <x:row r="61" ht="45" customHeight="1">
      <x:c r="A61" s="281" t="str">
        <x:v>页面实例ID</x:v>
      </x:c>
      <x:c r="B61" s="281" t="str">
        <x:v>关联UI case</x:v>
      </x:c>
      <x:c r="C61" s="281" t="str">
        <x:v>页面/对象·组件·视口</x:v>
      </x:c>
      <x:c r="D61" s="281" t="str">
        <x:v>URL/实际菜单路径</x:v>
      </x:c>
      <x:c r="E61" s="281" t="str">
        <x:v>本批适用</x:v>
      </x:c>
      <x:c r="F61" s="281" t="str">
        <x:v>必验状态/批准裁剪/数据</x:v>
      </x:c>
      <x:c r="G61" s="281" t="str">
        <x:v>本次采用UI依据版本</x:v>
      </x:c>
      <x:c r="H61" s="281" t="str">
        <x:v>页面执行结果</x:v>
      </x:c>
      <x:c r="I61" s="281" t="str">
        <x:v>执行Build</x:v>
      </x:c>
      <x:c r="J61" s="281" t="str">
        <x:v>动作及实际结果证据</x:v>
      </x:c>
      <x:c r="K61" s="281" t="str">
        <x:v>执行人</x:v>
      </x:c>
      <x:c r="L61" s="281" t="str">
        <x:v>问题/受阻/缺依据说明</x:v>
      </x:c>
      <x:c r="M61" s="281" t="str">
        <x:v>关联修改清单ID</x:v>
      </x:c>
      <x:c r="N61" s="281" t="str">
        <x:v>不适用依据</x:v>
      </x:c>
      <x:c r="O61" s="281" t="str">
        <x:v>页面记录有效结果</x:v>
      </x:c>
      <x:c r="P61" s="281" t="str">
        <x:v>case操作步骤</x:v>
      </x:c>
      <x:c r="Q61" s="281" t="str">
        <x:v>case批准预期</x:v>
      </x:c>
      <x:c r="R61" s="281" t="str">
        <x:v>来源适配层级</x:v>
      </x:c>
    </x:row>
    <x:row r="62" ht="157.5" customHeight="1">
      <x:c r="A62" s="283" t="str">
        <x:v>PX01</x:v>
      </x:c>
      <x:c r="B62" s="283" t="str">
        <x:v>UI01</x:v>
      </x:c>
      <x:c r="C62" s="283" t="str">
        <x:v>基础配置·分类与新增入口·视口待补</x:v>
      </x:c>
      <x:c r="D62" s="283" t="str">
        <x:v>https://localhost/pcs/system-config/master-data?group=location&amp;resource=country</x:v>
      </x:c>
      <x:c r="E62" s="283" t="str">
        <x:v>待选择</x:v>
      </x:c>
      <x:c r="F62" s="283" t="str">
        <x:v>按批准本批结构核分类切换与当前对象新增入口；导航按钮不是自动等同Tabs。</x:v>
      </x:c>
      <x:c r="G62" s="283"/>
      <x:c r="H62" s="283" t="str">
        <x:v>未执行</x:v>
      </x:c>
      <x:c r="I62" s="283"/>
      <x:c r="J62" s="283"/>
      <x:c r="K62" s="283"/>
      <x:c r="L62" s="283"/>
      <x:c r="M62" s="283"/>
      <x:c r="N62" s="283"/>
      <x:c r="O62" s="10" t="str">
        <x:f>IF(AND(A62="",B62=""),"",IF(E62="否",IF(LEN(TRIM(N62))=0,"不适用依据待补","不适用"),IF(E62&lt;&gt;"是","未纳入",IF(LEN(TRIM(A62))=0,"范围ID缺失",IF(COUNTIFS($A$62:$A$1055,A62)&lt;&gt;1,"范围ID重复",IF(COUNTIFS('UI检查'!$A$6:$A$54,B62)&lt;&gt;1,"关联case无效",IF(COUNTIFS($B$62:$B$1055,B62,$C$62:$C$1055,C62,$D$62:$D$1055,D62,$E$62:$E$1055,"是")&lt;&gt;1,"重复页面范围",IF(OR(LEN(TRIM(C62))=0,LEN(TRIM(D62))=0,LEN(TRIM(F62))=0,ISNUMBER(SEARCH("待补",C62))),"页面范围待补",IF(OR(H62="未执行",H62=""),"未执行",IF(OR(LEN(TRIM(I62))=0,I62&lt;&gt;'本批提测'!$B$8),"页面Build需核对",IF(OR(LEN(TRIM(J62))=0,LEN(TRIM(K62))=0),"页面执行证据不齐",IF(H62="通过",IF(OR(LEN(TRIM(G62))=0,G62&lt;&gt;INDEX($O$7:$O$55,MATCH(B62,$A$7:$A$55,0))),"页面依据未对齐",IF(AND(LEN(TRIM(L62))&gt;0,OR(COUNTIFS('UI修改清单'!$A$7:$A$200,M62,'UI修改清单'!$B$7:$B$200,B62)&lt;&gt;1,(COUNTIFS('UI修改清单'!$A$7:$A$200,M62,'UI修改清单'!$U$7:$U$200,"复查闭环")+COUNTIFS('UI修改清单'!$A$7:$A$200,M62,'UI修改清单'!$U$7:$U$200,"核对符合")+COUNTIFS('UI修改清单'!$A$7:$A$200,M62,'UI修改清单'!$U$7:$U$200,"有据不适用"))&lt;&gt;1)),"页面问题未闭环","通过")),IF(H62="失败",IF(OR(LEN(TRIM(L62))=0,COUNTIFS('UI修改清单'!$A$7:$A$200,M62,'UI修改清单'!$B$7:$B$200,B62,'UI修改清单'!$D$7:$D$200,"实测问题")&lt;&gt;1),"失败问题未登记","失败已记录"),IF(OR(H62="受阻",H62="依据待确认"),IF(LEN(TRIM(L62))=0,"受阻/缺依据说明待补",IF(H62="受阻","受阻已记录","缺依据已记录")),"结果待填写"))))))))))))))</x:f>
        <x:v>未纳入</x:v>
      </x:c>
      <x:c r="P62" s="10" t="str">
        <x:f>IF(B62="","",IF(COUNTIFS('UI检查'!$A$6:$A$54,B62)&lt;&gt;1,"case无效",INDEX('UI检查'!$J$6:$J$54,MATCH(B62,'UI检查'!$A$6:$A$54,0))))</x:f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Q62" s="10" t="str">
        <x:f>IF(B62="","",IF(COUNTIFS('UI检查'!$A$6:$A$54,B62)&lt;&gt;1,"case无效",INDEX('UI检查'!$K$6:$K$54,MATCH(B62,'UI检查'!$A$6:$A$54,0))))</x:f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R62" s="10" t="str">
        <x:f>IF(B62="","",IF(COUNTIFS('UI检查'!$A$6:$A$54,B62)&lt;&gt;1,"case无效",INDEX('UI检查'!$R$6:$R$54,MATCH(B62,'UI检查'!$A$6:$A$54,0))))</x:f>
        <x:v>无法覆盖</x:v>
      </x:c>
    </x:row>
    <x:row r="63" ht="157.5" customHeight="1">
      <x:c r="A63" s="283" t="str">
        <x:v>PX02</x:v>
      </x:c>
      <x:c r="B63" s="283" t="str">
        <x:v>UI11</x:v>
      </x:c>
      <x:c r="C63" s="283" t="str">
        <x:v>国家·列表分页·视口待补</x:v>
      </x:c>
      <x:c r="D63" s="283" t="str">
        <x:v>https://localhost/pcs/system-config/master-data?group=location&amp;resource=country</x:v>
      </x:c>
      <x:c r="E63" s="283" t="str">
        <x:v>待选择</x:v>
      </x:c>
      <x:c r="F63" s="283" t="str">
        <x:v>覆盖case分页适用状态；现有1条样本不足多页，需准备批准专用数据。空态页码以本批批准规范为准。</x:v>
      </x:c>
      <x:c r="G63" s="283"/>
      <x:c r="H63" s="283" t="str">
        <x:v>未执行</x:v>
      </x:c>
      <x:c r="I63" s="283"/>
      <x:c r="J63" s="283"/>
      <x:c r="K63" s="283"/>
      <x:c r="L63" s="283"/>
      <x:c r="M63" s="283"/>
      <x:c r="N63" s="283"/>
      <x:c r="O63" s="10" t="str">
        <x:f>IF(AND(A63="",B63=""),"",IF(E63="否",IF(LEN(TRIM(N63))=0,"不适用依据待补","不适用"),IF(E63&lt;&gt;"是","未纳入",IF(LEN(TRIM(A63))=0,"范围ID缺失",IF(COUNTIFS($A$62:$A$1055,A63)&lt;&gt;1,"范围ID重复",IF(COUNTIFS('UI检查'!$A$6:$A$54,B63)&lt;&gt;1,"关联case无效",IF(COUNTIFS($B$62:$B$1055,B63,$C$62:$C$1055,C63,$D$62:$D$1055,D63,$E$62:$E$1055,"是")&lt;&gt;1,"重复页面范围",IF(OR(LEN(TRIM(C63))=0,LEN(TRIM(D63))=0,LEN(TRIM(F63))=0,ISNUMBER(SEARCH("待补",C63))),"页面范围待补",IF(OR(H63="未执行",H63=""),"未执行",IF(OR(LEN(TRIM(I63))=0,I63&lt;&gt;'本批提测'!$B$8),"页面Build需核对",IF(OR(LEN(TRIM(J63))=0,LEN(TRIM(K63))=0),"页面执行证据不齐",IF(H63="通过",IF(OR(LEN(TRIM(G63))=0,G63&lt;&gt;INDEX($O$7:$O$55,MATCH(B63,$A$7:$A$55,0))),"页面依据未对齐",IF(AND(LEN(TRIM(L63))&gt;0,OR(COUNTIFS('UI修改清单'!$A$7:$A$200,M63,'UI修改清单'!$B$7:$B$200,B63)&lt;&gt;1,(COUNTIFS('UI修改清单'!$A$7:$A$200,M63,'UI修改清单'!$U$7:$U$200,"复查闭环")+COUNTIFS('UI修改清单'!$A$7:$A$200,M63,'UI修改清单'!$U$7:$U$200,"核对符合")+COUNTIFS('UI修改清单'!$A$7:$A$200,M63,'UI修改清单'!$U$7:$U$200,"有据不适用"))&lt;&gt;1)),"页面问题未闭环","通过")),IF(H63="失败",IF(OR(LEN(TRIM(L63))=0,COUNTIFS('UI修改清单'!$A$7:$A$200,M63,'UI修改清单'!$B$7:$B$200,B63,'UI修改清单'!$D$7:$D$200,"实测问题")&lt;&gt;1),"失败问题未登记","失败已记录"),IF(OR(H63="受阻",H63="依据待确认"),IF(LEN(TRIM(L63))=0,"受阻/缺依据说明待补",IF(H63="受阻","受阻已记录","缺依据已记录")),"结果待填写"))))))))))))))</x:f>
        <x:v>未纳入</x:v>
      </x:c>
      <x:c r="P63" s="10" t="str">
        <x:f>IF(B63="","",IF(COUNTIFS('UI检查'!$A$6:$A$54,B63)&lt;&gt;1,"case无效",INDEX('UI检查'!$J$6:$J$54,MATCH(B63,'UI检查'!$A$6:$A$54,0))))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</x:v>
      </x:c>
      <x:c r="Q63" s="10" t="str">
        <x:f>IF(B63="","",IF(COUNTIFS('UI检查'!$A$6:$A$54,B63)&lt;&gt;1,"case无效",INDEX('UI检查'!$K$6:$K$54,MATCH(B63,'UI检查'!$A$6:$A$54,0))))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R63" s="10" t="str">
        <x:f>IF(B63="","",IF(COUNTIFS('UI检查'!$A$6:$A$54,B63)&lt;&gt;1,"case无效",INDEX('UI检查'!$R$6:$R$54,MATCH(B63,'UI检查'!$A$6:$A$54,0))))</x:f>
        <x:v>直接复用</x:v>
      </x:c>
    </x:row>
    <x:row r="64" ht="157.5" customHeight="1">
      <x:c r="A64" s="283" t="str">
        <x:v>PX03</x:v>
      </x:c>
      <x:c r="B64" s="283" t="str">
        <x:v>UI15</x:v>
      </x:c>
      <x:c r="C64" s="283" t="str">
        <x:v>航空公司·列表编码·视口待补</x:v>
      </x:c>
      <x:c r="D64" s="283" t="str">
        <x:v>https://localhost/pcs/system-config/master-data?group=dictionary&amp;resource=airline</x:v>
      </x:c>
      <x:c r="E64" s="283" t="str">
        <x:v>待选择</x:v>
      </x:c>
      <x:c r="F64" s="283" t="str">
        <x:v>区分纯展示编码与已交付详情入口；核是否存在错误链接暗示。</x:v>
      </x:c>
      <x:c r="G64" s="283"/>
      <x:c r="H64" s="283" t="str">
        <x:v>未执行</x:v>
      </x:c>
      <x:c r="I64" s="283"/>
      <x:c r="J64" s="283"/>
      <x:c r="K64" s="283"/>
      <x:c r="L64" s="283"/>
      <x:c r="M64" s="283"/>
      <x:c r="N64" s="283"/>
      <x:c r="O64" s="10" t="str">
        <x:f>IF(AND(A64="",B64=""),"",IF(E64="否",IF(LEN(TRIM(N64))=0,"不适用依据待补","不适用"),IF(E64&lt;&gt;"是","未纳入",IF(LEN(TRIM(A64))=0,"范围ID缺失",IF(COUNTIFS($A$62:$A$1055,A64)&lt;&gt;1,"范围ID重复",IF(COUNTIFS('UI检查'!$A$6:$A$54,B64)&lt;&gt;1,"关联case无效",IF(COUNTIFS($B$62:$B$1055,B64,$C$62:$C$1055,C64,$D$62:$D$1055,D64,$E$62:$E$1055,"是")&lt;&gt;1,"重复页面范围",IF(OR(LEN(TRIM(C64))=0,LEN(TRIM(D64))=0,LEN(TRIM(F64))=0,ISNUMBER(SEARCH("待补",C64))),"页面范围待补",IF(OR(H64="未执行",H64=""),"未执行",IF(OR(LEN(TRIM(I64))=0,I64&lt;&gt;'本批提测'!$B$8),"页面Build需核对",IF(OR(LEN(TRIM(J64))=0,LEN(TRIM(K64))=0),"页面执行证据不齐",IF(H64="通过",IF(OR(LEN(TRIM(G64))=0,G64&lt;&gt;INDEX($O$7:$O$55,MATCH(B64,$A$7:$A$55,0))),"页面依据未对齐",IF(AND(LEN(TRIM(L64))&gt;0,OR(COUNTIFS('UI修改清单'!$A$7:$A$200,M64,'UI修改清单'!$B$7:$B$200,B64)&lt;&gt;1,(COUNTIFS('UI修改清单'!$A$7:$A$200,M64,'UI修改清单'!$U$7:$U$200,"复查闭环")+COUNTIFS('UI修改清单'!$A$7:$A$200,M64,'UI修改清单'!$U$7:$U$200,"核对符合")+COUNTIFS('UI修改清单'!$A$7:$A$200,M64,'UI修改清单'!$U$7:$U$200,"有据不适用"))&lt;&gt;1)),"页面问题未闭环","通过")),IF(H64="失败",IF(OR(LEN(TRIM(L64))=0,COUNTIFS('UI修改清单'!$A$7:$A$200,M64,'UI修改清单'!$B$7:$B$200,B64,'UI修改清单'!$D$7:$D$200,"实测问题")&lt;&gt;1),"失败问题未登记","失败已记录"),IF(OR(H64="受阻",H64="依据待确认"),IF(LEN(TRIM(L64))=0,"受阻/缺依据说明待补",IF(H64="受阻","受阻已记录","缺依据已记录")),"结果待填写"))))))))))))))</x:f>
        <x:v>未纳入</x:v>
      </x:c>
      <x:c r="P64" s="10" t="str">
        <x:f>IF(B64="","",IF(COUNTIFS('UI检查'!$A$6:$A$54,B64)&lt;&gt;1,"case无效",INDEX('UI检查'!$J$6:$J$54,MATCH(B64,'UI检查'!$A$6:$A$54,0))))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Q64" s="10" t="str">
        <x:f>IF(B64="","",IF(COUNTIFS('UI检查'!$A$6:$A$54,B64)&lt;&gt;1,"case无效",INDEX('UI检查'!$K$6:$K$54,MATCH(B64,'UI检查'!$A$6:$A$54,0))))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R64" s="10" t="str">
        <x:f>IF(B64="","",IF(COUNTIFS('UI检查'!$A$6:$A$54,B64)&lt;&gt;1,"case无效",INDEX('UI检查'!$R$6:$R$54,MATCH(B64,'UI检查'!$A$6:$A$54,0))))</x:f>
        <x:v>直接复用</x:v>
      </x:c>
    </x:row>
    <x:row r="65" ht="157.5" customHeight="1">
      <x:c r="A65" s="283" t="str">
        <x:v>PX04</x:v>
      </x:c>
      <x:c r="B65" s="283" t="str">
        <x:v>UI44</x:v>
      </x:c>
      <x:c r="C65" s="283" t="str">
        <x:v>货物类型·编辑表单·视口待补</x:v>
      </x:c>
      <x:c r="D65" s="283" t="str">
        <x:v>https://localhost/pcs/system-config/master-data?group=dictionary&amp;resource=cargo_type</x:v>
      </x:c>
      <x:c r="E65" s="283" t="str">
        <x:v>待选择</x:v>
      </x:c>
      <x:c r="F65" s="283" t="str">
        <x:v>按批准字段合同验证校验触发、错误定位、只读及回显；可见0/500仅是观察，不自行推广统一限制。</x:v>
      </x:c>
      <x:c r="G65" s="283"/>
      <x:c r="H65" s="283" t="str">
        <x:v>未执行</x:v>
      </x:c>
      <x:c r="I65" s="283"/>
      <x:c r="J65" s="283"/>
      <x:c r="K65" s="283"/>
      <x:c r="L65" s="283"/>
      <x:c r="M65" s="283"/>
      <x:c r="N65" s="283"/>
      <x:c r="O65" s="10" t="str">
        <x:f>IF(AND(A65="",B65=""),"",IF(E65="否",IF(LEN(TRIM(N65))=0,"不适用依据待补","不适用"),IF(E65&lt;&gt;"是","未纳入",IF(LEN(TRIM(A65))=0,"范围ID缺失",IF(COUNTIFS($A$62:$A$1055,A65)&lt;&gt;1,"范围ID重复",IF(COUNTIFS('UI检查'!$A$6:$A$54,B65)&lt;&gt;1,"关联case无效",IF(COUNTIFS($B$62:$B$1055,B65,$C$62:$C$1055,C65,$D$62:$D$1055,D65,$E$62:$E$1055,"是")&lt;&gt;1,"重复页面范围",IF(OR(LEN(TRIM(C65))=0,LEN(TRIM(D65))=0,LEN(TRIM(F65))=0,ISNUMBER(SEARCH("待补",C65))),"页面范围待补",IF(OR(H65="未执行",H65=""),"未执行",IF(OR(LEN(TRIM(I65))=0,I65&lt;&gt;'本批提测'!$B$8),"页面Build需核对",IF(OR(LEN(TRIM(J65))=0,LEN(TRIM(K65))=0),"页面执行证据不齐",IF(H65="通过",IF(OR(LEN(TRIM(G65))=0,G65&lt;&gt;INDEX($O$7:$O$55,MATCH(B65,$A$7:$A$55,0))),"页面依据未对齐",IF(AND(LEN(TRIM(L65))&gt;0,OR(COUNTIFS('UI修改清单'!$A$7:$A$200,M65,'UI修改清单'!$B$7:$B$200,B65)&lt;&gt;1,(COUNTIFS('UI修改清单'!$A$7:$A$200,M65,'UI修改清单'!$U$7:$U$200,"复查闭环")+COUNTIFS('UI修改清单'!$A$7:$A$200,M65,'UI修改清单'!$U$7:$U$200,"核对符合")+COUNTIFS('UI修改清单'!$A$7:$A$200,M65,'UI修改清单'!$U$7:$U$200,"有据不适用"))&lt;&gt;1)),"页面问题未闭环","通过")),IF(H65="失败",IF(OR(LEN(TRIM(L65))=0,COUNTIFS('UI修改清单'!$A$7:$A$200,M65,'UI修改清单'!$B$7:$B$200,B65,'UI修改清单'!$D$7:$D$200,"实测问题")&lt;&gt;1),"失败问题未登记","失败已记录"),IF(OR(H65="受阻",H65="依据待确认"),IF(LEN(TRIM(L65))=0,"受阻/缺依据说明待补",IF(H65="受阻","受阻已记录","缺依据已记录")),"结果待填写"))))))))))))))</x:f>
        <x:v>未纳入</x:v>
      </x:c>
      <x:c r="P65" s="10" t="str">
        <x:f>IF(B65="","",IF(COUNTIFS('UI检查'!$A$6:$A$54,B65)&lt;&gt;1,"case无效",INDEX('UI检查'!$J$6:$J$54,MATCH(B65,'UI检查'!$A$6:$A$54,0))))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Q65" s="10" t="str">
        <x:f>IF(B65="","",IF(COUNTIFS('UI检查'!$A$6:$A$54,B65)&lt;&gt;1,"case无效",INDEX('UI检查'!$K$6:$K$54,MATCH(B65,'UI检查'!$A$6:$A$54,0))))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R65" s="10" t="str">
        <x:f>IF(B65="","",IF(COUNTIFS('UI检查'!$A$6:$A$54,B65)&lt;&gt;1,"case无效",INDEX('UI检查'!$R$6:$R$54,MATCH(B65,'UI检查'!$A$6:$A$54,0))))</x:f>
        <x:v>公共基准补充（按需裁剪）</x:v>
      </x:c>
    </x:row>
    <x:row r="66" ht="157.5" customHeight="1">
      <x:c r="A66" s="283" t="str">
        <x:v>PX05</x:v>
      </x:c>
      <x:c r="B66" s="283" t="str">
        <x:v>UI09</x:v>
      </x:c>
      <x:c r="C66" s="283" t="str">
        <x:v>费用项·查询区·视口待补</x:v>
      </x:c>
      <x:c r="D66" s="283" t="str">
        <x:v>基础配置 &gt; 计价底座 &gt; 费用项（精确URL待核）</x:v>
      </x:c>
      <x:c r="E66" s="283" t="str">
        <x:v>待选择</x:v>
      </x:c>
      <x:c r="F66" s="283" t="str">
        <x:v>覆盖case查询布局、条件/重置/刷新及结果同步；对象精确URL未读取，可用真实菜单路径。</x:v>
      </x:c>
      <x:c r="G66" s="283"/>
      <x:c r="H66" s="283" t="str">
        <x:v>未执行</x:v>
      </x:c>
      <x:c r="I66" s="283"/>
      <x:c r="J66" s="283"/>
      <x:c r="K66" s="283"/>
      <x:c r="L66" s="283"/>
      <x:c r="M66" s="283"/>
      <x:c r="N66" s="283"/>
      <x:c r="O66" s="10" t="str">
        <x:f>IF(AND(A66="",B66=""),"",IF(E66="否",IF(LEN(TRIM(N66))=0,"不适用依据待补","不适用"),IF(E66&lt;&gt;"是","未纳入",IF(LEN(TRIM(A66))=0,"范围ID缺失",IF(COUNTIFS($A$62:$A$1055,A66)&lt;&gt;1,"范围ID重复",IF(COUNTIFS('UI检查'!$A$6:$A$54,B66)&lt;&gt;1,"关联case无效",IF(COUNTIFS($B$62:$B$1055,B66,$C$62:$C$1055,C66,$D$62:$D$1055,D66,$E$62:$E$1055,"是")&lt;&gt;1,"重复页面范围",IF(OR(LEN(TRIM(C66))=0,LEN(TRIM(D66))=0,LEN(TRIM(F66))=0,ISNUMBER(SEARCH("待补",C66))),"页面范围待补",IF(OR(H66="未执行",H66=""),"未执行",IF(OR(LEN(TRIM(I66))=0,I66&lt;&gt;'本批提测'!$B$8),"页面Build需核对",IF(OR(LEN(TRIM(J66))=0,LEN(TRIM(K66))=0),"页面执行证据不齐",IF(H66="通过",IF(OR(LEN(TRIM(G66))=0,G66&lt;&gt;INDEX($O$7:$O$55,MATCH(B66,$A$7:$A$55,0))),"页面依据未对齐",IF(AND(LEN(TRIM(L66))&gt;0,OR(COUNTIFS('UI修改清单'!$A$7:$A$200,M66,'UI修改清单'!$B$7:$B$200,B66)&lt;&gt;1,(COUNTIFS('UI修改清单'!$A$7:$A$200,M66,'UI修改清单'!$U$7:$U$200,"复查闭环")+COUNTIFS('UI修改清单'!$A$7:$A$200,M66,'UI修改清单'!$U$7:$U$200,"核对符合")+COUNTIFS('UI修改清单'!$A$7:$A$200,M66,'UI修改清单'!$U$7:$U$200,"有据不适用"))&lt;&gt;1)),"页面问题未闭环","通过")),IF(H66="失败",IF(OR(LEN(TRIM(L66))=0,COUNTIFS('UI修改清单'!$A$7:$A$200,M66,'UI修改清单'!$B$7:$B$200,B66,'UI修改清单'!$D$7:$D$200,"实测问题")&lt;&gt;1),"失败问题未登记","失败已记录"),IF(OR(H66="受阻",H66="依据待确认"),IF(LEN(TRIM(L66))=0,"受阻/缺依据说明待补",IF(H66="受阻","受阻已记录","缺依据已记录")),"结果待填写"))))))))))))))</x:f>
        <x:v>未纳入</x:v>
      </x:c>
      <x:c r="P66" s="10" t="str">
        <x:f>IF(B66="","",IF(COUNTIFS('UI检查'!$A$6:$A$54,B66)&lt;&gt;1,"case无效",INDEX('UI检查'!$J$6:$J$54,MATCH(B66,'UI检查'!$A$6:$A$54,0))))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Q66" s="10" t="str">
        <x:f>IF(B66="","",IF(COUNTIFS('UI检查'!$A$6:$A$54,B66)&lt;&gt;1,"case无效",INDEX('UI检查'!$K$6:$K$54,MATCH(B66,'UI检查'!$A$6:$A$54,0))))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R66" s="10" t="str">
        <x:f>IF(B66="","",IF(COUNTIFS('UI检查'!$A$6:$A$54,B66)&lt;&gt;1,"case无效",INDEX('UI检查'!$R$6:$R$54,MATCH(B66,'UI检查'!$A$6:$A$54,0))))</x:f>
        <x:v>直接复用</x:v>
      </x:c>
    </x:row>
    <x:row r="67" ht="157.5" customHeight="1">
      <x:c r="A67" s="283" t="str">
        <x:v>PX06</x:v>
      </x:c>
      <x:c r="B67" s="283" t="str">
        <x:v>UI29</x:v>
      </x:c>
      <x:c r="C67" s="283" t="str">
        <x:v>币种·数据展示·视口待补</x:v>
      </x:c>
      <x:c r="D67" s="283" t="str">
        <x:v>https://localhost/pcs/system-config/master-data?group=finance&amp;resource=currency</x:v>
      </x:c>
      <x:c r="E67" s="283" t="str">
        <x:v>待选择</x:v>
      </x:c>
      <x:c r="F67" s="283" t="str">
        <x:v>验证真实零、缺失及字段单位；样本CNY/USD小数位2不代表所有金额只能2位。</x:v>
      </x:c>
      <x:c r="G67" s="283"/>
      <x:c r="H67" s="283" t="str">
        <x:v>未执行</x:v>
      </x:c>
      <x:c r="I67" s="283"/>
      <x:c r="J67" s="283"/>
      <x:c r="K67" s="283"/>
      <x:c r="L67" s="283"/>
      <x:c r="M67" s="283"/>
      <x:c r="N67" s="283"/>
      <x:c r="O67" s="10" t="str">
        <x:f>IF(AND(A67="",B67=""),"",IF(E67="否",IF(LEN(TRIM(N67))=0,"不适用依据待补","不适用"),IF(E67&lt;&gt;"是","未纳入",IF(LEN(TRIM(A67))=0,"范围ID缺失",IF(COUNTIFS($A$62:$A$1055,A67)&lt;&gt;1,"范围ID重复",IF(COUNTIFS('UI检查'!$A$6:$A$54,B67)&lt;&gt;1,"关联case无效",IF(COUNTIFS($B$62:$B$1055,B67,$C$62:$C$1055,C67,$D$62:$D$1055,D67,$E$62:$E$1055,"是")&lt;&gt;1,"重复页面范围",IF(OR(LEN(TRIM(C67))=0,LEN(TRIM(D67))=0,LEN(TRIM(F67))=0,ISNUMBER(SEARCH("待补",C67))),"页面范围待补",IF(OR(H67="未执行",H67=""),"未执行",IF(OR(LEN(TRIM(I67))=0,I67&lt;&gt;'本批提测'!$B$8),"页面Build需核对",IF(OR(LEN(TRIM(J67))=0,LEN(TRIM(K67))=0),"页面执行证据不齐",IF(H67="通过",IF(OR(LEN(TRIM(G67))=0,G67&lt;&gt;INDEX($O$7:$O$55,MATCH(B67,$A$7:$A$55,0))),"页面依据未对齐",IF(AND(LEN(TRIM(L67))&gt;0,OR(COUNTIFS('UI修改清单'!$A$7:$A$200,M67,'UI修改清单'!$B$7:$B$200,B67)&lt;&gt;1,(COUNTIFS('UI修改清单'!$A$7:$A$200,M67,'UI修改清单'!$U$7:$U$200,"复查闭环")+COUNTIFS('UI修改清单'!$A$7:$A$200,M67,'UI修改清单'!$U$7:$U$200,"核对符合")+COUNTIFS('UI修改清单'!$A$7:$A$200,M67,'UI修改清单'!$U$7:$U$200,"有据不适用"))&lt;&gt;1)),"页面问题未闭环","通过")),IF(H67="失败",IF(OR(LEN(TRIM(L67))=0,COUNTIFS('UI修改清单'!$A$7:$A$200,M67,'UI修改清单'!$B$7:$B$200,B67,'UI修改清单'!$D$7:$D$200,"实测问题")&lt;&gt;1),"失败问题未登记","失败已记录"),IF(OR(H67="受阻",H67="依据待确认"),IF(LEN(TRIM(L67))=0,"受阻/缺依据说明待补",IF(H67="受阻","受阻已记录","缺依据已记录")),"结果待填写"))))))))))))))</x:f>
        <x:v>未纳入</x:v>
      </x:c>
      <x:c r="P67" s="10" t="str">
        <x:f>IF(B67="","",IF(COUNTIFS('UI检查'!$A$6:$A$54,B67)&lt;&gt;1,"case无效",INDEX('UI检查'!$J$6:$J$54,MATCH(B67,'UI检查'!$A$6:$A$54,0))))</x:f>
        <x:v>分别准备无值、真实0、金额、重量、件数、百分比和体积字段；核对小数位、千分位、符号/单位及同列格式，不改变原始计算值。</x:v>
      </x:c>
      <x:c r="Q67" s="10" t="str">
        <x:f>IF(B67="","",IF(COUNTIFS('UI检查'!$A$6:$A$54,B67)&lt;&gt;1,"case无效",INDEX('UI检查'!$K$6:$K$54,MATCH(B67,'UI检查'!$A$6:$A$54,0))))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R67" s="10" t="str">
        <x:f>IF(B67="","",IF(COUNTIFS('UI检查'!$A$6:$A$54,B67)&lt;&gt;1,"case无效",INDEX('UI检查'!$R$6:$R$54,MATCH(B67,'UI检查'!$A$6:$A$54,0))))</x:f>
        <x:v>规范／检查建议</x:v>
      </x:c>
    </x:row>
    <x:row r="68" ht="157.5" customHeight="1">
      <x:c r="A68" s="283" t="str">
        <x:v>PX07</x:v>
      </x:c>
      <x:c r="B68" s="283" t="str">
        <x:v>UI45</x:v>
      </x:c>
      <x:c r="C68" s="283" t="str">
        <x:v>汇率·筛选与编辑选择·视口待补</x:v>
      </x:c>
      <x:c r="D68" s="283" t="str">
        <x:v>https://localhost/pcs/system-config/master-data?group=finance&amp;resource=exchange_rate</x:v>
      </x:c>
      <x:c r="E68" s="283" t="str">
        <x:v>待选择</x:v>
      </x:c>
      <x:c r="F68" s="283" t="str">
        <x:v>核源/目标币种、状态的真实控件及已生效只读；多选/搜索仅在交付时适用。</x:v>
      </x:c>
      <x:c r="G68" s="283"/>
      <x:c r="H68" s="283" t="str">
        <x:v>未执行</x:v>
      </x:c>
      <x:c r="I68" s="283"/>
      <x:c r="J68" s="283"/>
      <x:c r="K68" s="283"/>
      <x:c r="L68" s="283"/>
      <x:c r="M68" s="283"/>
      <x:c r="N68" s="283"/>
      <x:c r="O68" s="10" t="str">
        <x:f>IF(AND(A68="",B68=""),"",IF(E68="否",IF(LEN(TRIM(N68))=0,"不适用依据待补","不适用"),IF(E68&lt;&gt;"是","未纳入",IF(LEN(TRIM(A68))=0,"范围ID缺失",IF(COUNTIFS($A$62:$A$1055,A68)&lt;&gt;1,"范围ID重复",IF(COUNTIFS('UI检查'!$A$6:$A$54,B68)&lt;&gt;1,"关联case无效",IF(COUNTIFS($B$62:$B$1055,B68,$C$62:$C$1055,C68,$D$62:$D$1055,D68,$E$62:$E$1055,"是")&lt;&gt;1,"重复页面范围",IF(OR(LEN(TRIM(C68))=0,LEN(TRIM(D68))=0,LEN(TRIM(F68))=0,ISNUMBER(SEARCH("待补",C68))),"页面范围待补",IF(OR(H68="未执行",H68=""),"未执行",IF(OR(LEN(TRIM(I68))=0,I68&lt;&gt;'本批提测'!$B$8),"页面Build需核对",IF(OR(LEN(TRIM(J68))=0,LEN(TRIM(K68))=0),"页面执行证据不齐",IF(H68="通过",IF(OR(LEN(TRIM(G68))=0,G68&lt;&gt;INDEX($O$7:$O$55,MATCH(B68,$A$7:$A$55,0))),"页面依据未对齐",IF(AND(LEN(TRIM(L68))&gt;0,OR(COUNTIFS('UI修改清单'!$A$7:$A$200,M68,'UI修改清单'!$B$7:$B$200,B68)&lt;&gt;1,(COUNTIFS('UI修改清单'!$A$7:$A$200,M68,'UI修改清单'!$U$7:$U$200,"复查闭环")+COUNTIFS('UI修改清单'!$A$7:$A$200,M68,'UI修改清单'!$U$7:$U$200,"核对符合")+COUNTIFS('UI修改清单'!$A$7:$A$200,M68,'UI修改清单'!$U$7:$U$200,"有据不适用"))&lt;&gt;1)),"页面问题未闭环","通过")),IF(H68="失败",IF(OR(LEN(TRIM(L68))=0,COUNTIFS('UI修改清单'!$A$7:$A$200,M68,'UI修改清单'!$B$7:$B$200,B68,'UI修改清单'!$D$7:$D$200,"实测问题")&lt;&gt;1),"失败问题未登记","失败已记录"),IF(OR(H68="受阻",H68="依据待确认"),IF(LEN(TRIM(L68))=0,"受阻/缺依据说明待补",IF(H68="受阻","受阻已记录","缺依据已记录")),"结果待填写"))))))))))))))</x:f>
        <x:v>未纳入</x:v>
      </x:c>
      <x:c r="P68" s="10" t="str">
        <x:f>IF(B68="","",IF(COUNTIFS('UI检查'!$A$6:$A$54,B68)&lt;&gt;1,"case无效",INDEX('UI检查'!$J$6:$J$54,MATCH(B68,'UI检查'!$A$6:$A$54,0))))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</x:v>
      </x:c>
      <x:c r="Q68" s="10" t="str">
        <x:f>IF(B68="","",IF(COUNTIFS('UI检查'!$A$6:$A$54,B68)&lt;&gt;1,"case无效",INDEX('UI检查'!$K$6:$K$54,MATCH(B68,'UI检查'!$A$6:$A$54,0))))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R68" s="10" t="str">
        <x:f>IF(B68="","",IF(COUNTIFS('UI检查'!$A$6:$A$54,B68)&lt;&gt;1,"case无效",INDEX('UI检查'!$R$6:$R$54,MATCH(B68,'UI检查'!$A$6:$A$54,0))))</x:f>
        <x:v>公共基准补充（按需裁剪）</x:v>
      </x:c>
    </x:row>
    <x:row r="69" ht="157.5" customHeight="1">
      <x:c r="A69" s="283" t="str">
        <x:v>PX08</x:v>
      </x:c>
      <x:c r="B69" s="283" t="str">
        <x:v>UI41</x:v>
      </x:c>
      <x:c r="C69" s="283" t="str">
        <x:v>邮编·列表与编辑关联值·视口待补</x:v>
      </x:c>
      <x:c r="D69" s="283" t="str">
        <x:v>https://localhost/pcs/system-config/master-data?group=location&amp;resource=postal_code</x:v>
      </x:c>
      <x:c r="E69" s="283" t="str">
        <x:v>待选择</x:v>
      </x:c>
      <x:c r="F69" s="283" t="str">
        <x:v>核国家编码/名称/ID跨视图一致；观察到列表1、表单中国CN需核批准展示口径。</x:v>
      </x:c>
      <x:c r="G69" s="283"/>
      <x:c r="H69" s="283" t="str">
        <x:v>未执行</x:v>
      </x:c>
      <x:c r="I69" s="283"/>
      <x:c r="J69" s="283"/>
      <x:c r="K69" s="283"/>
      <x:c r="L69" s="283"/>
      <x:c r="M69" s="283"/>
      <x:c r="N69" s="283"/>
      <x:c r="O69" s="10" t="str">
        <x:f>IF(AND(A69="",B69=""),"",IF(E69="否",IF(LEN(TRIM(N69))=0,"不适用依据待补","不适用"),IF(E69&lt;&gt;"是","未纳入",IF(LEN(TRIM(A69))=0,"范围ID缺失",IF(COUNTIFS($A$62:$A$1055,A69)&lt;&gt;1,"范围ID重复",IF(COUNTIFS('UI检查'!$A$6:$A$54,B69)&lt;&gt;1,"关联case无效",IF(COUNTIFS($B$62:$B$1055,B69,$C$62:$C$1055,C69,$D$62:$D$1055,D69,$E$62:$E$1055,"是")&lt;&gt;1,"重复页面范围",IF(OR(LEN(TRIM(C69))=0,LEN(TRIM(D69))=0,LEN(TRIM(F69))=0,ISNUMBER(SEARCH("待补",C69))),"页面范围待补",IF(OR(H69="未执行",H69=""),"未执行",IF(OR(LEN(TRIM(I69))=0,I69&lt;&gt;'本批提测'!$B$8),"页面Build需核对",IF(OR(LEN(TRIM(J69))=0,LEN(TRIM(K69))=0),"页面执行证据不齐",IF(H69="通过",IF(OR(LEN(TRIM(G69))=0,G69&lt;&gt;INDEX($O$7:$O$55,MATCH(B69,$A$7:$A$55,0))),"页面依据未对齐",IF(AND(LEN(TRIM(L69))&gt;0,OR(COUNTIFS('UI修改清单'!$A$7:$A$200,M69,'UI修改清单'!$B$7:$B$200,B69)&lt;&gt;1,(COUNTIFS('UI修改清单'!$A$7:$A$200,M69,'UI修改清单'!$U$7:$U$200,"复查闭环")+COUNTIFS('UI修改清单'!$A$7:$A$200,M69,'UI修改清单'!$U$7:$U$200,"核对符合")+COUNTIFS('UI修改清单'!$A$7:$A$200,M69,'UI修改清单'!$U$7:$U$200,"有据不适用"))&lt;&gt;1)),"页面问题未闭环","通过")),IF(H69="失败",IF(OR(LEN(TRIM(L69))=0,COUNTIFS('UI修改清单'!$A$7:$A$200,M69,'UI修改清单'!$B$7:$B$200,B69,'UI修改清单'!$D$7:$D$200,"实测问题")&lt;&gt;1),"失败问题未登记","失败已记录"),IF(OR(H69="受阻",H69="依据待确认"),IF(LEN(TRIM(L69))=0,"受阻/缺依据说明待补",IF(H69="受阻","受阻已记录","缺依据已记录")),"结果待填写"))))))))))))))</x:f>
        <x:v>未纳入</x:v>
      </x:c>
      <x:c r="P69" s="10" t="str">
        <x:f>IF(B69="","",IF(COUNTIFS('UI检查'!$A$6:$A$54,B69)&lt;&gt;1,"case无效",INDEX('UI检查'!$J$6:$J$54,MATCH(B69,'UI检查'!$A$6:$A$54,0))))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Q69" s="10" t="str">
        <x:f>IF(B69="","",IF(COUNTIFS('UI检查'!$A$6:$A$54,B69)&lt;&gt;1,"case无效",INDEX('UI检查'!$K$6:$K$54,MATCH(B69,'UI检查'!$A$6:$A$54,0))))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R69" s="10" t="str">
        <x:f>IF(B69="","",IF(COUNTIFS('UI检查'!$A$6:$A$54,B69)&lt;&gt;1,"case无效",INDEX('UI检查'!$R$6:$R$54,MATCH(B69,'UI检查'!$A$6:$A$54,0))))</x:f>
        <x:v>按批准组件</x:v>
      </x:c>
    </x:row>
    <x:row r="70" ht="157.5" customHeight="1">
      <x:c r="A70" s="283" t="str">
        <x:v>PX09</x:v>
      </x:c>
      <x:c r="B70" s="283" t="str">
        <x:v>UI41</x:v>
      </x:c>
      <x:c r="C70" s="283" t="str">
        <x:v>航线区域·主详情与国家关系·视口待补</x:v>
      </x:c>
      <x:c r="D70" s="283" t="str">
        <x:v>https://localhost/pcs/system-config/master-data?group=routing&amp;resource=air_region</x:v>
      </x:c>
      <x:c r="E70" s="283" t="str">
        <x:v>待选择</x:v>
      </x:c>
      <x:c r="F70" s="283" t="str">
        <x:v>区分主表/子表作用域，核国家ID与显示名称；国家关系编辑入口未核实。</x:v>
      </x:c>
      <x:c r="G70" s="283"/>
      <x:c r="H70" s="283" t="str">
        <x:v>未执行</x:v>
      </x:c>
      <x:c r="I70" s="283"/>
      <x:c r="J70" s="283"/>
      <x:c r="K70" s="283"/>
      <x:c r="L70" s="283"/>
      <x:c r="M70" s="283"/>
      <x:c r="N70" s="283"/>
      <x:c r="O70" s="10" t="str">
        <x:f>IF(AND(A70="",B70=""),"",IF(E70="否",IF(LEN(TRIM(N70))=0,"不适用依据待补","不适用"),IF(E70&lt;&gt;"是","未纳入",IF(LEN(TRIM(A70))=0,"范围ID缺失",IF(COUNTIFS($A$62:$A$1055,A70)&lt;&gt;1,"范围ID重复",IF(COUNTIFS('UI检查'!$A$6:$A$54,B70)&lt;&gt;1,"关联case无效",IF(COUNTIFS($B$62:$B$1055,B70,$C$62:$C$1055,C70,$D$62:$D$1055,D70,$E$62:$E$1055,"是")&lt;&gt;1,"重复页面范围",IF(OR(LEN(TRIM(C70))=0,LEN(TRIM(D70))=0,LEN(TRIM(F70))=0,ISNUMBER(SEARCH("待补",C70))),"页面范围待补",IF(OR(H70="未执行",H70=""),"未执行",IF(OR(LEN(TRIM(I70))=0,I70&lt;&gt;'本批提测'!$B$8),"页面Build需核对",IF(OR(LEN(TRIM(J70))=0,LEN(TRIM(K70))=0),"页面执行证据不齐",IF(H70="通过",IF(OR(LEN(TRIM(G70))=0,G70&lt;&gt;INDEX($O$7:$O$55,MATCH(B70,$A$7:$A$55,0))),"页面依据未对齐",IF(AND(LEN(TRIM(L70))&gt;0,OR(COUNTIFS('UI修改清单'!$A$7:$A$200,M70,'UI修改清单'!$B$7:$B$200,B70)&lt;&gt;1,(COUNTIFS('UI修改清单'!$A$7:$A$200,M70,'UI修改清单'!$U$7:$U$200,"复查闭环")+COUNTIFS('UI修改清单'!$A$7:$A$200,M70,'UI修改清单'!$U$7:$U$200,"核对符合")+COUNTIFS('UI修改清单'!$A$7:$A$200,M70,'UI修改清单'!$U$7:$U$200,"有据不适用"))&lt;&gt;1)),"页面问题未闭环","通过")),IF(H70="失败",IF(OR(LEN(TRIM(L70))=0,COUNTIFS('UI修改清单'!$A$7:$A$200,M70,'UI修改清单'!$B$7:$B$200,B70,'UI修改清单'!$D$7:$D$200,"实测问题")&lt;&gt;1),"失败问题未登记","失败已记录"),IF(OR(H70="受阻",H70="依据待确认"),IF(LEN(TRIM(L70))=0,"受阻/缺依据说明待补",IF(H70="受阻","受阻已记录","缺依据已记录")),"结果待填写"))))))))))))))</x:f>
        <x:v>未纳入</x:v>
      </x:c>
      <x:c r="P70" s="10" t="str">
        <x:f>IF(B70="","",IF(COUNTIFS('UI检查'!$A$6:$A$54,B70)&lt;&gt;1,"case无效",INDEX('UI检查'!$J$6:$J$54,MATCH(B70,'UI检查'!$A$6:$A$54,0))))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Q70" s="10" t="str">
        <x:f>IF(B70="","",IF(COUNTIFS('UI检查'!$A$6:$A$54,B70)&lt;&gt;1,"case无效",INDEX('UI检查'!$K$6:$K$54,MATCH(B70,'UI检查'!$A$6:$A$54,0))))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R70" s="10" t="str">
        <x:f>IF(B70="","",IF(COUNTIFS('UI检查'!$A$6:$A$54,B70)&lt;&gt;1,"case无效",INDEX('UI检查'!$R$6:$R$54,MATCH(B70,'UI检查'!$A$6:$A$54,0))))</x:f>
        <x:v>按批准组件</x:v>
      </x:c>
    </x:row>
    <x:row r="71" ht="157.5" customHeight="1">
      <x:c r="A71" s="283" t="str">
        <x:v>PX10</x:v>
      </x:c>
      <x:c r="B71" s="283" t="str">
        <x:v>UI41</x:v>
      </x:c>
      <x:c r="C71" s="283" t="str">
        <x:v>Zone·主详情与成员表·视口待补</x:v>
      </x:c>
      <x:c r="D71" s="283" t="str">
        <x:v>https://localhost/pcs/system-config/master-data?group=routing&amp;resource=reference_zone</x:v>
      </x:c>
      <x:c r="E71" s="283" t="str">
        <x:v>待选择</x:v>
      </x:c>
      <x:c r="F71" s="283" t="str">
        <x:v>核成员类型/对象/显示名称及服务商范围跨视图；成员编辑表单未核实，需补入口后执行。</x:v>
      </x:c>
      <x:c r="G71" s="283"/>
      <x:c r="H71" s="283" t="str">
        <x:v>未执行</x:v>
      </x:c>
      <x:c r="I71" s="283"/>
      <x:c r="J71" s="283"/>
      <x:c r="K71" s="283"/>
      <x:c r="L71" s="283"/>
      <x:c r="M71" s="283"/>
      <x:c r="N71" s="283"/>
      <x:c r="O71" s="10" t="str">
        <x:f>IF(AND(A71="",B71=""),"",IF(E71="否",IF(LEN(TRIM(N71))=0,"不适用依据待补","不适用"),IF(E71&lt;&gt;"是","未纳入",IF(LEN(TRIM(A71))=0,"范围ID缺失",IF(COUNTIFS($A$62:$A$1055,A71)&lt;&gt;1,"范围ID重复",IF(COUNTIFS('UI检查'!$A$6:$A$54,B71)&lt;&gt;1,"关联case无效",IF(COUNTIFS($B$62:$B$1055,B71,$C$62:$C$1055,C71,$D$62:$D$1055,D71,$E$62:$E$1055,"是")&lt;&gt;1,"重复页面范围",IF(OR(LEN(TRIM(C71))=0,LEN(TRIM(D71))=0,LEN(TRIM(F71))=0,ISNUMBER(SEARCH("待补",C71))),"页面范围待补",IF(OR(H71="未执行",H71=""),"未执行",IF(OR(LEN(TRIM(I71))=0,I71&lt;&gt;'本批提测'!$B$8),"页面Build需核对",IF(OR(LEN(TRIM(J71))=0,LEN(TRIM(K71))=0),"页面执行证据不齐",IF(H71="通过",IF(OR(LEN(TRIM(G71))=0,G71&lt;&gt;INDEX($O$7:$O$55,MATCH(B71,$A$7:$A$55,0))),"页面依据未对齐",IF(AND(LEN(TRIM(L71))&gt;0,OR(COUNTIFS('UI修改清单'!$A$7:$A$200,M71,'UI修改清单'!$B$7:$B$200,B71)&lt;&gt;1,(COUNTIFS('UI修改清单'!$A$7:$A$200,M71,'UI修改清单'!$U$7:$U$200,"复查闭环")+COUNTIFS('UI修改清单'!$A$7:$A$200,M71,'UI修改清单'!$U$7:$U$200,"核对符合")+COUNTIFS('UI修改清单'!$A$7:$A$200,M71,'UI修改清单'!$U$7:$U$200,"有据不适用"))&lt;&gt;1)),"页面问题未闭环","通过")),IF(H71="失败",IF(OR(LEN(TRIM(L71))=0,COUNTIFS('UI修改清单'!$A$7:$A$200,M71,'UI修改清单'!$B$7:$B$200,B71,'UI修改清单'!$D$7:$D$200,"实测问题")&lt;&gt;1),"失败问题未登记","失败已记录"),IF(OR(H71="受阻",H71="依据待确认"),IF(LEN(TRIM(L71))=0,"受阻/缺依据说明待补",IF(H71="受阻","受阻已记录","缺依据已记录")),"结果待填写"))))))))))))))</x:f>
        <x:v>未纳入</x:v>
      </x:c>
      <x:c r="P71" s="10" t="str">
        <x:f>IF(B71="","",IF(COUNTIFS('UI检查'!$A$6:$A$54,B71)&lt;&gt;1,"case无效",INDEX('UI检查'!$J$6:$J$54,MATCH(B71,'UI检查'!$A$6:$A$54,0))))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Q71" s="10" t="str">
        <x:f>IF(B71="","",IF(COUNTIFS('UI检查'!$A$6:$A$54,B71)&lt;&gt;1,"case无效",INDEX('UI检查'!$K$6:$K$54,MATCH(B71,'UI检查'!$A$6:$A$54,0))))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R71" s="10" t="str">
        <x:f>IF(B71="","",IF(COUNTIFS('UI检查'!$A$6:$A$54,B71)&lt;&gt;1,"case无效",INDEX('UI检查'!$R$6:$R$54,MATCH(B71,'UI检查'!$A$6:$A$54,0))))</x:f>
        <x:v>按批准组件</x:v>
      </x:c>
    </x:row>
    <x:row r="72" ht="82.5" customHeight="1">
      <x:c r="A72" s="283"/>
      <x:c r="B72" s="283"/>
      <x:c r="C72" s="283"/>
      <x:c r="D72" s="283"/>
      <x:c r="E72" s="283" t="str">
        <x:v>待选择</x:v>
      </x:c>
      <x:c r="F72" s="283"/>
      <x:c r="G72" s="283"/>
      <x:c r="H72" s="283" t="str">
        <x:v>未执行</x:v>
      </x:c>
      <x:c r="I72" s="283"/>
      <x:c r="J72" s="283"/>
      <x:c r="K72" s="283"/>
      <x:c r="L72" s="283"/>
      <x:c r="M72" s="283"/>
      <x:c r="N72" s="283"/>
      <x:c r="O72" s="10" t="str">
        <x:f>IF(AND(A72="",B72=""),"",IF(E72="否",IF(LEN(TRIM(N72))=0,"不适用依据待补","不适用"),IF(E72&lt;&gt;"是","未纳入",IF(LEN(TRIM(A72))=0,"范围ID缺失",IF(COUNTIFS($A$62:$A$1055,A72)&lt;&gt;1,"范围ID重复",IF(COUNTIFS('UI检查'!$A$6:$A$54,B72)&lt;&gt;1,"关联case无效",IF(COUNTIFS($B$62:$B$1055,B72,$C$62:$C$1055,C72,$D$62:$D$1055,D72,$E$62:$E$1055,"是")&lt;&gt;1,"重复页面范围",IF(OR(LEN(TRIM(C72))=0,LEN(TRIM(D72))=0,LEN(TRIM(F72))=0,ISNUMBER(SEARCH("待补",C72))),"页面范围待补",IF(OR(H72="未执行",H72=""),"未执行",IF(OR(LEN(TRIM(I72))=0,I72&lt;&gt;'本批提测'!$B$8),"页面Build需核对",IF(OR(LEN(TRIM(J72))=0,LEN(TRIM(K72))=0),"页面执行证据不齐",IF(H72="通过",IF(OR(LEN(TRIM(G72))=0,G72&lt;&gt;INDEX($O$7:$O$55,MATCH(B72,$A$7:$A$55,0))),"页面依据未对齐",IF(AND(LEN(TRIM(L72))&gt;0,OR(COUNTIFS('UI修改清单'!$A$7:$A$200,M72,'UI修改清单'!$B$7:$B$200,B72)&lt;&gt;1,(COUNTIFS('UI修改清单'!$A$7:$A$200,M72,'UI修改清单'!$U$7:$U$200,"复查闭环")+COUNTIFS('UI修改清单'!$A$7:$A$200,M72,'UI修改清单'!$U$7:$U$200,"核对符合")+COUNTIFS('UI修改清单'!$A$7:$A$200,M72,'UI修改清单'!$U$7:$U$200,"有据不适用"))&lt;&gt;1)),"页面问题未闭环","通过")),IF(H72="失败",IF(OR(LEN(TRIM(L72))=0,COUNTIFS('UI修改清单'!$A$7:$A$200,M72,'UI修改清单'!$B$7:$B$200,B72,'UI修改清单'!$D$7:$D$200,"实测问题")&lt;&gt;1),"失败问题未登记","失败已记录"),IF(OR(H72="受阻",H72="依据待确认"),IF(LEN(TRIM(L72))=0,"受阻/缺依据说明待补",IF(H72="受阻","受阻已记录","缺依据已记录")),"结果待填写"))))))))))))))</x:f>
      </x:c>
      <x:c r="P72" s="10" t="str">
        <x:f>IF(B72="","",IF(COUNTIFS('UI检查'!$A$6:$A$54,B72)&lt;&gt;1,"case无效",INDEX('UI检查'!$J$6:$J$54,MATCH(B72,'UI检查'!$A$6:$A$54,0))))</x:f>
      </x:c>
      <x:c r="Q72" s="10" t="str">
        <x:f>IF(B72="","",IF(COUNTIFS('UI检查'!$A$6:$A$54,B72)&lt;&gt;1,"case无效",INDEX('UI检查'!$K$6:$K$54,MATCH(B72,'UI检查'!$A$6:$A$54,0))))</x:f>
      </x:c>
      <x:c r="R72" s="10" t="str">
        <x:f>IF(B72="","",IF(COUNTIFS('UI检查'!$A$6:$A$54,B72)&lt;&gt;1,"case无效",INDEX('UI检查'!$R$6:$R$54,MATCH(B72,'UI检查'!$A$6:$A$54,0))))</x:f>
      </x:c>
    </x:row>
    <x:row r="73" ht="82.5" customHeight="1">
      <x:c r="A73" s="283"/>
      <x:c r="B73" s="283"/>
      <x:c r="C73" s="283"/>
      <x:c r="D73" s="283"/>
      <x:c r="E73" s="283" t="str">
        <x:v>待选择</x:v>
      </x:c>
      <x:c r="F73" s="283"/>
      <x:c r="G73" s="283"/>
      <x:c r="H73" s="283" t="str">
        <x:v>未执行</x:v>
      </x:c>
      <x:c r="I73" s="283"/>
      <x:c r="J73" s="283"/>
      <x:c r="K73" s="283"/>
      <x:c r="L73" s="283"/>
      <x:c r="M73" s="283"/>
      <x:c r="N73" s="283"/>
      <x:c r="O73" s="10" t="str">
        <x:f>IF(AND(A73="",B73=""),"",IF(E73="否",IF(LEN(TRIM(N73))=0,"不适用依据待补","不适用"),IF(E73&lt;&gt;"是","未纳入",IF(LEN(TRIM(A73))=0,"范围ID缺失",IF(COUNTIFS($A$62:$A$1055,A73)&lt;&gt;1,"范围ID重复",IF(COUNTIFS('UI检查'!$A$6:$A$54,B73)&lt;&gt;1,"关联case无效",IF(COUNTIFS($B$62:$B$1055,B73,$C$62:$C$1055,C73,$D$62:$D$1055,D73,$E$62:$E$1055,"是")&lt;&gt;1,"重复页面范围",IF(OR(LEN(TRIM(C73))=0,LEN(TRIM(D73))=0,LEN(TRIM(F73))=0,ISNUMBER(SEARCH("待补",C73))),"页面范围待补",IF(OR(H73="未执行",H73=""),"未执行",IF(OR(LEN(TRIM(I73))=0,I73&lt;&gt;'本批提测'!$B$8),"页面Build需核对",IF(OR(LEN(TRIM(J73))=0,LEN(TRIM(K73))=0),"页面执行证据不齐",IF(H73="通过",IF(OR(LEN(TRIM(G73))=0,G73&lt;&gt;INDEX($O$7:$O$55,MATCH(B73,$A$7:$A$55,0))),"页面依据未对齐",IF(AND(LEN(TRIM(L73))&gt;0,OR(COUNTIFS('UI修改清单'!$A$7:$A$200,M73,'UI修改清单'!$B$7:$B$200,B73)&lt;&gt;1,(COUNTIFS('UI修改清单'!$A$7:$A$200,M73,'UI修改清单'!$U$7:$U$200,"复查闭环")+COUNTIFS('UI修改清单'!$A$7:$A$200,M73,'UI修改清单'!$U$7:$U$200,"核对符合")+COUNTIFS('UI修改清单'!$A$7:$A$200,M73,'UI修改清单'!$U$7:$U$200,"有据不适用"))&lt;&gt;1)),"页面问题未闭环","通过")),IF(H73="失败",IF(OR(LEN(TRIM(L73))=0,COUNTIFS('UI修改清单'!$A$7:$A$200,M73,'UI修改清单'!$B$7:$B$200,B73,'UI修改清单'!$D$7:$D$200,"实测问题")&lt;&gt;1),"失败问题未登记","失败已记录"),IF(OR(H73="受阻",H73="依据待确认"),IF(LEN(TRIM(L73))=0,"受阻/缺依据说明待补",IF(H73="受阻","受阻已记录","缺依据已记录")),"结果待填写"))))))))))))))</x:f>
      </x:c>
      <x:c r="P73" s="10" t="str">
        <x:f>IF(B73="","",IF(COUNTIFS('UI检查'!$A$6:$A$54,B73)&lt;&gt;1,"case无效",INDEX('UI检查'!$J$6:$J$54,MATCH(B73,'UI检查'!$A$6:$A$54,0))))</x:f>
      </x:c>
      <x:c r="Q73" s="10" t="str">
        <x:f>IF(B73="","",IF(COUNTIFS('UI检查'!$A$6:$A$54,B73)&lt;&gt;1,"case无效",INDEX('UI检查'!$K$6:$K$54,MATCH(B73,'UI检查'!$A$6:$A$54,0))))</x:f>
      </x:c>
      <x:c r="R73" s="10" t="str">
        <x:f>IF(B73="","",IF(COUNTIFS('UI检查'!$A$6:$A$54,B73)&lt;&gt;1,"case无效",INDEX('UI检查'!$R$6:$R$54,MATCH(B73,'UI检查'!$A$6:$A$54,0))))</x:f>
      </x:c>
    </x:row>
    <x:row r="74" ht="82.5" customHeight="1">
      <x:c r="A74" s="283"/>
      <x:c r="B74" s="283"/>
      <x:c r="C74" s="283"/>
      <x:c r="D74" s="283"/>
      <x:c r="E74" s="283" t="str">
        <x:v>待选择</x:v>
      </x:c>
      <x:c r="F74" s="283"/>
      <x:c r="G74" s="283"/>
      <x:c r="H74" s="283" t="str">
        <x:v>未执行</x:v>
      </x:c>
      <x:c r="I74" s="283"/>
      <x:c r="J74" s="283"/>
      <x:c r="K74" s="283"/>
      <x:c r="L74" s="283"/>
      <x:c r="M74" s="283"/>
      <x:c r="N74" s="283"/>
      <x:c r="O74" s="10" t="str">
        <x:f>IF(AND(A74="",B74=""),"",IF(E74="否",IF(LEN(TRIM(N74))=0,"不适用依据待补","不适用"),IF(E74&lt;&gt;"是","未纳入",IF(LEN(TRIM(A74))=0,"范围ID缺失",IF(COUNTIFS($A$62:$A$1055,A74)&lt;&gt;1,"范围ID重复",IF(COUNTIFS('UI检查'!$A$6:$A$54,B74)&lt;&gt;1,"关联case无效",IF(COUNTIFS($B$62:$B$1055,B74,$C$62:$C$1055,C74,$D$62:$D$1055,D74,$E$62:$E$1055,"是")&lt;&gt;1,"重复页面范围",IF(OR(LEN(TRIM(C74))=0,LEN(TRIM(D74))=0,LEN(TRIM(F74))=0,ISNUMBER(SEARCH("待补",C74))),"页面范围待补",IF(OR(H74="未执行",H74=""),"未执行",IF(OR(LEN(TRIM(I74))=0,I74&lt;&gt;'本批提测'!$B$8),"页面Build需核对",IF(OR(LEN(TRIM(J74))=0,LEN(TRIM(K74))=0),"页面执行证据不齐",IF(H74="通过",IF(OR(LEN(TRIM(G74))=0,G74&lt;&gt;INDEX($O$7:$O$55,MATCH(B74,$A$7:$A$55,0))),"页面依据未对齐",IF(AND(LEN(TRIM(L74))&gt;0,OR(COUNTIFS('UI修改清单'!$A$7:$A$200,M74,'UI修改清单'!$B$7:$B$200,B74)&lt;&gt;1,(COUNTIFS('UI修改清单'!$A$7:$A$200,M74,'UI修改清单'!$U$7:$U$200,"复查闭环")+COUNTIFS('UI修改清单'!$A$7:$A$200,M74,'UI修改清单'!$U$7:$U$200,"核对符合")+COUNTIFS('UI修改清单'!$A$7:$A$200,M74,'UI修改清单'!$U$7:$U$200,"有据不适用"))&lt;&gt;1)),"页面问题未闭环","通过")),IF(H74="失败",IF(OR(LEN(TRIM(L74))=0,COUNTIFS('UI修改清单'!$A$7:$A$200,M74,'UI修改清单'!$B$7:$B$200,B74,'UI修改清单'!$D$7:$D$200,"实测问题")&lt;&gt;1),"失败问题未登记","失败已记录"),IF(OR(H74="受阻",H74="依据待确认"),IF(LEN(TRIM(L74))=0,"受阻/缺依据说明待补",IF(H74="受阻","受阻已记录","缺依据已记录")),"结果待填写"))))))))))))))</x:f>
      </x:c>
      <x:c r="P74" s="10" t="str">
        <x:f>IF(B74="","",IF(COUNTIFS('UI检查'!$A$6:$A$54,B74)&lt;&gt;1,"case无效",INDEX('UI检查'!$J$6:$J$54,MATCH(B74,'UI检查'!$A$6:$A$54,0))))</x:f>
      </x:c>
      <x:c r="Q74" s="10" t="str">
        <x:f>IF(B74="","",IF(COUNTIFS('UI检查'!$A$6:$A$54,B74)&lt;&gt;1,"case无效",INDEX('UI检查'!$K$6:$K$54,MATCH(B74,'UI检查'!$A$6:$A$54,0))))</x:f>
      </x:c>
      <x:c r="R74" s="10" t="str">
        <x:f>IF(B74="","",IF(COUNTIFS('UI检查'!$A$6:$A$54,B74)&lt;&gt;1,"case无效",INDEX('UI检查'!$R$6:$R$54,MATCH(B74,'UI检查'!$A$6:$A$54,0))))</x:f>
      </x:c>
    </x:row>
    <x:row r="75" ht="82.5" customHeight="1">
      <x:c r="A75" s="283"/>
      <x:c r="B75" s="283"/>
      <x:c r="C75" s="283"/>
      <x:c r="D75" s="283"/>
      <x:c r="E75" s="283" t="str">
        <x:v>待选择</x:v>
      </x:c>
      <x:c r="F75" s="283"/>
      <x:c r="G75" s="283"/>
      <x:c r="H75" s="283" t="str">
        <x:v>未执行</x:v>
      </x:c>
      <x:c r="I75" s="283"/>
      <x:c r="J75" s="283"/>
      <x:c r="K75" s="283"/>
      <x:c r="L75" s="283"/>
      <x:c r="M75" s="283"/>
      <x:c r="N75" s="283"/>
      <x:c r="O75" s="10" t="str">
        <x:f>IF(AND(A75="",B75=""),"",IF(E75="否",IF(LEN(TRIM(N75))=0,"不适用依据待补","不适用"),IF(E75&lt;&gt;"是","未纳入",IF(LEN(TRIM(A75))=0,"范围ID缺失",IF(COUNTIFS($A$62:$A$1055,A75)&lt;&gt;1,"范围ID重复",IF(COUNTIFS('UI检查'!$A$6:$A$54,B75)&lt;&gt;1,"关联case无效",IF(COUNTIFS($B$62:$B$1055,B75,$C$62:$C$1055,C75,$D$62:$D$1055,D75,$E$62:$E$1055,"是")&lt;&gt;1,"重复页面范围",IF(OR(LEN(TRIM(C75))=0,LEN(TRIM(D75))=0,LEN(TRIM(F75))=0,ISNUMBER(SEARCH("待补",C75))),"页面范围待补",IF(OR(H75="未执行",H75=""),"未执行",IF(OR(LEN(TRIM(I75))=0,I75&lt;&gt;'本批提测'!$B$8),"页面Build需核对",IF(OR(LEN(TRIM(J75))=0,LEN(TRIM(K75))=0),"页面执行证据不齐",IF(H75="通过",IF(OR(LEN(TRIM(G75))=0,G75&lt;&gt;INDEX($O$7:$O$55,MATCH(B75,$A$7:$A$55,0))),"页面依据未对齐",IF(AND(LEN(TRIM(L75))&gt;0,OR(COUNTIFS('UI修改清单'!$A$7:$A$200,M75,'UI修改清单'!$B$7:$B$200,B75)&lt;&gt;1,(COUNTIFS('UI修改清单'!$A$7:$A$200,M75,'UI修改清单'!$U$7:$U$200,"复查闭环")+COUNTIFS('UI修改清单'!$A$7:$A$200,M75,'UI修改清单'!$U$7:$U$200,"核对符合")+COUNTIFS('UI修改清单'!$A$7:$A$200,M75,'UI修改清单'!$U$7:$U$200,"有据不适用"))&lt;&gt;1)),"页面问题未闭环","通过")),IF(H75="失败",IF(OR(LEN(TRIM(L75))=0,COUNTIFS('UI修改清单'!$A$7:$A$200,M75,'UI修改清单'!$B$7:$B$200,B75,'UI修改清单'!$D$7:$D$200,"实测问题")&lt;&gt;1),"失败问题未登记","失败已记录"),IF(OR(H75="受阻",H75="依据待确认"),IF(LEN(TRIM(L75))=0,"受阻/缺依据说明待补",IF(H75="受阻","受阻已记录","缺依据已记录")),"结果待填写"))))))))))))))</x:f>
      </x:c>
      <x:c r="P75" s="10" t="str">
        <x:f>IF(B75="","",IF(COUNTIFS('UI检查'!$A$6:$A$54,B75)&lt;&gt;1,"case无效",INDEX('UI检查'!$J$6:$J$54,MATCH(B75,'UI检查'!$A$6:$A$54,0))))</x:f>
      </x:c>
      <x:c r="Q75" s="10" t="str">
        <x:f>IF(B75="","",IF(COUNTIFS('UI检查'!$A$6:$A$54,B75)&lt;&gt;1,"case无效",INDEX('UI检查'!$K$6:$K$54,MATCH(B75,'UI检查'!$A$6:$A$54,0))))</x:f>
      </x:c>
      <x:c r="R75" s="10" t="str">
        <x:f>IF(B75="","",IF(COUNTIFS('UI检查'!$A$6:$A$54,B75)&lt;&gt;1,"case无效",INDEX('UI检查'!$R$6:$R$54,MATCH(B75,'UI检查'!$A$6:$A$54,0))))</x:f>
      </x:c>
    </x:row>
    <x:row r="76" ht="82.5" customHeight="1">
      <x:c r="A76" s="283"/>
      <x:c r="B76" s="283"/>
      <x:c r="C76" s="283"/>
      <x:c r="D76" s="283"/>
      <x:c r="E76" s="283" t="str">
        <x:v>待选择</x:v>
      </x:c>
      <x:c r="F76" s="283"/>
      <x:c r="G76" s="283"/>
      <x:c r="H76" s="283" t="str">
        <x:v>未执行</x:v>
      </x:c>
      <x:c r="I76" s="283"/>
      <x:c r="J76" s="283"/>
      <x:c r="K76" s="283"/>
      <x:c r="L76" s="283"/>
      <x:c r="M76" s="283"/>
      <x:c r="N76" s="283"/>
      <x:c r="O76" s="10" t="str">
        <x:f>IF(AND(A76="",B76=""),"",IF(E76="否",IF(LEN(TRIM(N76))=0,"不适用依据待补","不适用"),IF(E76&lt;&gt;"是","未纳入",IF(LEN(TRIM(A76))=0,"范围ID缺失",IF(COUNTIFS($A$62:$A$1055,A76)&lt;&gt;1,"范围ID重复",IF(COUNTIFS('UI检查'!$A$6:$A$54,B76)&lt;&gt;1,"关联case无效",IF(COUNTIFS($B$62:$B$1055,B76,$C$62:$C$1055,C76,$D$62:$D$1055,D76,$E$62:$E$1055,"是")&lt;&gt;1,"重复页面范围",IF(OR(LEN(TRIM(C76))=0,LEN(TRIM(D76))=0,LEN(TRIM(F76))=0,ISNUMBER(SEARCH("待补",C76))),"页面范围待补",IF(OR(H76="未执行",H76=""),"未执行",IF(OR(LEN(TRIM(I76))=0,I76&lt;&gt;'本批提测'!$B$8),"页面Build需核对",IF(OR(LEN(TRIM(J76))=0,LEN(TRIM(K76))=0),"页面执行证据不齐",IF(H76="通过",IF(OR(LEN(TRIM(G76))=0,G76&lt;&gt;INDEX($O$7:$O$55,MATCH(B76,$A$7:$A$55,0))),"页面依据未对齐",IF(AND(LEN(TRIM(L76))&gt;0,OR(COUNTIFS('UI修改清单'!$A$7:$A$200,M76,'UI修改清单'!$B$7:$B$200,B76)&lt;&gt;1,(COUNTIFS('UI修改清单'!$A$7:$A$200,M76,'UI修改清单'!$U$7:$U$200,"复查闭环")+COUNTIFS('UI修改清单'!$A$7:$A$200,M76,'UI修改清单'!$U$7:$U$200,"核对符合")+COUNTIFS('UI修改清单'!$A$7:$A$200,M76,'UI修改清单'!$U$7:$U$200,"有据不适用"))&lt;&gt;1)),"页面问题未闭环","通过")),IF(H76="失败",IF(OR(LEN(TRIM(L76))=0,COUNTIFS('UI修改清单'!$A$7:$A$200,M76,'UI修改清单'!$B$7:$B$200,B76,'UI修改清单'!$D$7:$D$200,"实测问题")&lt;&gt;1),"失败问题未登记","失败已记录"),IF(OR(H76="受阻",H76="依据待确认"),IF(LEN(TRIM(L76))=0,"受阻/缺依据说明待补",IF(H76="受阻","受阻已记录","缺依据已记录")),"结果待填写"))))))))))))))</x:f>
      </x:c>
      <x:c r="P76" s="10" t="str">
        <x:f>IF(B76="","",IF(COUNTIFS('UI检查'!$A$6:$A$54,B76)&lt;&gt;1,"case无效",INDEX('UI检查'!$J$6:$J$54,MATCH(B76,'UI检查'!$A$6:$A$54,0))))</x:f>
      </x:c>
      <x:c r="Q76" s="10" t="str">
        <x:f>IF(B76="","",IF(COUNTIFS('UI检查'!$A$6:$A$54,B76)&lt;&gt;1,"case无效",INDEX('UI检查'!$K$6:$K$54,MATCH(B76,'UI检查'!$A$6:$A$54,0))))</x:f>
      </x:c>
      <x:c r="R76" s="10" t="str">
        <x:f>IF(B76="","",IF(COUNTIFS('UI检查'!$A$6:$A$54,B76)&lt;&gt;1,"case无效",INDEX('UI检查'!$R$6:$R$54,MATCH(B76,'UI检查'!$A$6:$A$54,0))))</x:f>
      </x:c>
    </x:row>
    <x:row r="77" ht="82.5" customHeight="1">
      <x:c r="A77" s="283"/>
      <x:c r="B77" s="283"/>
      <x:c r="C77" s="283"/>
      <x:c r="D77" s="283"/>
      <x:c r="E77" s="283" t="str">
        <x:v>待选择</x:v>
      </x:c>
      <x:c r="F77" s="283"/>
      <x:c r="G77" s="283"/>
      <x:c r="H77" s="283" t="str">
        <x:v>未执行</x:v>
      </x:c>
      <x:c r="I77" s="283"/>
      <x:c r="J77" s="283"/>
      <x:c r="K77" s="283"/>
      <x:c r="L77" s="283"/>
      <x:c r="M77" s="283"/>
      <x:c r="N77" s="283"/>
      <x:c r="O77" s="10" t="str">
        <x:f>IF(AND(A77="",B77=""),"",IF(E77="否",IF(LEN(TRIM(N77))=0,"不适用依据待补","不适用"),IF(E77&lt;&gt;"是","未纳入",IF(LEN(TRIM(A77))=0,"范围ID缺失",IF(COUNTIFS($A$62:$A$1055,A77)&lt;&gt;1,"范围ID重复",IF(COUNTIFS('UI检查'!$A$6:$A$54,B77)&lt;&gt;1,"关联case无效",IF(COUNTIFS($B$62:$B$1055,B77,$C$62:$C$1055,C77,$D$62:$D$1055,D77,$E$62:$E$1055,"是")&lt;&gt;1,"重复页面范围",IF(OR(LEN(TRIM(C77))=0,LEN(TRIM(D77))=0,LEN(TRIM(F77))=0,ISNUMBER(SEARCH("待补",C77))),"页面范围待补",IF(OR(H77="未执行",H77=""),"未执行",IF(OR(LEN(TRIM(I77))=0,I77&lt;&gt;'本批提测'!$B$8),"页面Build需核对",IF(OR(LEN(TRIM(J77))=0,LEN(TRIM(K77))=0),"页面执行证据不齐",IF(H77="通过",IF(OR(LEN(TRIM(G77))=0,G77&lt;&gt;INDEX($O$7:$O$55,MATCH(B77,$A$7:$A$55,0))),"页面依据未对齐",IF(AND(LEN(TRIM(L77))&gt;0,OR(COUNTIFS('UI修改清单'!$A$7:$A$200,M77,'UI修改清单'!$B$7:$B$200,B77)&lt;&gt;1,(COUNTIFS('UI修改清单'!$A$7:$A$200,M77,'UI修改清单'!$U$7:$U$200,"复查闭环")+COUNTIFS('UI修改清单'!$A$7:$A$200,M77,'UI修改清单'!$U$7:$U$200,"核对符合")+COUNTIFS('UI修改清单'!$A$7:$A$200,M77,'UI修改清单'!$U$7:$U$200,"有据不适用"))&lt;&gt;1)),"页面问题未闭环","通过")),IF(H77="失败",IF(OR(LEN(TRIM(L77))=0,COUNTIFS('UI修改清单'!$A$7:$A$200,M77,'UI修改清单'!$B$7:$B$200,B77,'UI修改清单'!$D$7:$D$200,"实测问题")&lt;&gt;1),"失败问题未登记","失败已记录"),IF(OR(H77="受阻",H77="依据待确认"),IF(LEN(TRIM(L77))=0,"受阻/缺依据说明待补",IF(H77="受阻","受阻已记录","缺依据已记录")),"结果待填写"))))))))))))))</x:f>
      </x:c>
      <x:c r="P77" s="10" t="str">
        <x:f>IF(B77="","",IF(COUNTIFS('UI检查'!$A$6:$A$54,B77)&lt;&gt;1,"case无效",INDEX('UI检查'!$J$6:$J$54,MATCH(B77,'UI检查'!$A$6:$A$54,0))))</x:f>
      </x:c>
      <x:c r="Q77" s="10" t="str">
        <x:f>IF(B77="","",IF(COUNTIFS('UI检查'!$A$6:$A$54,B77)&lt;&gt;1,"case无效",INDEX('UI检查'!$K$6:$K$54,MATCH(B77,'UI检查'!$A$6:$A$54,0))))</x:f>
      </x:c>
      <x:c r="R77" s="10" t="str">
        <x:f>IF(B77="","",IF(COUNTIFS('UI检查'!$A$6:$A$54,B77)&lt;&gt;1,"case无效",INDEX('UI检查'!$R$6:$R$54,MATCH(B77,'UI检查'!$A$6:$A$54,0))))</x:f>
      </x:c>
    </x:row>
    <x:row r="78" ht="82.5" customHeight="1">
      <x:c r="A78" s="283"/>
      <x:c r="B78" s="283"/>
      <x:c r="C78" s="283"/>
      <x:c r="D78" s="283"/>
      <x:c r="E78" s="283" t="str">
        <x:v>待选择</x:v>
      </x:c>
      <x:c r="F78" s="283"/>
      <x:c r="G78" s="283"/>
      <x:c r="H78" s="283" t="str">
        <x:v>未执行</x:v>
      </x:c>
      <x:c r="I78" s="283"/>
      <x:c r="J78" s="283"/>
      <x:c r="K78" s="283"/>
      <x:c r="L78" s="283"/>
      <x:c r="M78" s="283"/>
      <x:c r="N78" s="283"/>
      <x:c r="O78" s="10" t="str">
        <x:f>IF(AND(A78="",B78=""),"",IF(E78="否",IF(LEN(TRIM(N78))=0,"不适用依据待补","不适用"),IF(E78&lt;&gt;"是","未纳入",IF(LEN(TRIM(A78))=0,"范围ID缺失",IF(COUNTIFS($A$62:$A$1055,A78)&lt;&gt;1,"范围ID重复",IF(COUNTIFS('UI检查'!$A$6:$A$54,B78)&lt;&gt;1,"关联case无效",IF(COUNTIFS($B$62:$B$1055,B78,$C$62:$C$1055,C78,$D$62:$D$1055,D78,$E$62:$E$1055,"是")&lt;&gt;1,"重复页面范围",IF(OR(LEN(TRIM(C78))=0,LEN(TRIM(D78))=0,LEN(TRIM(F78))=0,ISNUMBER(SEARCH("待补",C78))),"页面范围待补",IF(OR(H78="未执行",H78=""),"未执行",IF(OR(LEN(TRIM(I78))=0,I78&lt;&gt;'本批提测'!$B$8),"页面Build需核对",IF(OR(LEN(TRIM(J78))=0,LEN(TRIM(K78))=0),"页面执行证据不齐",IF(H78="通过",IF(OR(LEN(TRIM(G78))=0,G78&lt;&gt;INDEX($O$7:$O$55,MATCH(B78,$A$7:$A$55,0))),"页面依据未对齐",IF(AND(LEN(TRIM(L78))&gt;0,OR(COUNTIFS('UI修改清单'!$A$7:$A$200,M78,'UI修改清单'!$B$7:$B$200,B78)&lt;&gt;1,(COUNTIFS('UI修改清单'!$A$7:$A$200,M78,'UI修改清单'!$U$7:$U$200,"复查闭环")+COUNTIFS('UI修改清单'!$A$7:$A$200,M78,'UI修改清单'!$U$7:$U$200,"核对符合")+COUNTIFS('UI修改清单'!$A$7:$A$200,M78,'UI修改清单'!$U$7:$U$200,"有据不适用"))&lt;&gt;1)),"页面问题未闭环","通过")),IF(H78="失败",IF(OR(LEN(TRIM(L78))=0,COUNTIFS('UI修改清单'!$A$7:$A$200,M78,'UI修改清单'!$B$7:$B$200,B78,'UI修改清单'!$D$7:$D$200,"实测问题")&lt;&gt;1),"失败问题未登记","失败已记录"),IF(OR(H78="受阻",H78="依据待确认"),IF(LEN(TRIM(L78))=0,"受阻/缺依据说明待补",IF(H78="受阻","受阻已记录","缺依据已记录")),"结果待填写"))))))))))))))</x:f>
      </x:c>
      <x:c r="P78" s="10" t="str">
        <x:f>IF(B78="","",IF(COUNTIFS('UI检查'!$A$6:$A$54,B78)&lt;&gt;1,"case无效",INDEX('UI检查'!$J$6:$J$54,MATCH(B78,'UI检查'!$A$6:$A$54,0))))</x:f>
      </x:c>
      <x:c r="Q78" s="10" t="str">
        <x:f>IF(B78="","",IF(COUNTIFS('UI检查'!$A$6:$A$54,B78)&lt;&gt;1,"case无效",INDEX('UI检查'!$K$6:$K$54,MATCH(B78,'UI检查'!$A$6:$A$54,0))))</x:f>
      </x:c>
      <x:c r="R78" s="10" t="str">
        <x:f>IF(B78="","",IF(COUNTIFS('UI检查'!$A$6:$A$54,B78)&lt;&gt;1,"case无效",INDEX('UI检查'!$R$6:$R$54,MATCH(B78,'UI检查'!$A$6:$A$54,0))))</x:f>
      </x:c>
    </x:row>
    <x:row r="79" ht="82.5" customHeight="1">
      <x:c r="A79" s="283"/>
      <x:c r="B79" s="283"/>
      <x:c r="C79" s="283"/>
      <x:c r="D79" s="283"/>
      <x:c r="E79" s="283" t="str">
        <x:v>待选择</x:v>
      </x:c>
      <x:c r="F79" s="283"/>
      <x:c r="G79" s="283"/>
      <x:c r="H79" s="283" t="str">
        <x:v>未执行</x:v>
      </x:c>
      <x:c r="I79" s="283"/>
      <x:c r="J79" s="283"/>
      <x:c r="K79" s="283"/>
      <x:c r="L79" s="283"/>
      <x:c r="M79" s="283"/>
      <x:c r="N79" s="283"/>
      <x:c r="O79" s="10" t="str">
        <x:f>IF(AND(A79="",B79=""),"",IF(E79="否",IF(LEN(TRIM(N79))=0,"不适用依据待补","不适用"),IF(E79&lt;&gt;"是","未纳入",IF(LEN(TRIM(A79))=0,"范围ID缺失",IF(COUNTIFS($A$62:$A$1055,A79)&lt;&gt;1,"范围ID重复",IF(COUNTIFS('UI检查'!$A$6:$A$54,B79)&lt;&gt;1,"关联case无效",IF(COUNTIFS($B$62:$B$1055,B79,$C$62:$C$1055,C79,$D$62:$D$1055,D79,$E$62:$E$1055,"是")&lt;&gt;1,"重复页面范围",IF(OR(LEN(TRIM(C79))=0,LEN(TRIM(D79))=0,LEN(TRIM(F79))=0,ISNUMBER(SEARCH("待补",C79))),"页面范围待补",IF(OR(H79="未执行",H79=""),"未执行",IF(OR(LEN(TRIM(I79))=0,I79&lt;&gt;'本批提测'!$B$8),"页面Build需核对",IF(OR(LEN(TRIM(J79))=0,LEN(TRIM(K79))=0),"页面执行证据不齐",IF(H79="通过",IF(OR(LEN(TRIM(G79))=0,G79&lt;&gt;INDEX($O$7:$O$55,MATCH(B79,$A$7:$A$55,0))),"页面依据未对齐",IF(AND(LEN(TRIM(L79))&gt;0,OR(COUNTIFS('UI修改清单'!$A$7:$A$200,M79,'UI修改清单'!$B$7:$B$200,B79)&lt;&gt;1,(COUNTIFS('UI修改清单'!$A$7:$A$200,M79,'UI修改清单'!$U$7:$U$200,"复查闭环")+COUNTIFS('UI修改清单'!$A$7:$A$200,M79,'UI修改清单'!$U$7:$U$200,"核对符合")+COUNTIFS('UI修改清单'!$A$7:$A$200,M79,'UI修改清单'!$U$7:$U$200,"有据不适用"))&lt;&gt;1)),"页面问题未闭环","通过")),IF(H79="失败",IF(OR(LEN(TRIM(L79))=0,COUNTIFS('UI修改清单'!$A$7:$A$200,M79,'UI修改清单'!$B$7:$B$200,B79,'UI修改清单'!$D$7:$D$200,"实测问题")&lt;&gt;1),"失败问题未登记","失败已记录"),IF(OR(H79="受阻",H79="依据待确认"),IF(LEN(TRIM(L79))=0,"受阻/缺依据说明待补",IF(H79="受阻","受阻已记录","缺依据已记录")),"结果待填写"))))))))))))))</x:f>
      </x:c>
      <x:c r="P79" s="10" t="str">
        <x:f>IF(B79="","",IF(COUNTIFS('UI检查'!$A$6:$A$54,B79)&lt;&gt;1,"case无效",INDEX('UI检查'!$J$6:$J$54,MATCH(B79,'UI检查'!$A$6:$A$54,0))))</x:f>
      </x:c>
      <x:c r="Q79" s="10" t="str">
        <x:f>IF(B79="","",IF(COUNTIFS('UI检查'!$A$6:$A$54,B79)&lt;&gt;1,"case无效",INDEX('UI检查'!$K$6:$K$54,MATCH(B79,'UI检查'!$A$6:$A$54,0))))</x:f>
      </x:c>
      <x:c r="R79" s="10" t="str">
        <x:f>IF(B79="","",IF(COUNTIFS('UI检查'!$A$6:$A$54,B79)&lt;&gt;1,"case无效",INDEX('UI检查'!$R$6:$R$54,MATCH(B79,'UI检查'!$A$6:$A$54,0))))</x:f>
      </x:c>
    </x:row>
    <x:row r="80" ht="82.5" customHeight="1">
      <x:c r="A80" s="283"/>
      <x:c r="B80" s="283"/>
      <x:c r="C80" s="283"/>
      <x:c r="D80" s="283"/>
      <x:c r="E80" s="283" t="str">
        <x:v>待选择</x:v>
      </x:c>
      <x:c r="F80" s="283"/>
      <x:c r="G80" s="283"/>
      <x:c r="H80" s="283" t="str">
        <x:v>未执行</x:v>
      </x:c>
      <x:c r="I80" s="283"/>
      <x:c r="J80" s="283"/>
      <x:c r="K80" s="283"/>
      <x:c r="L80" s="283"/>
      <x:c r="M80" s="283"/>
      <x:c r="N80" s="283"/>
      <x:c r="O80" s="10" t="str">
        <x:f>IF(AND(A80="",B80=""),"",IF(E80="否",IF(LEN(TRIM(N80))=0,"不适用依据待补","不适用"),IF(E80&lt;&gt;"是","未纳入",IF(LEN(TRIM(A80))=0,"范围ID缺失",IF(COUNTIFS($A$62:$A$1055,A80)&lt;&gt;1,"范围ID重复",IF(COUNTIFS('UI检查'!$A$6:$A$54,B80)&lt;&gt;1,"关联case无效",IF(COUNTIFS($B$62:$B$1055,B80,$C$62:$C$1055,C80,$D$62:$D$1055,D80,$E$62:$E$1055,"是")&lt;&gt;1,"重复页面范围",IF(OR(LEN(TRIM(C80))=0,LEN(TRIM(D80))=0,LEN(TRIM(F80))=0,ISNUMBER(SEARCH("待补",C80))),"页面范围待补",IF(OR(H80="未执行",H80=""),"未执行",IF(OR(LEN(TRIM(I80))=0,I80&lt;&gt;'本批提测'!$B$8),"页面Build需核对",IF(OR(LEN(TRIM(J80))=0,LEN(TRIM(K80))=0),"页面执行证据不齐",IF(H80="通过",IF(OR(LEN(TRIM(G80))=0,G80&lt;&gt;INDEX($O$7:$O$55,MATCH(B80,$A$7:$A$55,0))),"页面依据未对齐",IF(AND(LEN(TRIM(L80))&gt;0,OR(COUNTIFS('UI修改清单'!$A$7:$A$200,M80,'UI修改清单'!$B$7:$B$200,B80)&lt;&gt;1,(COUNTIFS('UI修改清单'!$A$7:$A$200,M80,'UI修改清单'!$U$7:$U$200,"复查闭环")+COUNTIFS('UI修改清单'!$A$7:$A$200,M80,'UI修改清单'!$U$7:$U$200,"核对符合")+COUNTIFS('UI修改清单'!$A$7:$A$200,M80,'UI修改清单'!$U$7:$U$200,"有据不适用"))&lt;&gt;1)),"页面问题未闭环","通过")),IF(H80="失败",IF(OR(LEN(TRIM(L80))=0,COUNTIFS('UI修改清单'!$A$7:$A$200,M80,'UI修改清单'!$B$7:$B$200,B80,'UI修改清单'!$D$7:$D$200,"实测问题")&lt;&gt;1),"失败问题未登记","失败已记录"),IF(OR(H80="受阻",H80="依据待确认"),IF(LEN(TRIM(L80))=0,"受阻/缺依据说明待补",IF(H80="受阻","受阻已记录","缺依据已记录")),"结果待填写"))))))))))))))</x:f>
      </x:c>
      <x:c r="P80" s="10" t="str">
        <x:f>IF(B80="","",IF(COUNTIFS('UI检查'!$A$6:$A$54,B80)&lt;&gt;1,"case无效",INDEX('UI检查'!$J$6:$J$54,MATCH(B80,'UI检查'!$A$6:$A$54,0))))</x:f>
      </x:c>
      <x:c r="Q80" s="10" t="str">
        <x:f>IF(B80="","",IF(COUNTIFS('UI检查'!$A$6:$A$54,B80)&lt;&gt;1,"case无效",INDEX('UI检查'!$K$6:$K$54,MATCH(B80,'UI检查'!$A$6:$A$54,0))))</x:f>
      </x:c>
      <x:c r="R80" s="10" t="str">
        <x:f>IF(B80="","",IF(COUNTIFS('UI检查'!$A$6:$A$54,B80)&lt;&gt;1,"case无效",INDEX('UI检查'!$R$6:$R$54,MATCH(B80,'UI检查'!$A$6:$A$54,0))))</x:f>
      </x:c>
    </x:row>
    <x:row r="81" ht="82.5" customHeight="1">
      <x:c r="A81" s="283"/>
      <x:c r="B81" s="283"/>
      <x:c r="C81" s="283"/>
      <x:c r="D81" s="283"/>
      <x:c r="E81" s="283" t="str">
        <x:v>待选择</x:v>
      </x:c>
      <x:c r="F81" s="283"/>
      <x:c r="G81" s="283"/>
      <x:c r="H81" s="283" t="str">
        <x:v>未执行</x:v>
      </x:c>
      <x:c r="I81" s="283"/>
      <x:c r="J81" s="283"/>
      <x:c r="K81" s="283"/>
      <x:c r="L81" s="283"/>
      <x:c r="M81" s="283"/>
      <x:c r="N81" s="283"/>
      <x:c r="O81" s="10" t="str">
        <x:f>IF(AND(A81="",B81=""),"",IF(E81="否",IF(LEN(TRIM(N81))=0,"不适用依据待补","不适用"),IF(E81&lt;&gt;"是","未纳入",IF(LEN(TRIM(A81))=0,"范围ID缺失",IF(COUNTIFS($A$62:$A$1055,A81)&lt;&gt;1,"范围ID重复",IF(COUNTIFS('UI检查'!$A$6:$A$54,B81)&lt;&gt;1,"关联case无效",IF(COUNTIFS($B$62:$B$1055,B81,$C$62:$C$1055,C81,$D$62:$D$1055,D81,$E$62:$E$1055,"是")&lt;&gt;1,"重复页面范围",IF(OR(LEN(TRIM(C81))=0,LEN(TRIM(D81))=0,LEN(TRIM(F81))=0,ISNUMBER(SEARCH("待补",C81))),"页面范围待补",IF(OR(H81="未执行",H81=""),"未执行",IF(OR(LEN(TRIM(I81))=0,I81&lt;&gt;'本批提测'!$B$8),"页面Build需核对",IF(OR(LEN(TRIM(J81))=0,LEN(TRIM(K81))=0),"页面执行证据不齐",IF(H81="通过",IF(OR(LEN(TRIM(G81))=0,G81&lt;&gt;INDEX($O$7:$O$55,MATCH(B81,$A$7:$A$55,0))),"页面依据未对齐",IF(AND(LEN(TRIM(L81))&gt;0,OR(COUNTIFS('UI修改清单'!$A$7:$A$200,M81,'UI修改清单'!$B$7:$B$200,B81)&lt;&gt;1,(COUNTIFS('UI修改清单'!$A$7:$A$200,M81,'UI修改清单'!$U$7:$U$200,"复查闭环")+COUNTIFS('UI修改清单'!$A$7:$A$200,M81,'UI修改清单'!$U$7:$U$200,"核对符合")+COUNTIFS('UI修改清单'!$A$7:$A$200,M81,'UI修改清单'!$U$7:$U$200,"有据不适用"))&lt;&gt;1)),"页面问题未闭环","通过")),IF(H81="失败",IF(OR(LEN(TRIM(L81))=0,COUNTIFS('UI修改清单'!$A$7:$A$200,M81,'UI修改清单'!$B$7:$B$200,B81,'UI修改清单'!$D$7:$D$200,"实测问题")&lt;&gt;1),"失败问题未登记","失败已记录"),IF(OR(H81="受阻",H81="依据待确认"),IF(LEN(TRIM(L81))=0,"受阻/缺依据说明待补",IF(H81="受阻","受阻已记录","缺依据已记录")),"结果待填写"))))))))))))))</x:f>
      </x:c>
      <x:c r="P81" s="10" t="str">
        <x:f>IF(B81="","",IF(COUNTIFS('UI检查'!$A$6:$A$54,B81)&lt;&gt;1,"case无效",INDEX('UI检查'!$J$6:$J$54,MATCH(B81,'UI检查'!$A$6:$A$54,0))))</x:f>
      </x:c>
      <x:c r="Q81" s="10" t="str">
        <x:f>IF(B81="","",IF(COUNTIFS('UI检查'!$A$6:$A$54,B81)&lt;&gt;1,"case无效",INDEX('UI检查'!$K$6:$K$54,MATCH(B81,'UI检查'!$A$6:$A$54,0))))</x:f>
      </x:c>
      <x:c r="R81" s="10" t="str">
        <x:f>IF(B81="","",IF(COUNTIFS('UI检查'!$A$6:$A$54,B81)&lt;&gt;1,"case无效",INDEX('UI检查'!$R$6:$R$54,MATCH(B81,'UI检查'!$A$6:$A$54,0))))</x:f>
      </x:c>
    </x:row>
    <x:row r="82" ht="82.5" customHeight="1">
      <x:c r="A82" s="283"/>
      <x:c r="B82" s="283"/>
      <x:c r="C82" s="283"/>
      <x:c r="D82" s="283"/>
      <x:c r="E82" s="283" t="str">
        <x:v>待选择</x:v>
      </x:c>
      <x:c r="F82" s="283"/>
      <x:c r="G82" s="283"/>
      <x:c r="H82" s="283" t="str">
        <x:v>未执行</x:v>
      </x:c>
      <x:c r="I82" s="283"/>
      <x:c r="J82" s="283"/>
      <x:c r="K82" s="283"/>
      <x:c r="L82" s="283"/>
      <x:c r="M82" s="283"/>
      <x:c r="N82" s="283"/>
      <x:c r="O82" s="10" t="str">
        <x:f>IF(AND(A82="",B82=""),"",IF(E82="否",IF(LEN(TRIM(N82))=0,"不适用依据待补","不适用"),IF(E82&lt;&gt;"是","未纳入",IF(LEN(TRIM(A82))=0,"范围ID缺失",IF(COUNTIFS($A$62:$A$1055,A82)&lt;&gt;1,"范围ID重复",IF(COUNTIFS('UI检查'!$A$6:$A$54,B82)&lt;&gt;1,"关联case无效",IF(COUNTIFS($B$62:$B$1055,B82,$C$62:$C$1055,C82,$D$62:$D$1055,D82,$E$62:$E$1055,"是")&lt;&gt;1,"重复页面范围",IF(OR(LEN(TRIM(C82))=0,LEN(TRIM(D82))=0,LEN(TRIM(F82))=0,ISNUMBER(SEARCH("待补",C82))),"页面范围待补",IF(OR(H82="未执行",H82=""),"未执行",IF(OR(LEN(TRIM(I82))=0,I82&lt;&gt;'本批提测'!$B$8),"页面Build需核对",IF(OR(LEN(TRIM(J82))=0,LEN(TRIM(K82))=0),"页面执行证据不齐",IF(H82="通过",IF(OR(LEN(TRIM(G82))=0,G82&lt;&gt;INDEX($O$7:$O$55,MATCH(B82,$A$7:$A$55,0))),"页面依据未对齐",IF(AND(LEN(TRIM(L82))&gt;0,OR(COUNTIFS('UI修改清单'!$A$7:$A$200,M82,'UI修改清单'!$B$7:$B$200,B82)&lt;&gt;1,(COUNTIFS('UI修改清单'!$A$7:$A$200,M82,'UI修改清单'!$U$7:$U$200,"复查闭环")+COUNTIFS('UI修改清单'!$A$7:$A$200,M82,'UI修改清单'!$U$7:$U$200,"核对符合")+COUNTIFS('UI修改清单'!$A$7:$A$200,M82,'UI修改清单'!$U$7:$U$200,"有据不适用"))&lt;&gt;1)),"页面问题未闭环","通过")),IF(H82="失败",IF(OR(LEN(TRIM(L82))=0,COUNTIFS('UI修改清单'!$A$7:$A$200,M82,'UI修改清单'!$B$7:$B$200,B82,'UI修改清单'!$D$7:$D$200,"实测问题")&lt;&gt;1),"失败问题未登记","失败已记录"),IF(OR(H82="受阻",H82="依据待确认"),IF(LEN(TRIM(L82))=0,"受阻/缺依据说明待补",IF(H82="受阻","受阻已记录","缺依据已记录")),"结果待填写"))))))))))))))</x:f>
      </x:c>
      <x:c r="P82" s="10" t="str">
        <x:f>IF(B82="","",IF(COUNTIFS('UI检查'!$A$6:$A$54,B82)&lt;&gt;1,"case无效",INDEX('UI检查'!$J$6:$J$54,MATCH(B82,'UI检查'!$A$6:$A$54,0))))</x:f>
      </x:c>
      <x:c r="Q82" s="10" t="str">
        <x:f>IF(B82="","",IF(COUNTIFS('UI检查'!$A$6:$A$54,B82)&lt;&gt;1,"case无效",INDEX('UI检查'!$K$6:$K$54,MATCH(B82,'UI检查'!$A$6:$A$54,0))))</x:f>
      </x:c>
      <x:c r="R82" s="10" t="str">
        <x:f>IF(B82="","",IF(COUNTIFS('UI检查'!$A$6:$A$54,B82)&lt;&gt;1,"case无效",INDEX('UI检查'!$R$6:$R$54,MATCH(B82,'UI检查'!$A$6:$A$54,0))))</x:f>
      </x:c>
    </x:row>
    <x:row r="83" ht="82.5" customHeight="1">
      <x:c r="A83" s="283"/>
      <x:c r="B83" s="283"/>
      <x:c r="C83" s="283"/>
      <x:c r="D83" s="283"/>
      <x:c r="E83" s="283" t="str">
        <x:v>待选择</x:v>
      </x:c>
      <x:c r="F83" s="283"/>
      <x:c r="G83" s="283"/>
      <x:c r="H83" s="283" t="str">
        <x:v>未执行</x:v>
      </x:c>
      <x:c r="I83" s="283"/>
      <x:c r="J83" s="283"/>
      <x:c r="K83" s="283"/>
      <x:c r="L83" s="283"/>
      <x:c r="M83" s="283"/>
      <x:c r="N83" s="283"/>
      <x:c r="O83" s="10" t="str">
        <x:f>IF(AND(A83="",B83=""),"",IF(E83="否",IF(LEN(TRIM(N83))=0,"不适用依据待补","不适用"),IF(E83&lt;&gt;"是","未纳入",IF(LEN(TRIM(A83))=0,"范围ID缺失",IF(COUNTIFS($A$62:$A$1055,A83)&lt;&gt;1,"范围ID重复",IF(COUNTIFS('UI检查'!$A$6:$A$54,B83)&lt;&gt;1,"关联case无效",IF(COUNTIFS($B$62:$B$1055,B83,$C$62:$C$1055,C83,$D$62:$D$1055,D83,$E$62:$E$1055,"是")&lt;&gt;1,"重复页面范围",IF(OR(LEN(TRIM(C83))=0,LEN(TRIM(D83))=0,LEN(TRIM(F83))=0,ISNUMBER(SEARCH("待补",C83))),"页面范围待补",IF(OR(H83="未执行",H83=""),"未执行",IF(OR(LEN(TRIM(I83))=0,I83&lt;&gt;'本批提测'!$B$8),"页面Build需核对",IF(OR(LEN(TRIM(J83))=0,LEN(TRIM(K83))=0),"页面执行证据不齐",IF(H83="通过",IF(OR(LEN(TRIM(G83))=0,G83&lt;&gt;INDEX($O$7:$O$55,MATCH(B83,$A$7:$A$55,0))),"页面依据未对齐",IF(AND(LEN(TRIM(L83))&gt;0,OR(COUNTIFS('UI修改清单'!$A$7:$A$200,M83,'UI修改清单'!$B$7:$B$200,B83)&lt;&gt;1,(COUNTIFS('UI修改清单'!$A$7:$A$200,M83,'UI修改清单'!$U$7:$U$200,"复查闭环")+COUNTIFS('UI修改清单'!$A$7:$A$200,M83,'UI修改清单'!$U$7:$U$200,"核对符合")+COUNTIFS('UI修改清单'!$A$7:$A$200,M83,'UI修改清单'!$U$7:$U$200,"有据不适用"))&lt;&gt;1)),"页面问题未闭环","通过")),IF(H83="失败",IF(OR(LEN(TRIM(L83))=0,COUNTIFS('UI修改清单'!$A$7:$A$200,M83,'UI修改清单'!$B$7:$B$200,B83,'UI修改清单'!$D$7:$D$200,"实测问题")&lt;&gt;1),"失败问题未登记","失败已记录"),IF(OR(H83="受阻",H83="依据待确认"),IF(LEN(TRIM(L83))=0,"受阻/缺依据说明待补",IF(H83="受阻","受阻已记录","缺依据已记录")),"结果待填写"))))))))))))))</x:f>
      </x:c>
      <x:c r="P83" s="10" t="str">
        <x:f>IF(B83="","",IF(COUNTIFS('UI检查'!$A$6:$A$54,B83)&lt;&gt;1,"case无效",INDEX('UI检查'!$J$6:$J$54,MATCH(B83,'UI检查'!$A$6:$A$54,0))))</x:f>
      </x:c>
      <x:c r="Q83" s="10" t="str">
        <x:f>IF(B83="","",IF(COUNTIFS('UI检查'!$A$6:$A$54,B83)&lt;&gt;1,"case无效",INDEX('UI检查'!$K$6:$K$54,MATCH(B83,'UI检查'!$A$6:$A$54,0))))</x:f>
      </x:c>
      <x:c r="R83" s="10" t="str">
        <x:f>IF(B83="","",IF(COUNTIFS('UI检查'!$A$6:$A$54,B83)&lt;&gt;1,"case无效",INDEX('UI检查'!$R$6:$R$54,MATCH(B83,'UI检查'!$A$6:$A$54,0))))</x:f>
      </x:c>
    </x:row>
    <x:row r="84" ht="82.5" customHeight="1">
      <x:c r="A84" s="283"/>
      <x:c r="B84" s="283"/>
      <x:c r="C84" s="283"/>
      <x:c r="D84" s="283"/>
      <x:c r="E84" s="283" t="str">
        <x:v>待选择</x:v>
      </x:c>
      <x:c r="F84" s="283"/>
      <x:c r="G84" s="283"/>
      <x:c r="H84" s="283" t="str">
        <x:v>未执行</x:v>
      </x:c>
      <x:c r="I84" s="283"/>
      <x:c r="J84" s="283"/>
      <x:c r="K84" s="283"/>
      <x:c r="L84" s="283"/>
      <x:c r="M84" s="283"/>
      <x:c r="N84" s="283"/>
      <x:c r="O84" s="10" t="str">
        <x:f>IF(AND(A84="",B84=""),"",IF(E84="否",IF(LEN(TRIM(N84))=0,"不适用依据待补","不适用"),IF(E84&lt;&gt;"是","未纳入",IF(LEN(TRIM(A84))=0,"范围ID缺失",IF(COUNTIFS($A$62:$A$1055,A84)&lt;&gt;1,"范围ID重复",IF(COUNTIFS('UI检查'!$A$6:$A$54,B84)&lt;&gt;1,"关联case无效",IF(COUNTIFS($B$62:$B$1055,B84,$C$62:$C$1055,C84,$D$62:$D$1055,D84,$E$62:$E$1055,"是")&lt;&gt;1,"重复页面范围",IF(OR(LEN(TRIM(C84))=0,LEN(TRIM(D84))=0,LEN(TRIM(F84))=0,ISNUMBER(SEARCH("待补",C84))),"页面范围待补",IF(OR(H84="未执行",H84=""),"未执行",IF(OR(LEN(TRIM(I84))=0,I84&lt;&gt;'本批提测'!$B$8),"页面Build需核对",IF(OR(LEN(TRIM(J84))=0,LEN(TRIM(K84))=0),"页面执行证据不齐",IF(H84="通过",IF(OR(LEN(TRIM(G84))=0,G84&lt;&gt;INDEX($O$7:$O$55,MATCH(B84,$A$7:$A$55,0))),"页面依据未对齐",IF(AND(LEN(TRIM(L84))&gt;0,OR(COUNTIFS('UI修改清单'!$A$7:$A$200,M84,'UI修改清单'!$B$7:$B$200,B84)&lt;&gt;1,(COUNTIFS('UI修改清单'!$A$7:$A$200,M84,'UI修改清单'!$U$7:$U$200,"复查闭环")+COUNTIFS('UI修改清单'!$A$7:$A$200,M84,'UI修改清单'!$U$7:$U$200,"核对符合")+COUNTIFS('UI修改清单'!$A$7:$A$200,M84,'UI修改清单'!$U$7:$U$200,"有据不适用"))&lt;&gt;1)),"页面问题未闭环","通过")),IF(H84="失败",IF(OR(LEN(TRIM(L84))=0,COUNTIFS('UI修改清单'!$A$7:$A$200,M84,'UI修改清单'!$B$7:$B$200,B84,'UI修改清单'!$D$7:$D$200,"实测问题")&lt;&gt;1),"失败问题未登记","失败已记录"),IF(OR(H84="受阻",H84="依据待确认"),IF(LEN(TRIM(L84))=0,"受阻/缺依据说明待补",IF(H84="受阻","受阻已记录","缺依据已记录")),"结果待填写"))))))))))))))</x:f>
      </x:c>
      <x:c r="P84" s="10" t="str">
        <x:f>IF(B84="","",IF(COUNTIFS('UI检查'!$A$6:$A$54,B84)&lt;&gt;1,"case无效",INDEX('UI检查'!$J$6:$J$54,MATCH(B84,'UI检查'!$A$6:$A$54,0))))</x:f>
      </x:c>
      <x:c r="Q84" s="10" t="str">
        <x:f>IF(B84="","",IF(COUNTIFS('UI检查'!$A$6:$A$54,B84)&lt;&gt;1,"case无效",INDEX('UI检查'!$K$6:$K$54,MATCH(B84,'UI检查'!$A$6:$A$54,0))))</x:f>
      </x:c>
      <x:c r="R84" s="10" t="str">
        <x:f>IF(B84="","",IF(COUNTIFS('UI检查'!$A$6:$A$54,B84)&lt;&gt;1,"case无效",INDEX('UI检查'!$R$6:$R$54,MATCH(B84,'UI检查'!$A$6:$A$54,0))))</x:f>
      </x:c>
    </x:row>
    <x:row r="85" ht="82.5" customHeight="1">
      <x:c r="A85" s="283"/>
      <x:c r="B85" s="283"/>
      <x:c r="C85" s="283"/>
      <x:c r="D85" s="283"/>
      <x:c r="E85" s="283" t="str">
        <x:v>待选择</x:v>
      </x:c>
      <x:c r="F85" s="283"/>
      <x:c r="G85" s="283"/>
      <x:c r="H85" s="283" t="str">
        <x:v>未执行</x:v>
      </x:c>
      <x:c r="I85" s="283"/>
      <x:c r="J85" s="283"/>
      <x:c r="K85" s="283"/>
      <x:c r="L85" s="283"/>
      <x:c r="M85" s="283"/>
      <x:c r="N85" s="283"/>
      <x:c r="O85" s="10" t="str">
        <x:f>IF(AND(A85="",B85=""),"",IF(E85="否",IF(LEN(TRIM(N85))=0,"不适用依据待补","不适用"),IF(E85&lt;&gt;"是","未纳入",IF(LEN(TRIM(A85))=0,"范围ID缺失",IF(COUNTIFS($A$62:$A$1055,A85)&lt;&gt;1,"范围ID重复",IF(COUNTIFS('UI检查'!$A$6:$A$54,B85)&lt;&gt;1,"关联case无效",IF(COUNTIFS($B$62:$B$1055,B85,$C$62:$C$1055,C85,$D$62:$D$1055,D85,$E$62:$E$1055,"是")&lt;&gt;1,"重复页面范围",IF(OR(LEN(TRIM(C85))=0,LEN(TRIM(D85))=0,LEN(TRIM(F85))=0,ISNUMBER(SEARCH("待补",C85))),"页面范围待补",IF(OR(H85="未执行",H85=""),"未执行",IF(OR(LEN(TRIM(I85))=0,I85&lt;&gt;'本批提测'!$B$8),"页面Build需核对",IF(OR(LEN(TRIM(J85))=0,LEN(TRIM(K85))=0),"页面执行证据不齐",IF(H85="通过",IF(OR(LEN(TRIM(G85))=0,G85&lt;&gt;INDEX($O$7:$O$55,MATCH(B85,$A$7:$A$55,0))),"页面依据未对齐",IF(AND(LEN(TRIM(L85))&gt;0,OR(COUNTIFS('UI修改清单'!$A$7:$A$200,M85,'UI修改清单'!$B$7:$B$200,B85)&lt;&gt;1,(COUNTIFS('UI修改清单'!$A$7:$A$200,M85,'UI修改清单'!$U$7:$U$200,"复查闭环")+COUNTIFS('UI修改清单'!$A$7:$A$200,M85,'UI修改清单'!$U$7:$U$200,"核对符合")+COUNTIFS('UI修改清单'!$A$7:$A$200,M85,'UI修改清单'!$U$7:$U$200,"有据不适用"))&lt;&gt;1)),"页面问题未闭环","通过")),IF(H85="失败",IF(OR(LEN(TRIM(L85))=0,COUNTIFS('UI修改清单'!$A$7:$A$200,M85,'UI修改清单'!$B$7:$B$200,B85,'UI修改清单'!$D$7:$D$200,"实测问题")&lt;&gt;1),"失败问题未登记","失败已记录"),IF(OR(H85="受阻",H85="依据待确认"),IF(LEN(TRIM(L85))=0,"受阻/缺依据说明待补",IF(H85="受阻","受阻已记录","缺依据已记录")),"结果待填写"))))))))))))))</x:f>
      </x:c>
      <x:c r="P85" s="10" t="str">
        <x:f>IF(B85="","",IF(COUNTIFS('UI检查'!$A$6:$A$54,B85)&lt;&gt;1,"case无效",INDEX('UI检查'!$J$6:$J$54,MATCH(B85,'UI检查'!$A$6:$A$54,0))))</x:f>
      </x:c>
      <x:c r="Q85" s="10" t="str">
        <x:f>IF(B85="","",IF(COUNTIFS('UI检查'!$A$6:$A$54,B85)&lt;&gt;1,"case无效",INDEX('UI检查'!$K$6:$K$54,MATCH(B85,'UI检查'!$A$6:$A$54,0))))</x:f>
      </x:c>
      <x:c r="R85" s="10" t="str">
        <x:f>IF(B85="","",IF(COUNTIFS('UI检查'!$A$6:$A$54,B85)&lt;&gt;1,"case无效",INDEX('UI检查'!$R$6:$R$54,MATCH(B85,'UI检查'!$A$6:$A$54,0))))</x:f>
      </x:c>
    </x:row>
    <x:row r="86" ht="82.5" customHeight="1">
      <x:c r="A86" s="283"/>
      <x:c r="B86" s="283"/>
      <x:c r="C86" s="283"/>
      <x:c r="D86" s="283"/>
      <x:c r="E86" s="283" t="str">
        <x:v>待选择</x:v>
      </x:c>
      <x:c r="F86" s="283"/>
      <x:c r="G86" s="283"/>
      <x:c r="H86" s="283" t="str">
        <x:v>未执行</x:v>
      </x:c>
      <x:c r="I86" s="283"/>
      <x:c r="J86" s="283"/>
      <x:c r="K86" s="283"/>
      <x:c r="L86" s="283"/>
      <x:c r="M86" s="283"/>
      <x:c r="N86" s="283"/>
      <x:c r="O86" s="10" t="str">
        <x:f>IF(AND(A86="",B86=""),"",IF(E86="否",IF(LEN(TRIM(N86))=0,"不适用依据待补","不适用"),IF(E86&lt;&gt;"是","未纳入",IF(LEN(TRIM(A86))=0,"范围ID缺失",IF(COUNTIFS($A$62:$A$1055,A86)&lt;&gt;1,"范围ID重复",IF(COUNTIFS('UI检查'!$A$6:$A$54,B86)&lt;&gt;1,"关联case无效",IF(COUNTIFS($B$62:$B$1055,B86,$C$62:$C$1055,C86,$D$62:$D$1055,D86,$E$62:$E$1055,"是")&lt;&gt;1,"重复页面范围",IF(OR(LEN(TRIM(C86))=0,LEN(TRIM(D86))=0,LEN(TRIM(F86))=0,ISNUMBER(SEARCH("待补",C86))),"页面范围待补",IF(OR(H86="未执行",H86=""),"未执行",IF(OR(LEN(TRIM(I86))=0,I86&lt;&gt;'本批提测'!$B$8),"页面Build需核对",IF(OR(LEN(TRIM(J86))=0,LEN(TRIM(K86))=0),"页面执行证据不齐",IF(H86="通过",IF(OR(LEN(TRIM(G86))=0,G86&lt;&gt;INDEX($O$7:$O$55,MATCH(B86,$A$7:$A$55,0))),"页面依据未对齐",IF(AND(LEN(TRIM(L86))&gt;0,OR(COUNTIFS('UI修改清单'!$A$7:$A$200,M86,'UI修改清单'!$B$7:$B$200,B86)&lt;&gt;1,(COUNTIFS('UI修改清单'!$A$7:$A$200,M86,'UI修改清单'!$U$7:$U$200,"复查闭环")+COUNTIFS('UI修改清单'!$A$7:$A$200,M86,'UI修改清单'!$U$7:$U$200,"核对符合")+COUNTIFS('UI修改清单'!$A$7:$A$200,M86,'UI修改清单'!$U$7:$U$200,"有据不适用"))&lt;&gt;1)),"页面问题未闭环","通过")),IF(H86="失败",IF(OR(LEN(TRIM(L86))=0,COUNTIFS('UI修改清单'!$A$7:$A$200,M86,'UI修改清单'!$B$7:$B$200,B86,'UI修改清单'!$D$7:$D$200,"实测问题")&lt;&gt;1),"失败问题未登记","失败已记录"),IF(OR(H86="受阻",H86="依据待确认"),IF(LEN(TRIM(L86))=0,"受阻/缺依据说明待补",IF(H86="受阻","受阻已记录","缺依据已记录")),"结果待填写"))))))))))))))</x:f>
      </x:c>
      <x:c r="P86" s="10" t="str">
        <x:f>IF(B86="","",IF(COUNTIFS('UI检查'!$A$6:$A$54,B86)&lt;&gt;1,"case无效",INDEX('UI检查'!$J$6:$J$54,MATCH(B86,'UI检查'!$A$6:$A$54,0))))</x:f>
      </x:c>
      <x:c r="Q86" s="10" t="str">
        <x:f>IF(B86="","",IF(COUNTIFS('UI检查'!$A$6:$A$54,B86)&lt;&gt;1,"case无效",INDEX('UI检查'!$K$6:$K$54,MATCH(B86,'UI检查'!$A$6:$A$54,0))))</x:f>
      </x:c>
      <x:c r="R86" s="10" t="str">
        <x:f>IF(B86="","",IF(COUNTIFS('UI检查'!$A$6:$A$54,B86)&lt;&gt;1,"case无效",INDEX('UI检查'!$R$6:$R$54,MATCH(B86,'UI检查'!$A$6:$A$54,0))))</x:f>
      </x:c>
    </x:row>
    <x:row r="87" ht="82.5" customHeight="1">
      <x:c r="A87" s="283"/>
      <x:c r="B87" s="283"/>
      <x:c r="C87" s="283"/>
      <x:c r="D87" s="283"/>
      <x:c r="E87" s="283" t="str">
        <x:v>待选择</x:v>
      </x:c>
      <x:c r="F87" s="283"/>
      <x:c r="G87" s="283"/>
      <x:c r="H87" s="283" t="str">
        <x:v>未执行</x:v>
      </x:c>
      <x:c r="I87" s="283"/>
      <x:c r="J87" s="283"/>
      <x:c r="K87" s="283"/>
      <x:c r="L87" s="283"/>
      <x:c r="M87" s="283"/>
      <x:c r="N87" s="283"/>
      <x:c r="O87" s="10" t="str">
        <x:f>IF(AND(A87="",B87=""),"",IF(E87="否",IF(LEN(TRIM(N87))=0,"不适用依据待补","不适用"),IF(E87&lt;&gt;"是","未纳入",IF(LEN(TRIM(A87))=0,"范围ID缺失",IF(COUNTIFS($A$62:$A$1055,A87)&lt;&gt;1,"范围ID重复",IF(COUNTIFS('UI检查'!$A$6:$A$54,B87)&lt;&gt;1,"关联case无效",IF(COUNTIFS($B$62:$B$1055,B87,$C$62:$C$1055,C87,$D$62:$D$1055,D87,$E$62:$E$1055,"是")&lt;&gt;1,"重复页面范围",IF(OR(LEN(TRIM(C87))=0,LEN(TRIM(D87))=0,LEN(TRIM(F87))=0,ISNUMBER(SEARCH("待补",C87))),"页面范围待补",IF(OR(H87="未执行",H87=""),"未执行",IF(OR(LEN(TRIM(I87))=0,I87&lt;&gt;'本批提测'!$B$8),"页面Build需核对",IF(OR(LEN(TRIM(J87))=0,LEN(TRIM(K87))=0),"页面执行证据不齐",IF(H87="通过",IF(OR(LEN(TRIM(G87))=0,G87&lt;&gt;INDEX($O$7:$O$55,MATCH(B87,$A$7:$A$55,0))),"页面依据未对齐",IF(AND(LEN(TRIM(L87))&gt;0,OR(COUNTIFS('UI修改清单'!$A$7:$A$200,M87,'UI修改清单'!$B$7:$B$200,B87)&lt;&gt;1,(COUNTIFS('UI修改清单'!$A$7:$A$200,M87,'UI修改清单'!$U$7:$U$200,"复查闭环")+COUNTIFS('UI修改清单'!$A$7:$A$200,M87,'UI修改清单'!$U$7:$U$200,"核对符合")+COUNTIFS('UI修改清单'!$A$7:$A$200,M87,'UI修改清单'!$U$7:$U$200,"有据不适用"))&lt;&gt;1)),"页面问题未闭环","通过")),IF(H87="失败",IF(OR(LEN(TRIM(L87))=0,COUNTIFS('UI修改清单'!$A$7:$A$200,M87,'UI修改清单'!$B$7:$B$200,B87,'UI修改清单'!$D$7:$D$200,"实测问题")&lt;&gt;1),"失败问题未登记","失败已记录"),IF(OR(H87="受阻",H87="依据待确认"),IF(LEN(TRIM(L87))=0,"受阻/缺依据说明待补",IF(H87="受阻","受阻已记录","缺依据已记录")),"结果待填写"))))))))))))))</x:f>
      </x:c>
      <x:c r="P87" s="10" t="str">
        <x:f>IF(B87="","",IF(COUNTIFS('UI检查'!$A$6:$A$54,B87)&lt;&gt;1,"case无效",INDEX('UI检查'!$J$6:$J$54,MATCH(B87,'UI检查'!$A$6:$A$54,0))))</x:f>
      </x:c>
      <x:c r="Q87" s="10" t="str">
        <x:f>IF(B87="","",IF(COUNTIFS('UI检查'!$A$6:$A$54,B87)&lt;&gt;1,"case无效",INDEX('UI检查'!$K$6:$K$54,MATCH(B87,'UI检查'!$A$6:$A$54,0))))</x:f>
      </x:c>
      <x:c r="R87" s="10" t="str">
        <x:f>IF(B87="","",IF(COUNTIFS('UI检查'!$A$6:$A$54,B87)&lt;&gt;1,"case无效",INDEX('UI检查'!$R$6:$R$54,MATCH(B87,'UI检查'!$A$6:$A$54,0))))</x:f>
      </x:c>
    </x:row>
    <x:row r="88" ht="82.5" customHeight="1">
      <x:c r="A88" s="283"/>
      <x:c r="B88" s="283"/>
      <x:c r="C88" s="283"/>
      <x:c r="D88" s="283"/>
      <x:c r="E88" s="283" t="str">
        <x:v>待选择</x:v>
      </x:c>
      <x:c r="F88" s="283"/>
      <x:c r="G88" s="283"/>
      <x:c r="H88" s="283" t="str">
        <x:v>未执行</x:v>
      </x:c>
      <x:c r="I88" s="283"/>
      <x:c r="J88" s="283"/>
      <x:c r="K88" s="283"/>
      <x:c r="L88" s="283"/>
      <x:c r="M88" s="283"/>
      <x:c r="N88" s="283"/>
      <x:c r="O88" s="10" t="str">
        <x:f>IF(AND(A88="",B88=""),"",IF(E88="否",IF(LEN(TRIM(N88))=0,"不适用依据待补","不适用"),IF(E88&lt;&gt;"是","未纳入",IF(LEN(TRIM(A88))=0,"范围ID缺失",IF(COUNTIFS($A$62:$A$1055,A88)&lt;&gt;1,"范围ID重复",IF(COUNTIFS('UI检查'!$A$6:$A$54,B88)&lt;&gt;1,"关联case无效",IF(COUNTIFS($B$62:$B$1055,B88,$C$62:$C$1055,C88,$D$62:$D$1055,D88,$E$62:$E$1055,"是")&lt;&gt;1,"重复页面范围",IF(OR(LEN(TRIM(C88))=0,LEN(TRIM(D88))=0,LEN(TRIM(F88))=0,ISNUMBER(SEARCH("待补",C88))),"页面范围待补",IF(OR(H88="未执行",H88=""),"未执行",IF(OR(LEN(TRIM(I88))=0,I88&lt;&gt;'本批提测'!$B$8),"页面Build需核对",IF(OR(LEN(TRIM(J88))=0,LEN(TRIM(K88))=0),"页面执行证据不齐",IF(H88="通过",IF(OR(LEN(TRIM(G88))=0,G88&lt;&gt;INDEX($O$7:$O$55,MATCH(B88,$A$7:$A$55,0))),"页面依据未对齐",IF(AND(LEN(TRIM(L88))&gt;0,OR(COUNTIFS('UI修改清单'!$A$7:$A$200,M88,'UI修改清单'!$B$7:$B$200,B88)&lt;&gt;1,(COUNTIFS('UI修改清单'!$A$7:$A$200,M88,'UI修改清单'!$U$7:$U$200,"复查闭环")+COUNTIFS('UI修改清单'!$A$7:$A$200,M88,'UI修改清单'!$U$7:$U$200,"核对符合")+COUNTIFS('UI修改清单'!$A$7:$A$200,M88,'UI修改清单'!$U$7:$U$200,"有据不适用"))&lt;&gt;1)),"页面问题未闭环","通过")),IF(H88="失败",IF(OR(LEN(TRIM(L88))=0,COUNTIFS('UI修改清单'!$A$7:$A$200,M88,'UI修改清单'!$B$7:$B$200,B88,'UI修改清单'!$D$7:$D$200,"实测问题")&lt;&gt;1),"失败问题未登记","失败已记录"),IF(OR(H88="受阻",H88="依据待确认"),IF(LEN(TRIM(L88))=0,"受阻/缺依据说明待补",IF(H88="受阻","受阻已记录","缺依据已记录")),"结果待填写"))))))))))))))</x:f>
      </x:c>
      <x:c r="P88" s="10" t="str">
        <x:f>IF(B88="","",IF(COUNTIFS('UI检查'!$A$6:$A$54,B88)&lt;&gt;1,"case无效",INDEX('UI检查'!$J$6:$J$54,MATCH(B88,'UI检查'!$A$6:$A$54,0))))</x:f>
      </x:c>
      <x:c r="Q88" s="10" t="str">
        <x:f>IF(B88="","",IF(COUNTIFS('UI检查'!$A$6:$A$54,B88)&lt;&gt;1,"case无效",INDEX('UI检查'!$K$6:$K$54,MATCH(B88,'UI检查'!$A$6:$A$54,0))))</x:f>
      </x:c>
      <x:c r="R88" s="10" t="str">
        <x:f>IF(B88="","",IF(COUNTIFS('UI检查'!$A$6:$A$54,B88)&lt;&gt;1,"case无效",INDEX('UI检查'!$R$6:$R$54,MATCH(B88,'UI检查'!$A$6:$A$54,0))))</x:f>
      </x:c>
    </x:row>
    <x:row r="89" ht="82.5" customHeight="1">
      <x:c r="A89" s="283"/>
      <x:c r="B89" s="283"/>
      <x:c r="C89" s="283"/>
      <x:c r="D89" s="283"/>
      <x:c r="E89" s="283" t="str">
        <x:v>待选择</x:v>
      </x:c>
      <x:c r="F89" s="283"/>
      <x:c r="G89" s="283"/>
      <x:c r="H89" s="283" t="str">
        <x:v>未执行</x:v>
      </x:c>
      <x:c r="I89" s="283"/>
      <x:c r="J89" s="283"/>
      <x:c r="K89" s="283"/>
      <x:c r="L89" s="283"/>
      <x:c r="M89" s="283"/>
      <x:c r="N89" s="283"/>
      <x:c r="O89" s="10" t="str">
        <x:f>IF(AND(A89="",B89=""),"",IF(E89="否",IF(LEN(TRIM(N89))=0,"不适用依据待补","不适用"),IF(E89&lt;&gt;"是","未纳入",IF(LEN(TRIM(A89))=0,"范围ID缺失",IF(COUNTIFS($A$62:$A$1055,A89)&lt;&gt;1,"范围ID重复",IF(COUNTIFS('UI检查'!$A$6:$A$54,B89)&lt;&gt;1,"关联case无效",IF(COUNTIFS($B$62:$B$1055,B89,$C$62:$C$1055,C89,$D$62:$D$1055,D89,$E$62:$E$1055,"是")&lt;&gt;1,"重复页面范围",IF(OR(LEN(TRIM(C89))=0,LEN(TRIM(D89))=0,LEN(TRIM(F89))=0,ISNUMBER(SEARCH("待补",C89))),"页面范围待补",IF(OR(H89="未执行",H89=""),"未执行",IF(OR(LEN(TRIM(I89))=0,I89&lt;&gt;'本批提测'!$B$8),"页面Build需核对",IF(OR(LEN(TRIM(J89))=0,LEN(TRIM(K89))=0),"页面执行证据不齐",IF(H89="通过",IF(OR(LEN(TRIM(G89))=0,G89&lt;&gt;INDEX($O$7:$O$55,MATCH(B89,$A$7:$A$55,0))),"页面依据未对齐",IF(AND(LEN(TRIM(L89))&gt;0,OR(COUNTIFS('UI修改清单'!$A$7:$A$200,M89,'UI修改清单'!$B$7:$B$200,B89)&lt;&gt;1,(COUNTIFS('UI修改清单'!$A$7:$A$200,M89,'UI修改清单'!$U$7:$U$200,"复查闭环")+COUNTIFS('UI修改清单'!$A$7:$A$200,M89,'UI修改清单'!$U$7:$U$200,"核对符合")+COUNTIFS('UI修改清单'!$A$7:$A$200,M89,'UI修改清单'!$U$7:$U$200,"有据不适用"))&lt;&gt;1)),"页面问题未闭环","通过")),IF(H89="失败",IF(OR(LEN(TRIM(L89))=0,COUNTIFS('UI修改清单'!$A$7:$A$200,M89,'UI修改清单'!$B$7:$B$200,B89,'UI修改清单'!$D$7:$D$200,"实测问题")&lt;&gt;1),"失败问题未登记","失败已记录"),IF(OR(H89="受阻",H89="依据待确认"),IF(LEN(TRIM(L89))=0,"受阻/缺依据说明待补",IF(H89="受阻","受阻已记录","缺依据已记录")),"结果待填写"))))))))))))))</x:f>
      </x:c>
      <x:c r="P89" s="10" t="str">
        <x:f>IF(B89="","",IF(COUNTIFS('UI检查'!$A$6:$A$54,B89)&lt;&gt;1,"case无效",INDEX('UI检查'!$J$6:$J$54,MATCH(B89,'UI检查'!$A$6:$A$54,0))))</x:f>
      </x:c>
      <x:c r="Q89" s="10" t="str">
        <x:f>IF(B89="","",IF(COUNTIFS('UI检查'!$A$6:$A$54,B89)&lt;&gt;1,"case无效",INDEX('UI检查'!$K$6:$K$54,MATCH(B89,'UI检查'!$A$6:$A$54,0))))</x:f>
      </x:c>
      <x:c r="R89" s="10" t="str">
        <x:f>IF(B89="","",IF(COUNTIFS('UI检查'!$A$6:$A$54,B89)&lt;&gt;1,"case无效",INDEX('UI检查'!$R$6:$R$54,MATCH(B89,'UI检查'!$A$6:$A$54,0))))</x:f>
      </x:c>
    </x:row>
    <x:row r="90" ht="82.5" customHeight="1">
      <x:c r="A90" s="283"/>
      <x:c r="B90" s="283"/>
      <x:c r="C90" s="283"/>
      <x:c r="D90" s="283"/>
      <x:c r="E90" s="283" t="str">
        <x:v>待选择</x:v>
      </x:c>
      <x:c r="F90" s="283"/>
      <x:c r="G90" s="283"/>
      <x:c r="H90" s="283" t="str">
        <x:v>未执行</x:v>
      </x:c>
      <x:c r="I90" s="283"/>
      <x:c r="J90" s="283"/>
      <x:c r="K90" s="283"/>
      <x:c r="L90" s="283"/>
      <x:c r="M90" s="283"/>
      <x:c r="N90" s="283"/>
      <x:c r="O90" s="10" t="str">
        <x:f>IF(AND(A90="",B90=""),"",IF(E90="否",IF(LEN(TRIM(N90))=0,"不适用依据待补","不适用"),IF(E90&lt;&gt;"是","未纳入",IF(LEN(TRIM(A90))=0,"范围ID缺失",IF(COUNTIFS($A$62:$A$1055,A90)&lt;&gt;1,"范围ID重复",IF(COUNTIFS('UI检查'!$A$6:$A$54,B90)&lt;&gt;1,"关联case无效",IF(COUNTIFS($B$62:$B$1055,B90,$C$62:$C$1055,C90,$D$62:$D$1055,D90,$E$62:$E$1055,"是")&lt;&gt;1,"重复页面范围",IF(OR(LEN(TRIM(C90))=0,LEN(TRIM(D90))=0,LEN(TRIM(F90))=0,ISNUMBER(SEARCH("待补",C90))),"页面范围待补",IF(OR(H90="未执行",H90=""),"未执行",IF(OR(LEN(TRIM(I90))=0,I90&lt;&gt;'本批提测'!$B$8),"页面Build需核对",IF(OR(LEN(TRIM(J90))=0,LEN(TRIM(K90))=0),"页面执行证据不齐",IF(H90="通过",IF(OR(LEN(TRIM(G90))=0,G90&lt;&gt;INDEX($O$7:$O$55,MATCH(B90,$A$7:$A$55,0))),"页面依据未对齐",IF(AND(LEN(TRIM(L90))&gt;0,OR(COUNTIFS('UI修改清单'!$A$7:$A$200,M90,'UI修改清单'!$B$7:$B$200,B90)&lt;&gt;1,(COUNTIFS('UI修改清单'!$A$7:$A$200,M90,'UI修改清单'!$U$7:$U$200,"复查闭环")+COUNTIFS('UI修改清单'!$A$7:$A$200,M90,'UI修改清单'!$U$7:$U$200,"核对符合")+COUNTIFS('UI修改清单'!$A$7:$A$200,M90,'UI修改清单'!$U$7:$U$200,"有据不适用"))&lt;&gt;1)),"页面问题未闭环","通过")),IF(H90="失败",IF(OR(LEN(TRIM(L90))=0,COUNTIFS('UI修改清单'!$A$7:$A$200,M90,'UI修改清单'!$B$7:$B$200,B90,'UI修改清单'!$D$7:$D$200,"实测问题")&lt;&gt;1),"失败问题未登记","失败已记录"),IF(OR(H90="受阻",H90="依据待确认"),IF(LEN(TRIM(L90))=0,"受阻/缺依据说明待补",IF(H90="受阻","受阻已记录","缺依据已记录")),"结果待填写"))))))))))))))</x:f>
      </x:c>
      <x:c r="P90" s="10" t="str">
        <x:f>IF(B90="","",IF(COUNTIFS('UI检查'!$A$6:$A$54,B90)&lt;&gt;1,"case无效",INDEX('UI检查'!$J$6:$J$54,MATCH(B90,'UI检查'!$A$6:$A$54,0))))</x:f>
      </x:c>
      <x:c r="Q90" s="10" t="str">
        <x:f>IF(B90="","",IF(COUNTIFS('UI检查'!$A$6:$A$54,B90)&lt;&gt;1,"case无效",INDEX('UI检查'!$K$6:$K$54,MATCH(B90,'UI检查'!$A$6:$A$54,0))))</x:f>
      </x:c>
      <x:c r="R90" s="10" t="str">
        <x:f>IF(B90="","",IF(COUNTIFS('UI检查'!$A$6:$A$54,B90)&lt;&gt;1,"case无效",INDEX('UI检查'!$R$6:$R$54,MATCH(B90,'UI检查'!$A$6:$A$54,0))))</x:f>
      </x:c>
    </x:row>
    <x:row r="91" ht="82.5" customHeight="1">
      <x:c r="A91" s="283"/>
      <x:c r="B91" s="283"/>
      <x:c r="C91" s="283"/>
      <x:c r="D91" s="283"/>
      <x:c r="E91" s="283" t="str">
        <x:v>待选择</x:v>
      </x:c>
      <x:c r="F91" s="283"/>
      <x:c r="G91" s="283"/>
      <x:c r="H91" s="283" t="str">
        <x:v>未执行</x:v>
      </x:c>
      <x:c r="I91" s="283"/>
      <x:c r="J91" s="283"/>
      <x:c r="K91" s="283"/>
      <x:c r="L91" s="283"/>
      <x:c r="M91" s="283"/>
      <x:c r="N91" s="283"/>
      <x:c r="O91" s="10" t="str">
        <x:f>IF(AND(A91="",B91=""),"",IF(E91="否",IF(LEN(TRIM(N91))=0,"不适用依据待补","不适用"),IF(E91&lt;&gt;"是","未纳入",IF(LEN(TRIM(A91))=0,"范围ID缺失",IF(COUNTIFS($A$62:$A$1055,A91)&lt;&gt;1,"范围ID重复",IF(COUNTIFS('UI检查'!$A$6:$A$54,B91)&lt;&gt;1,"关联case无效",IF(COUNTIFS($B$62:$B$1055,B91,$C$62:$C$1055,C91,$D$62:$D$1055,D91,$E$62:$E$1055,"是")&lt;&gt;1,"重复页面范围",IF(OR(LEN(TRIM(C91))=0,LEN(TRIM(D91))=0,LEN(TRIM(F91))=0,ISNUMBER(SEARCH("待补",C91))),"页面范围待补",IF(OR(H91="未执行",H91=""),"未执行",IF(OR(LEN(TRIM(I91))=0,I91&lt;&gt;'本批提测'!$B$8),"页面Build需核对",IF(OR(LEN(TRIM(J91))=0,LEN(TRIM(K91))=0),"页面执行证据不齐",IF(H91="通过",IF(OR(LEN(TRIM(G91))=0,G91&lt;&gt;INDEX($O$7:$O$55,MATCH(B91,$A$7:$A$55,0))),"页面依据未对齐",IF(AND(LEN(TRIM(L91))&gt;0,OR(COUNTIFS('UI修改清单'!$A$7:$A$200,M91,'UI修改清单'!$B$7:$B$200,B91)&lt;&gt;1,(COUNTIFS('UI修改清单'!$A$7:$A$200,M91,'UI修改清单'!$U$7:$U$200,"复查闭环")+COUNTIFS('UI修改清单'!$A$7:$A$200,M91,'UI修改清单'!$U$7:$U$200,"核对符合")+COUNTIFS('UI修改清单'!$A$7:$A$200,M91,'UI修改清单'!$U$7:$U$200,"有据不适用"))&lt;&gt;1)),"页面问题未闭环","通过")),IF(H91="失败",IF(OR(LEN(TRIM(L91))=0,COUNTIFS('UI修改清单'!$A$7:$A$200,M91,'UI修改清单'!$B$7:$B$200,B91,'UI修改清单'!$D$7:$D$200,"实测问题")&lt;&gt;1),"失败问题未登记","失败已记录"),IF(OR(H91="受阻",H91="依据待确认"),IF(LEN(TRIM(L91))=0,"受阻/缺依据说明待补",IF(H91="受阻","受阻已记录","缺依据已记录")),"结果待填写"))))))))))))))</x:f>
      </x:c>
      <x:c r="P91" s="10" t="str">
        <x:f>IF(B91="","",IF(COUNTIFS('UI检查'!$A$6:$A$54,B91)&lt;&gt;1,"case无效",INDEX('UI检查'!$J$6:$J$54,MATCH(B91,'UI检查'!$A$6:$A$54,0))))</x:f>
      </x:c>
      <x:c r="Q91" s="10" t="str">
        <x:f>IF(B91="","",IF(COUNTIFS('UI检查'!$A$6:$A$54,B91)&lt;&gt;1,"case无效",INDEX('UI检查'!$K$6:$K$54,MATCH(B91,'UI检查'!$A$6:$A$54,0))))</x:f>
      </x:c>
      <x:c r="R91" s="10" t="str">
        <x:f>IF(B91="","",IF(COUNTIFS('UI检查'!$A$6:$A$54,B91)&lt;&gt;1,"case无效",INDEX('UI检查'!$R$6:$R$54,MATCH(B91,'UI检查'!$A$6:$A$54,0))))</x:f>
      </x:c>
    </x:row>
    <x:row r="92" ht="82.5" customHeight="1">
      <x:c r="A92" s="283"/>
      <x:c r="B92" s="283"/>
      <x:c r="C92" s="283"/>
      <x:c r="D92" s="283"/>
      <x:c r="E92" s="283" t="str">
        <x:v>待选择</x:v>
      </x:c>
      <x:c r="F92" s="283"/>
      <x:c r="G92" s="283"/>
      <x:c r="H92" s="283" t="str">
        <x:v>未执行</x:v>
      </x:c>
      <x:c r="I92" s="283"/>
      <x:c r="J92" s="283"/>
      <x:c r="K92" s="283"/>
      <x:c r="L92" s="283"/>
      <x:c r="M92" s="283"/>
      <x:c r="N92" s="283"/>
      <x:c r="O92" s="10" t="str">
        <x:f>IF(AND(A92="",B92=""),"",IF(E92="否",IF(LEN(TRIM(N92))=0,"不适用依据待补","不适用"),IF(E92&lt;&gt;"是","未纳入",IF(LEN(TRIM(A92))=0,"范围ID缺失",IF(COUNTIFS($A$62:$A$1055,A92)&lt;&gt;1,"范围ID重复",IF(COUNTIFS('UI检查'!$A$6:$A$54,B92)&lt;&gt;1,"关联case无效",IF(COUNTIFS($B$62:$B$1055,B92,$C$62:$C$1055,C92,$D$62:$D$1055,D92,$E$62:$E$1055,"是")&lt;&gt;1,"重复页面范围",IF(OR(LEN(TRIM(C92))=0,LEN(TRIM(D92))=0,LEN(TRIM(F92))=0,ISNUMBER(SEARCH("待补",C92))),"页面范围待补",IF(OR(H92="未执行",H92=""),"未执行",IF(OR(LEN(TRIM(I92))=0,I92&lt;&gt;'本批提测'!$B$8),"页面Build需核对",IF(OR(LEN(TRIM(J92))=0,LEN(TRIM(K92))=0),"页面执行证据不齐",IF(H92="通过",IF(OR(LEN(TRIM(G92))=0,G92&lt;&gt;INDEX($O$7:$O$55,MATCH(B92,$A$7:$A$55,0))),"页面依据未对齐",IF(AND(LEN(TRIM(L92))&gt;0,OR(COUNTIFS('UI修改清单'!$A$7:$A$200,M92,'UI修改清单'!$B$7:$B$200,B92)&lt;&gt;1,(COUNTIFS('UI修改清单'!$A$7:$A$200,M92,'UI修改清单'!$U$7:$U$200,"复查闭环")+COUNTIFS('UI修改清单'!$A$7:$A$200,M92,'UI修改清单'!$U$7:$U$200,"核对符合")+COUNTIFS('UI修改清单'!$A$7:$A$200,M92,'UI修改清单'!$U$7:$U$200,"有据不适用"))&lt;&gt;1)),"页面问题未闭环","通过")),IF(H92="失败",IF(OR(LEN(TRIM(L92))=0,COUNTIFS('UI修改清单'!$A$7:$A$200,M92,'UI修改清单'!$B$7:$B$200,B92,'UI修改清单'!$D$7:$D$200,"实测问题")&lt;&gt;1),"失败问题未登记","失败已记录"),IF(OR(H92="受阻",H92="依据待确认"),IF(LEN(TRIM(L92))=0,"受阻/缺依据说明待补",IF(H92="受阻","受阻已记录","缺依据已记录")),"结果待填写"))))))))))))))</x:f>
      </x:c>
      <x:c r="P92" s="10" t="str">
        <x:f>IF(B92="","",IF(COUNTIFS('UI检查'!$A$6:$A$54,B92)&lt;&gt;1,"case无效",INDEX('UI检查'!$J$6:$J$54,MATCH(B92,'UI检查'!$A$6:$A$54,0))))</x:f>
      </x:c>
      <x:c r="Q92" s="10" t="str">
        <x:f>IF(B92="","",IF(COUNTIFS('UI检查'!$A$6:$A$54,B92)&lt;&gt;1,"case无效",INDEX('UI检查'!$K$6:$K$54,MATCH(B92,'UI检查'!$A$6:$A$54,0))))</x:f>
      </x:c>
      <x:c r="R92" s="10" t="str">
        <x:f>IF(B92="","",IF(COUNTIFS('UI检查'!$A$6:$A$54,B92)&lt;&gt;1,"case无效",INDEX('UI检查'!$R$6:$R$54,MATCH(B92,'UI检查'!$A$6:$A$54,0))))</x:f>
      </x:c>
    </x:row>
    <x:row r="93" ht="82.5" customHeight="1">
      <x:c r="A93" s="283"/>
      <x:c r="B93" s="283"/>
      <x:c r="C93" s="283"/>
      <x:c r="D93" s="283"/>
      <x:c r="E93" s="283" t="str">
        <x:v>待选择</x:v>
      </x:c>
      <x:c r="F93" s="283"/>
      <x:c r="G93" s="283"/>
      <x:c r="H93" s="283" t="str">
        <x:v>未执行</x:v>
      </x:c>
      <x:c r="I93" s="283"/>
      <x:c r="J93" s="283"/>
      <x:c r="K93" s="283"/>
      <x:c r="L93" s="283"/>
      <x:c r="M93" s="283"/>
      <x:c r="N93" s="283"/>
      <x:c r="O93" s="10" t="str">
        <x:f>IF(AND(A93="",B93=""),"",IF(E93="否",IF(LEN(TRIM(N93))=0,"不适用依据待补","不适用"),IF(E93&lt;&gt;"是","未纳入",IF(LEN(TRIM(A93))=0,"范围ID缺失",IF(COUNTIFS($A$62:$A$1055,A93)&lt;&gt;1,"范围ID重复",IF(COUNTIFS('UI检查'!$A$6:$A$54,B93)&lt;&gt;1,"关联case无效",IF(COUNTIFS($B$62:$B$1055,B93,$C$62:$C$1055,C93,$D$62:$D$1055,D93,$E$62:$E$1055,"是")&lt;&gt;1,"重复页面范围",IF(OR(LEN(TRIM(C93))=0,LEN(TRIM(D93))=0,LEN(TRIM(F93))=0,ISNUMBER(SEARCH("待补",C93))),"页面范围待补",IF(OR(H93="未执行",H93=""),"未执行",IF(OR(LEN(TRIM(I93))=0,I93&lt;&gt;'本批提测'!$B$8),"页面Build需核对",IF(OR(LEN(TRIM(J93))=0,LEN(TRIM(K93))=0),"页面执行证据不齐",IF(H93="通过",IF(OR(LEN(TRIM(G93))=0,G93&lt;&gt;INDEX($O$7:$O$55,MATCH(B93,$A$7:$A$55,0))),"页面依据未对齐",IF(AND(LEN(TRIM(L93))&gt;0,OR(COUNTIFS('UI修改清单'!$A$7:$A$200,M93,'UI修改清单'!$B$7:$B$200,B93)&lt;&gt;1,(COUNTIFS('UI修改清单'!$A$7:$A$200,M93,'UI修改清单'!$U$7:$U$200,"复查闭环")+COUNTIFS('UI修改清单'!$A$7:$A$200,M93,'UI修改清单'!$U$7:$U$200,"核对符合")+COUNTIFS('UI修改清单'!$A$7:$A$200,M93,'UI修改清单'!$U$7:$U$200,"有据不适用"))&lt;&gt;1)),"页面问题未闭环","通过")),IF(H93="失败",IF(OR(LEN(TRIM(L93))=0,COUNTIFS('UI修改清单'!$A$7:$A$200,M93,'UI修改清单'!$B$7:$B$200,B93,'UI修改清单'!$D$7:$D$200,"实测问题")&lt;&gt;1),"失败问题未登记","失败已记录"),IF(OR(H93="受阻",H93="依据待确认"),IF(LEN(TRIM(L93))=0,"受阻/缺依据说明待补",IF(H93="受阻","受阻已记录","缺依据已记录")),"结果待填写"))))))))))))))</x:f>
      </x:c>
      <x:c r="P93" s="10" t="str">
        <x:f>IF(B93="","",IF(COUNTIFS('UI检查'!$A$6:$A$54,B93)&lt;&gt;1,"case无效",INDEX('UI检查'!$J$6:$J$54,MATCH(B93,'UI检查'!$A$6:$A$54,0))))</x:f>
      </x:c>
      <x:c r="Q93" s="10" t="str">
        <x:f>IF(B93="","",IF(COUNTIFS('UI检查'!$A$6:$A$54,B93)&lt;&gt;1,"case无效",INDEX('UI检查'!$K$6:$K$54,MATCH(B93,'UI检查'!$A$6:$A$54,0))))</x:f>
      </x:c>
      <x:c r="R93" s="10" t="str">
        <x:f>IF(B93="","",IF(COUNTIFS('UI检查'!$A$6:$A$54,B93)&lt;&gt;1,"case无效",INDEX('UI检查'!$R$6:$R$54,MATCH(B93,'UI检查'!$A$6:$A$54,0))))</x:f>
      </x:c>
    </x:row>
    <x:row r="94" ht="82.5" customHeight="1">
      <x:c r="A94" s="283"/>
      <x:c r="B94" s="283"/>
      <x:c r="C94" s="283"/>
      <x:c r="D94" s="283"/>
      <x:c r="E94" s="283" t="str">
        <x:v>待选择</x:v>
      </x:c>
      <x:c r="F94" s="283"/>
      <x:c r="G94" s="283"/>
      <x:c r="H94" s="283" t="str">
        <x:v>未执行</x:v>
      </x:c>
      <x:c r="I94" s="283"/>
      <x:c r="J94" s="283"/>
      <x:c r="K94" s="283"/>
      <x:c r="L94" s="283"/>
      <x:c r="M94" s="283"/>
      <x:c r="N94" s="283"/>
      <x:c r="O94" s="10" t="str">
        <x:f>IF(AND(A94="",B94=""),"",IF(E94="否",IF(LEN(TRIM(N94))=0,"不适用依据待补","不适用"),IF(E94&lt;&gt;"是","未纳入",IF(LEN(TRIM(A94))=0,"范围ID缺失",IF(COUNTIFS($A$62:$A$1055,A94)&lt;&gt;1,"范围ID重复",IF(COUNTIFS('UI检查'!$A$6:$A$54,B94)&lt;&gt;1,"关联case无效",IF(COUNTIFS($B$62:$B$1055,B94,$C$62:$C$1055,C94,$D$62:$D$1055,D94,$E$62:$E$1055,"是")&lt;&gt;1,"重复页面范围",IF(OR(LEN(TRIM(C94))=0,LEN(TRIM(D94))=0,LEN(TRIM(F94))=0,ISNUMBER(SEARCH("待补",C94))),"页面范围待补",IF(OR(H94="未执行",H94=""),"未执行",IF(OR(LEN(TRIM(I94))=0,I94&lt;&gt;'本批提测'!$B$8),"页面Build需核对",IF(OR(LEN(TRIM(J94))=0,LEN(TRIM(K94))=0),"页面执行证据不齐",IF(H94="通过",IF(OR(LEN(TRIM(G94))=0,G94&lt;&gt;INDEX($O$7:$O$55,MATCH(B94,$A$7:$A$55,0))),"页面依据未对齐",IF(AND(LEN(TRIM(L94))&gt;0,OR(COUNTIFS('UI修改清单'!$A$7:$A$200,M94,'UI修改清单'!$B$7:$B$200,B94)&lt;&gt;1,(COUNTIFS('UI修改清单'!$A$7:$A$200,M94,'UI修改清单'!$U$7:$U$200,"复查闭环")+COUNTIFS('UI修改清单'!$A$7:$A$200,M94,'UI修改清单'!$U$7:$U$200,"核对符合")+COUNTIFS('UI修改清单'!$A$7:$A$200,M94,'UI修改清单'!$U$7:$U$200,"有据不适用"))&lt;&gt;1)),"页面问题未闭环","通过")),IF(H94="失败",IF(OR(LEN(TRIM(L94))=0,COUNTIFS('UI修改清单'!$A$7:$A$200,M94,'UI修改清单'!$B$7:$B$200,B94,'UI修改清单'!$D$7:$D$200,"实测问题")&lt;&gt;1),"失败问题未登记","失败已记录"),IF(OR(H94="受阻",H94="依据待确认"),IF(LEN(TRIM(L94))=0,"受阻/缺依据说明待补",IF(H94="受阻","受阻已记录","缺依据已记录")),"结果待填写"))))))))))))))</x:f>
      </x:c>
      <x:c r="P94" s="10" t="str">
        <x:f>IF(B94="","",IF(COUNTIFS('UI检查'!$A$6:$A$54,B94)&lt;&gt;1,"case无效",INDEX('UI检查'!$J$6:$J$54,MATCH(B94,'UI检查'!$A$6:$A$54,0))))</x:f>
      </x:c>
      <x:c r="Q94" s="10" t="str">
        <x:f>IF(B94="","",IF(COUNTIFS('UI检查'!$A$6:$A$54,B94)&lt;&gt;1,"case无效",INDEX('UI检查'!$K$6:$K$54,MATCH(B94,'UI检查'!$A$6:$A$54,0))))</x:f>
      </x:c>
      <x:c r="R94" s="10" t="str">
        <x:f>IF(B94="","",IF(COUNTIFS('UI检查'!$A$6:$A$54,B94)&lt;&gt;1,"case无效",INDEX('UI检查'!$R$6:$R$54,MATCH(B94,'UI检查'!$A$6:$A$54,0))))</x:f>
      </x:c>
    </x:row>
    <x:row r="95" ht="82.5" customHeight="1">
      <x:c r="A95" s="283"/>
      <x:c r="B95" s="283"/>
      <x:c r="C95" s="283"/>
      <x:c r="D95" s="283"/>
      <x:c r="E95" s="283" t="str">
        <x:v>待选择</x:v>
      </x:c>
      <x:c r="F95" s="283"/>
      <x:c r="G95" s="283"/>
      <x:c r="H95" s="283" t="str">
        <x:v>未执行</x:v>
      </x:c>
      <x:c r="I95" s="283"/>
      <x:c r="J95" s="283"/>
      <x:c r="K95" s="283"/>
      <x:c r="L95" s="283"/>
      <x:c r="M95" s="283"/>
      <x:c r="N95" s="283"/>
      <x:c r="O95" s="10" t="str">
        <x:f>IF(AND(A95="",B95=""),"",IF(E95="否",IF(LEN(TRIM(N95))=0,"不适用依据待补","不适用"),IF(E95&lt;&gt;"是","未纳入",IF(LEN(TRIM(A95))=0,"范围ID缺失",IF(COUNTIFS($A$62:$A$1055,A95)&lt;&gt;1,"范围ID重复",IF(COUNTIFS('UI检查'!$A$6:$A$54,B95)&lt;&gt;1,"关联case无效",IF(COUNTIFS($B$62:$B$1055,B95,$C$62:$C$1055,C95,$D$62:$D$1055,D95,$E$62:$E$1055,"是")&lt;&gt;1,"重复页面范围",IF(OR(LEN(TRIM(C95))=0,LEN(TRIM(D95))=0,LEN(TRIM(F95))=0,ISNUMBER(SEARCH("待补",C95))),"页面范围待补",IF(OR(H95="未执行",H95=""),"未执行",IF(OR(LEN(TRIM(I95))=0,I95&lt;&gt;'本批提测'!$B$8),"页面Build需核对",IF(OR(LEN(TRIM(J95))=0,LEN(TRIM(K95))=0),"页面执行证据不齐",IF(H95="通过",IF(OR(LEN(TRIM(G95))=0,G95&lt;&gt;INDEX($O$7:$O$55,MATCH(B95,$A$7:$A$55,0))),"页面依据未对齐",IF(AND(LEN(TRIM(L95))&gt;0,OR(COUNTIFS('UI修改清单'!$A$7:$A$200,M95,'UI修改清单'!$B$7:$B$200,B95)&lt;&gt;1,(COUNTIFS('UI修改清单'!$A$7:$A$200,M95,'UI修改清单'!$U$7:$U$200,"复查闭环")+COUNTIFS('UI修改清单'!$A$7:$A$200,M95,'UI修改清单'!$U$7:$U$200,"核对符合")+COUNTIFS('UI修改清单'!$A$7:$A$200,M95,'UI修改清单'!$U$7:$U$200,"有据不适用"))&lt;&gt;1)),"页面问题未闭环","通过")),IF(H95="失败",IF(OR(LEN(TRIM(L95))=0,COUNTIFS('UI修改清单'!$A$7:$A$200,M95,'UI修改清单'!$B$7:$B$200,B95,'UI修改清单'!$D$7:$D$200,"实测问题")&lt;&gt;1),"失败问题未登记","失败已记录"),IF(OR(H95="受阻",H95="依据待确认"),IF(LEN(TRIM(L95))=0,"受阻/缺依据说明待补",IF(H95="受阻","受阻已记录","缺依据已记录")),"结果待填写"))))))))))))))</x:f>
      </x:c>
      <x:c r="P95" s="10" t="str">
        <x:f>IF(B95="","",IF(COUNTIFS('UI检查'!$A$6:$A$54,B95)&lt;&gt;1,"case无效",INDEX('UI检查'!$J$6:$J$54,MATCH(B95,'UI检查'!$A$6:$A$54,0))))</x:f>
      </x:c>
      <x:c r="Q95" s="10" t="str">
        <x:f>IF(B95="","",IF(COUNTIFS('UI检查'!$A$6:$A$54,B95)&lt;&gt;1,"case无效",INDEX('UI检查'!$K$6:$K$54,MATCH(B95,'UI检查'!$A$6:$A$54,0))))</x:f>
      </x:c>
      <x:c r="R95" s="10" t="str">
        <x:f>IF(B95="","",IF(COUNTIFS('UI检查'!$A$6:$A$54,B95)&lt;&gt;1,"case无效",INDEX('UI检查'!$R$6:$R$54,MATCH(B95,'UI检查'!$A$6:$A$54,0))))</x:f>
      </x:c>
    </x:row>
    <x:row r="96" ht="82.5" customHeight="1">
      <x:c r="A96" s="283"/>
      <x:c r="B96" s="283"/>
      <x:c r="C96" s="283"/>
      <x:c r="D96" s="283"/>
      <x:c r="E96" s="283" t="str">
        <x:v>待选择</x:v>
      </x:c>
      <x:c r="F96" s="283"/>
      <x:c r="G96" s="283"/>
      <x:c r="H96" s="283" t="str">
        <x:v>未执行</x:v>
      </x:c>
      <x:c r="I96" s="283"/>
      <x:c r="J96" s="283"/>
      <x:c r="K96" s="283"/>
      <x:c r="L96" s="283"/>
      <x:c r="M96" s="283"/>
      <x:c r="N96" s="283"/>
      <x:c r="O96" s="10" t="str">
        <x:f>IF(AND(A96="",B96=""),"",IF(E96="否",IF(LEN(TRIM(N96))=0,"不适用依据待补","不适用"),IF(E96&lt;&gt;"是","未纳入",IF(LEN(TRIM(A96))=0,"范围ID缺失",IF(COUNTIFS($A$62:$A$1055,A96)&lt;&gt;1,"范围ID重复",IF(COUNTIFS('UI检查'!$A$6:$A$54,B96)&lt;&gt;1,"关联case无效",IF(COUNTIFS($B$62:$B$1055,B96,$C$62:$C$1055,C96,$D$62:$D$1055,D96,$E$62:$E$1055,"是")&lt;&gt;1,"重复页面范围",IF(OR(LEN(TRIM(C96))=0,LEN(TRIM(D96))=0,LEN(TRIM(F96))=0,ISNUMBER(SEARCH("待补",C96))),"页面范围待补",IF(OR(H96="未执行",H96=""),"未执行",IF(OR(LEN(TRIM(I96))=0,I96&lt;&gt;'本批提测'!$B$8),"页面Build需核对",IF(OR(LEN(TRIM(J96))=0,LEN(TRIM(K96))=0),"页面执行证据不齐",IF(H96="通过",IF(OR(LEN(TRIM(G96))=0,G96&lt;&gt;INDEX($O$7:$O$55,MATCH(B96,$A$7:$A$55,0))),"页面依据未对齐",IF(AND(LEN(TRIM(L96))&gt;0,OR(COUNTIFS('UI修改清单'!$A$7:$A$200,M96,'UI修改清单'!$B$7:$B$200,B96)&lt;&gt;1,(COUNTIFS('UI修改清单'!$A$7:$A$200,M96,'UI修改清单'!$U$7:$U$200,"复查闭环")+COUNTIFS('UI修改清单'!$A$7:$A$200,M96,'UI修改清单'!$U$7:$U$200,"核对符合")+COUNTIFS('UI修改清单'!$A$7:$A$200,M96,'UI修改清单'!$U$7:$U$200,"有据不适用"))&lt;&gt;1)),"页面问题未闭环","通过")),IF(H96="失败",IF(OR(LEN(TRIM(L96))=0,COUNTIFS('UI修改清单'!$A$7:$A$200,M96,'UI修改清单'!$B$7:$B$200,B96,'UI修改清单'!$D$7:$D$200,"实测问题")&lt;&gt;1),"失败问题未登记","失败已记录"),IF(OR(H96="受阻",H96="依据待确认"),IF(LEN(TRIM(L96))=0,"受阻/缺依据说明待补",IF(H96="受阻","受阻已记录","缺依据已记录")),"结果待填写"))))))))))))))</x:f>
      </x:c>
      <x:c r="P96" s="10" t="str">
        <x:f>IF(B96="","",IF(COUNTIFS('UI检查'!$A$6:$A$54,B96)&lt;&gt;1,"case无效",INDEX('UI检查'!$J$6:$J$54,MATCH(B96,'UI检查'!$A$6:$A$54,0))))</x:f>
      </x:c>
      <x:c r="Q96" s="10" t="str">
        <x:f>IF(B96="","",IF(COUNTIFS('UI检查'!$A$6:$A$54,B96)&lt;&gt;1,"case无效",INDEX('UI检查'!$K$6:$K$54,MATCH(B96,'UI检查'!$A$6:$A$54,0))))</x:f>
      </x:c>
      <x:c r="R96" s="10" t="str">
        <x:f>IF(B96="","",IF(COUNTIFS('UI检查'!$A$6:$A$54,B96)&lt;&gt;1,"case无效",INDEX('UI检查'!$R$6:$R$54,MATCH(B96,'UI检查'!$A$6:$A$54,0))))</x:f>
      </x:c>
    </x:row>
    <x:row r="97" ht="82.5" customHeight="1">
      <x:c r="A97" s="283"/>
      <x:c r="B97" s="283"/>
      <x:c r="C97" s="283"/>
      <x:c r="D97" s="283"/>
      <x:c r="E97" s="283" t="str">
        <x:v>待选择</x:v>
      </x:c>
      <x:c r="F97" s="283"/>
      <x:c r="G97" s="283"/>
      <x:c r="H97" s="283" t="str">
        <x:v>未执行</x:v>
      </x:c>
      <x:c r="I97" s="283"/>
      <x:c r="J97" s="283"/>
      <x:c r="K97" s="283"/>
      <x:c r="L97" s="283"/>
      <x:c r="M97" s="283"/>
      <x:c r="N97" s="283"/>
      <x:c r="O97" s="10" t="str">
        <x:f>IF(AND(A97="",B97=""),"",IF(E97="否",IF(LEN(TRIM(N97))=0,"不适用依据待补","不适用"),IF(E97&lt;&gt;"是","未纳入",IF(LEN(TRIM(A97))=0,"范围ID缺失",IF(COUNTIFS($A$62:$A$1055,A97)&lt;&gt;1,"范围ID重复",IF(COUNTIFS('UI检查'!$A$6:$A$54,B97)&lt;&gt;1,"关联case无效",IF(COUNTIFS($B$62:$B$1055,B97,$C$62:$C$1055,C97,$D$62:$D$1055,D97,$E$62:$E$1055,"是")&lt;&gt;1,"重复页面范围",IF(OR(LEN(TRIM(C97))=0,LEN(TRIM(D97))=0,LEN(TRIM(F97))=0,ISNUMBER(SEARCH("待补",C97))),"页面范围待补",IF(OR(H97="未执行",H97=""),"未执行",IF(OR(LEN(TRIM(I97))=0,I97&lt;&gt;'本批提测'!$B$8),"页面Build需核对",IF(OR(LEN(TRIM(J97))=0,LEN(TRIM(K97))=0),"页面执行证据不齐",IF(H97="通过",IF(OR(LEN(TRIM(G97))=0,G97&lt;&gt;INDEX($O$7:$O$55,MATCH(B97,$A$7:$A$55,0))),"页面依据未对齐",IF(AND(LEN(TRIM(L97))&gt;0,OR(COUNTIFS('UI修改清单'!$A$7:$A$200,M97,'UI修改清单'!$B$7:$B$200,B97)&lt;&gt;1,(COUNTIFS('UI修改清单'!$A$7:$A$200,M97,'UI修改清单'!$U$7:$U$200,"复查闭环")+COUNTIFS('UI修改清单'!$A$7:$A$200,M97,'UI修改清单'!$U$7:$U$200,"核对符合")+COUNTIFS('UI修改清单'!$A$7:$A$200,M97,'UI修改清单'!$U$7:$U$200,"有据不适用"))&lt;&gt;1)),"页面问题未闭环","通过")),IF(H97="失败",IF(OR(LEN(TRIM(L97))=0,COUNTIFS('UI修改清单'!$A$7:$A$200,M97,'UI修改清单'!$B$7:$B$200,B97,'UI修改清单'!$D$7:$D$200,"实测问题")&lt;&gt;1),"失败问题未登记","失败已记录"),IF(OR(H97="受阻",H97="依据待确认"),IF(LEN(TRIM(L97))=0,"受阻/缺依据说明待补",IF(H97="受阻","受阻已记录","缺依据已记录")),"结果待填写"))))))))))))))</x:f>
      </x:c>
      <x:c r="P97" s="10" t="str">
        <x:f>IF(B97="","",IF(COUNTIFS('UI检查'!$A$6:$A$54,B97)&lt;&gt;1,"case无效",INDEX('UI检查'!$J$6:$J$54,MATCH(B97,'UI检查'!$A$6:$A$54,0))))</x:f>
      </x:c>
      <x:c r="Q97" s="10" t="str">
        <x:f>IF(B97="","",IF(COUNTIFS('UI检查'!$A$6:$A$54,B97)&lt;&gt;1,"case无效",INDEX('UI检查'!$K$6:$K$54,MATCH(B97,'UI检查'!$A$6:$A$54,0))))</x:f>
      </x:c>
      <x:c r="R97" s="10" t="str">
        <x:f>IF(B97="","",IF(COUNTIFS('UI检查'!$A$6:$A$54,B97)&lt;&gt;1,"case无效",INDEX('UI检查'!$R$6:$R$54,MATCH(B97,'UI检查'!$A$6:$A$54,0))))</x:f>
      </x:c>
    </x:row>
    <x:row r="98" ht="82.5" customHeight="1">
      <x:c r="A98" s="283"/>
      <x:c r="B98" s="283"/>
      <x:c r="C98" s="283"/>
      <x:c r="D98" s="283"/>
      <x:c r="E98" s="283" t="str">
        <x:v>待选择</x:v>
      </x:c>
      <x:c r="F98" s="283"/>
      <x:c r="G98" s="283"/>
      <x:c r="H98" s="283" t="str">
        <x:v>未执行</x:v>
      </x:c>
      <x:c r="I98" s="283"/>
      <x:c r="J98" s="283"/>
      <x:c r="K98" s="283"/>
      <x:c r="L98" s="283"/>
      <x:c r="M98" s="283"/>
      <x:c r="N98" s="283"/>
      <x:c r="O98" s="10" t="str">
        <x:f>IF(AND(A98="",B98=""),"",IF(E98="否",IF(LEN(TRIM(N98))=0,"不适用依据待补","不适用"),IF(E98&lt;&gt;"是","未纳入",IF(LEN(TRIM(A98))=0,"范围ID缺失",IF(COUNTIFS($A$62:$A$1055,A98)&lt;&gt;1,"范围ID重复",IF(COUNTIFS('UI检查'!$A$6:$A$54,B98)&lt;&gt;1,"关联case无效",IF(COUNTIFS($B$62:$B$1055,B98,$C$62:$C$1055,C98,$D$62:$D$1055,D98,$E$62:$E$1055,"是")&lt;&gt;1,"重复页面范围",IF(OR(LEN(TRIM(C98))=0,LEN(TRIM(D98))=0,LEN(TRIM(F98))=0,ISNUMBER(SEARCH("待补",C98))),"页面范围待补",IF(OR(H98="未执行",H98=""),"未执行",IF(OR(LEN(TRIM(I98))=0,I98&lt;&gt;'本批提测'!$B$8),"页面Build需核对",IF(OR(LEN(TRIM(J98))=0,LEN(TRIM(K98))=0),"页面执行证据不齐",IF(H98="通过",IF(OR(LEN(TRIM(G98))=0,G98&lt;&gt;INDEX($O$7:$O$55,MATCH(B98,$A$7:$A$55,0))),"页面依据未对齐",IF(AND(LEN(TRIM(L98))&gt;0,OR(COUNTIFS('UI修改清单'!$A$7:$A$200,M98,'UI修改清单'!$B$7:$B$200,B98)&lt;&gt;1,(COUNTIFS('UI修改清单'!$A$7:$A$200,M98,'UI修改清单'!$U$7:$U$200,"复查闭环")+COUNTIFS('UI修改清单'!$A$7:$A$200,M98,'UI修改清单'!$U$7:$U$200,"核对符合")+COUNTIFS('UI修改清单'!$A$7:$A$200,M98,'UI修改清单'!$U$7:$U$200,"有据不适用"))&lt;&gt;1)),"页面问题未闭环","通过")),IF(H98="失败",IF(OR(LEN(TRIM(L98))=0,COUNTIFS('UI修改清单'!$A$7:$A$200,M98,'UI修改清单'!$B$7:$B$200,B98,'UI修改清单'!$D$7:$D$200,"实测问题")&lt;&gt;1),"失败问题未登记","失败已记录"),IF(OR(H98="受阻",H98="依据待确认"),IF(LEN(TRIM(L98))=0,"受阻/缺依据说明待补",IF(H98="受阻","受阻已记录","缺依据已记录")),"结果待填写"))))))))))))))</x:f>
      </x:c>
      <x:c r="P98" s="10" t="str">
        <x:f>IF(B98="","",IF(COUNTIFS('UI检查'!$A$6:$A$54,B98)&lt;&gt;1,"case无效",INDEX('UI检查'!$J$6:$J$54,MATCH(B98,'UI检查'!$A$6:$A$54,0))))</x:f>
      </x:c>
      <x:c r="Q98" s="10" t="str">
        <x:f>IF(B98="","",IF(COUNTIFS('UI检查'!$A$6:$A$54,B98)&lt;&gt;1,"case无效",INDEX('UI检查'!$K$6:$K$54,MATCH(B98,'UI检查'!$A$6:$A$54,0))))</x:f>
      </x:c>
      <x:c r="R98" s="10" t="str">
        <x:f>IF(B98="","",IF(COUNTIFS('UI检查'!$A$6:$A$54,B98)&lt;&gt;1,"case无效",INDEX('UI检查'!$R$6:$R$54,MATCH(B98,'UI检查'!$A$6:$A$54,0))))</x:f>
      </x:c>
    </x:row>
    <x:row r="99" ht="82.5" customHeight="1">
      <x:c r="A99" s="283"/>
      <x:c r="B99" s="283"/>
      <x:c r="C99" s="283"/>
      <x:c r="D99" s="283"/>
      <x:c r="E99" s="283" t="str">
        <x:v>待选择</x:v>
      </x:c>
      <x:c r="F99" s="283"/>
      <x:c r="G99" s="283"/>
      <x:c r="H99" s="283" t="str">
        <x:v>未执行</x:v>
      </x:c>
      <x:c r="I99" s="283"/>
      <x:c r="J99" s="283"/>
      <x:c r="K99" s="283"/>
      <x:c r="L99" s="283"/>
      <x:c r="M99" s="283"/>
      <x:c r="N99" s="283"/>
      <x:c r="O99" s="10" t="str">
        <x:f>IF(AND(A99="",B99=""),"",IF(E99="否",IF(LEN(TRIM(N99))=0,"不适用依据待补","不适用"),IF(E99&lt;&gt;"是","未纳入",IF(LEN(TRIM(A99))=0,"范围ID缺失",IF(COUNTIFS($A$62:$A$1055,A99)&lt;&gt;1,"范围ID重复",IF(COUNTIFS('UI检查'!$A$6:$A$54,B99)&lt;&gt;1,"关联case无效",IF(COUNTIFS($B$62:$B$1055,B99,$C$62:$C$1055,C99,$D$62:$D$1055,D99,$E$62:$E$1055,"是")&lt;&gt;1,"重复页面范围",IF(OR(LEN(TRIM(C99))=0,LEN(TRIM(D99))=0,LEN(TRIM(F99))=0,ISNUMBER(SEARCH("待补",C99))),"页面范围待补",IF(OR(H99="未执行",H99=""),"未执行",IF(OR(LEN(TRIM(I99))=0,I99&lt;&gt;'本批提测'!$B$8),"页面Build需核对",IF(OR(LEN(TRIM(J99))=0,LEN(TRIM(K99))=0),"页面执行证据不齐",IF(H99="通过",IF(OR(LEN(TRIM(G99))=0,G99&lt;&gt;INDEX($O$7:$O$55,MATCH(B99,$A$7:$A$55,0))),"页面依据未对齐",IF(AND(LEN(TRIM(L99))&gt;0,OR(COUNTIFS('UI修改清单'!$A$7:$A$200,M99,'UI修改清单'!$B$7:$B$200,B99)&lt;&gt;1,(COUNTIFS('UI修改清单'!$A$7:$A$200,M99,'UI修改清单'!$U$7:$U$200,"复查闭环")+COUNTIFS('UI修改清单'!$A$7:$A$200,M99,'UI修改清单'!$U$7:$U$200,"核对符合")+COUNTIFS('UI修改清单'!$A$7:$A$200,M99,'UI修改清单'!$U$7:$U$200,"有据不适用"))&lt;&gt;1)),"页面问题未闭环","通过")),IF(H99="失败",IF(OR(LEN(TRIM(L99))=0,COUNTIFS('UI修改清单'!$A$7:$A$200,M99,'UI修改清单'!$B$7:$B$200,B99,'UI修改清单'!$D$7:$D$200,"实测问题")&lt;&gt;1),"失败问题未登记","失败已记录"),IF(OR(H99="受阻",H99="依据待确认"),IF(LEN(TRIM(L99))=0,"受阻/缺依据说明待补",IF(H99="受阻","受阻已记录","缺依据已记录")),"结果待填写"))))))))))))))</x:f>
      </x:c>
      <x:c r="P99" s="10" t="str">
        <x:f>IF(B99="","",IF(COUNTIFS('UI检查'!$A$6:$A$54,B99)&lt;&gt;1,"case无效",INDEX('UI检查'!$J$6:$J$54,MATCH(B99,'UI检查'!$A$6:$A$54,0))))</x:f>
      </x:c>
      <x:c r="Q99" s="10" t="str">
        <x:f>IF(B99="","",IF(COUNTIFS('UI检查'!$A$6:$A$54,B99)&lt;&gt;1,"case无效",INDEX('UI检查'!$K$6:$K$54,MATCH(B99,'UI检查'!$A$6:$A$54,0))))</x:f>
      </x:c>
      <x:c r="R99" s="10" t="str">
        <x:f>IF(B99="","",IF(COUNTIFS('UI检查'!$A$6:$A$54,B99)&lt;&gt;1,"case无效",INDEX('UI检查'!$R$6:$R$54,MATCH(B99,'UI检查'!$A$6:$A$54,0))))</x:f>
      </x:c>
    </x:row>
    <x:row r="100" ht="82.5" customHeight="1">
      <x:c r="A100" s="283"/>
      <x:c r="B100" s="283"/>
      <x:c r="C100" s="283"/>
      <x:c r="D100" s="283"/>
      <x:c r="E100" s="283" t="str">
        <x:v>待选择</x:v>
      </x:c>
      <x:c r="F100" s="283"/>
      <x:c r="G100" s="283"/>
      <x:c r="H100" s="283" t="str">
        <x:v>未执行</x:v>
      </x:c>
      <x:c r="I100" s="283"/>
      <x:c r="J100" s="283"/>
      <x:c r="K100" s="283"/>
      <x:c r="L100" s="283"/>
      <x:c r="M100" s="283"/>
      <x:c r="N100" s="283"/>
      <x:c r="O100" s="10" t="str">
        <x:f>IF(AND(A100="",B100=""),"",IF(E100="否",IF(LEN(TRIM(N100))=0,"不适用依据待补","不适用"),IF(E100&lt;&gt;"是","未纳入",IF(LEN(TRIM(A100))=0,"范围ID缺失",IF(COUNTIFS($A$62:$A$1055,A100)&lt;&gt;1,"范围ID重复",IF(COUNTIFS('UI检查'!$A$6:$A$54,B100)&lt;&gt;1,"关联case无效",IF(COUNTIFS($B$62:$B$1055,B100,$C$62:$C$1055,C100,$D$62:$D$1055,D100,$E$62:$E$1055,"是")&lt;&gt;1,"重复页面范围",IF(OR(LEN(TRIM(C100))=0,LEN(TRIM(D100))=0,LEN(TRIM(F100))=0,ISNUMBER(SEARCH("待补",C100))),"页面范围待补",IF(OR(H100="未执行",H100=""),"未执行",IF(OR(LEN(TRIM(I100))=0,I100&lt;&gt;'本批提测'!$B$8),"页面Build需核对",IF(OR(LEN(TRIM(J100))=0,LEN(TRIM(K100))=0),"页面执行证据不齐",IF(H100="通过",IF(OR(LEN(TRIM(G100))=0,G100&lt;&gt;INDEX($O$7:$O$55,MATCH(B100,$A$7:$A$55,0))),"页面依据未对齐",IF(AND(LEN(TRIM(L100))&gt;0,OR(COUNTIFS('UI修改清单'!$A$7:$A$200,M100,'UI修改清单'!$B$7:$B$200,B100)&lt;&gt;1,(COUNTIFS('UI修改清单'!$A$7:$A$200,M100,'UI修改清单'!$U$7:$U$200,"复查闭环")+COUNTIFS('UI修改清单'!$A$7:$A$200,M100,'UI修改清单'!$U$7:$U$200,"核对符合")+COUNTIFS('UI修改清单'!$A$7:$A$200,M100,'UI修改清单'!$U$7:$U$200,"有据不适用"))&lt;&gt;1)),"页面问题未闭环","通过")),IF(H100="失败",IF(OR(LEN(TRIM(L100))=0,COUNTIFS('UI修改清单'!$A$7:$A$200,M100,'UI修改清单'!$B$7:$B$200,B100,'UI修改清单'!$D$7:$D$200,"实测问题")&lt;&gt;1),"失败问题未登记","失败已记录"),IF(OR(H100="受阻",H100="依据待确认"),IF(LEN(TRIM(L100))=0,"受阻/缺依据说明待补",IF(H100="受阻","受阻已记录","缺依据已记录")),"结果待填写"))))))))))))))</x:f>
      </x:c>
      <x:c r="P100" s="10" t="str">
        <x:f>IF(B100="","",IF(COUNTIFS('UI检查'!$A$6:$A$54,B100)&lt;&gt;1,"case无效",INDEX('UI检查'!$J$6:$J$54,MATCH(B100,'UI检查'!$A$6:$A$54,0))))</x:f>
      </x:c>
      <x:c r="Q100" s="10" t="str">
        <x:f>IF(B100="","",IF(COUNTIFS('UI检查'!$A$6:$A$54,B100)&lt;&gt;1,"case无效",INDEX('UI检查'!$K$6:$K$54,MATCH(B100,'UI检查'!$A$6:$A$54,0))))</x:f>
      </x:c>
      <x:c r="R100" s="10" t="str">
        <x:f>IF(B100="","",IF(COUNTIFS('UI检查'!$A$6:$A$54,B100)&lt;&gt;1,"case无效",INDEX('UI检查'!$R$6:$R$54,MATCH(B100,'UI检查'!$A$6:$A$54,0))))</x:f>
      </x:c>
    </x:row>
    <x:row r="101" ht="82.5" customHeight="1">
      <x:c r="A101" s="283"/>
      <x:c r="B101" s="283"/>
      <x:c r="C101" s="283"/>
      <x:c r="D101" s="283"/>
      <x:c r="E101" s="283" t="str">
        <x:v>待选择</x:v>
      </x:c>
      <x:c r="F101" s="283"/>
      <x:c r="G101" s="283"/>
      <x:c r="H101" s="283" t="str">
        <x:v>未执行</x:v>
      </x:c>
      <x:c r="I101" s="283"/>
      <x:c r="J101" s="283"/>
      <x:c r="K101" s="283"/>
      <x:c r="L101" s="283"/>
      <x:c r="M101" s="283"/>
      <x:c r="N101" s="283"/>
      <x:c r="O101" s="10" t="str">
        <x:f>IF(AND(A101="",B101=""),"",IF(E101="否",IF(LEN(TRIM(N101))=0,"不适用依据待补","不适用"),IF(E101&lt;&gt;"是","未纳入",IF(LEN(TRIM(A101))=0,"范围ID缺失",IF(COUNTIFS($A$62:$A$1055,A101)&lt;&gt;1,"范围ID重复",IF(COUNTIFS('UI检查'!$A$6:$A$54,B101)&lt;&gt;1,"关联case无效",IF(COUNTIFS($B$62:$B$1055,B101,$C$62:$C$1055,C101,$D$62:$D$1055,D101,$E$62:$E$1055,"是")&lt;&gt;1,"重复页面范围",IF(OR(LEN(TRIM(C101))=0,LEN(TRIM(D101))=0,LEN(TRIM(F101))=0,ISNUMBER(SEARCH("待补",C101))),"页面范围待补",IF(OR(H101="未执行",H101=""),"未执行",IF(OR(LEN(TRIM(I101))=0,I101&lt;&gt;'本批提测'!$B$8),"页面Build需核对",IF(OR(LEN(TRIM(J101))=0,LEN(TRIM(K101))=0),"页面执行证据不齐",IF(H101="通过",IF(OR(LEN(TRIM(G101))=0,G101&lt;&gt;INDEX($O$7:$O$55,MATCH(B101,$A$7:$A$55,0))),"页面依据未对齐",IF(AND(LEN(TRIM(L101))&gt;0,OR(COUNTIFS('UI修改清单'!$A$7:$A$200,M101,'UI修改清单'!$B$7:$B$200,B101)&lt;&gt;1,(COUNTIFS('UI修改清单'!$A$7:$A$200,M101,'UI修改清单'!$U$7:$U$200,"复查闭环")+COUNTIFS('UI修改清单'!$A$7:$A$200,M101,'UI修改清单'!$U$7:$U$200,"核对符合")+COUNTIFS('UI修改清单'!$A$7:$A$200,M101,'UI修改清单'!$U$7:$U$200,"有据不适用"))&lt;&gt;1)),"页面问题未闭环","通过")),IF(H101="失败",IF(OR(LEN(TRIM(L101))=0,COUNTIFS('UI修改清单'!$A$7:$A$200,M101,'UI修改清单'!$B$7:$B$200,B101,'UI修改清单'!$D$7:$D$200,"实测问题")&lt;&gt;1),"失败问题未登记","失败已记录"),IF(OR(H101="受阻",H101="依据待确认"),IF(LEN(TRIM(L101))=0,"受阻/缺依据说明待补",IF(H101="受阻","受阻已记录","缺依据已记录")),"结果待填写"))))))))))))))</x:f>
      </x:c>
      <x:c r="P101" s="10" t="str">
        <x:f>IF(B101="","",IF(COUNTIFS('UI检查'!$A$6:$A$54,B101)&lt;&gt;1,"case无效",INDEX('UI检查'!$J$6:$J$54,MATCH(B101,'UI检查'!$A$6:$A$54,0))))</x:f>
      </x:c>
      <x:c r="Q101" s="10" t="str">
        <x:f>IF(B101="","",IF(COUNTIFS('UI检查'!$A$6:$A$54,B101)&lt;&gt;1,"case无效",INDEX('UI检查'!$K$6:$K$54,MATCH(B101,'UI检查'!$A$6:$A$54,0))))</x:f>
      </x:c>
      <x:c r="R101" s="10" t="str">
        <x:f>IF(B101="","",IF(COUNTIFS('UI检查'!$A$6:$A$54,B101)&lt;&gt;1,"case无效",INDEX('UI检查'!$R$6:$R$54,MATCH(B101,'UI检查'!$A$6:$A$54,0))))</x:f>
      </x:c>
    </x:row>
    <x:row r="102" ht="82.5" customHeight="1">
      <x:c r="A102" s="283"/>
      <x:c r="B102" s="283"/>
      <x:c r="C102" s="283"/>
      <x:c r="D102" s="283"/>
      <x:c r="E102" s="283" t="str">
        <x:v>待选择</x:v>
      </x:c>
      <x:c r="F102" s="283"/>
      <x:c r="G102" s="283"/>
      <x:c r="H102" s="283" t="str">
        <x:v>未执行</x:v>
      </x:c>
      <x:c r="I102" s="283"/>
      <x:c r="J102" s="283"/>
      <x:c r="K102" s="283"/>
      <x:c r="L102" s="283"/>
      <x:c r="M102" s="283"/>
      <x:c r="N102" s="283"/>
      <x:c r="O102" s="10" t="str">
        <x:f>IF(AND(A102="",B102=""),"",IF(E102="否",IF(LEN(TRIM(N102))=0,"不适用依据待补","不适用"),IF(E102&lt;&gt;"是","未纳入",IF(LEN(TRIM(A102))=0,"范围ID缺失",IF(COUNTIFS($A$62:$A$1055,A102)&lt;&gt;1,"范围ID重复",IF(COUNTIFS('UI检查'!$A$6:$A$54,B102)&lt;&gt;1,"关联case无效",IF(COUNTIFS($B$62:$B$1055,B102,$C$62:$C$1055,C102,$D$62:$D$1055,D102,$E$62:$E$1055,"是")&lt;&gt;1,"重复页面范围",IF(OR(LEN(TRIM(C102))=0,LEN(TRIM(D102))=0,LEN(TRIM(F102))=0,ISNUMBER(SEARCH("待补",C102))),"页面范围待补",IF(OR(H102="未执行",H102=""),"未执行",IF(OR(LEN(TRIM(I102))=0,I102&lt;&gt;'本批提测'!$B$8),"页面Build需核对",IF(OR(LEN(TRIM(J102))=0,LEN(TRIM(K102))=0),"页面执行证据不齐",IF(H102="通过",IF(OR(LEN(TRIM(G102))=0,G102&lt;&gt;INDEX($O$7:$O$55,MATCH(B102,$A$7:$A$55,0))),"页面依据未对齐",IF(AND(LEN(TRIM(L102))&gt;0,OR(COUNTIFS('UI修改清单'!$A$7:$A$200,M102,'UI修改清单'!$B$7:$B$200,B102)&lt;&gt;1,(COUNTIFS('UI修改清单'!$A$7:$A$200,M102,'UI修改清单'!$U$7:$U$200,"复查闭环")+COUNTIFS('UI修改清单'!$A$7:$A$200,M102,'UI修改清单'!$U$7:$U$200,"核对符合")+COUNTIFS('UI修改清单'!$A$7:$A$200,M102,'UI修改清单'!$U$7:$U$200,"有据不适用"))&lt;&gt;1)),"页面问题未闭环","通过")),IF(H102="失败",IF(OR(LEN(TRIM(L102))=0,COUNTIFS('UI修改清单'!$A$7:$A$200,M102,'UI修改清单'!$B$7:$B$200,B102,'UI修改清单'!$D$7:$D$200,"实测问题")&lt;&gt;1),"失败问题未登记","失败已记录"),IF(OR(H102="受阻",H102="依据待确认"),IF(LEN(TRIM(L102))=0,"受阻/缺依据说明待补",IF(H102="受阻","受阻已记录","缺依据已记录")),"结果待填写"))))))))))))))</x:f>
      </x:c>
      <x:c r="P102" s="10" t="str">
        <x:f>IF(B102="","",IF(COUNTIFS('UI检查'!$A$6:$A$54,B102)&lt;&gt;1,"case无效",INDEX('UI检查'!$J$6:$J$54,MATCH(B102,'UI检查'!$A$6:$A$54,0))))</x:f>
      </x:c>
      <x:c r="Q102" s="10" t="str">
        <x:f>IF(B102="","",IF(COUNTIFS('UI检查'!$A$6:$A$54,B102)&lt;&gt;1,"case无效",INDEX('UI检查'!$K$6:$K$54,MATCH(B102,'UI检查'!$A$6:$A$54,0))))</x:f>
      </x:c>
      <x:c r="R102" s="10" t="str">
        <x:f>IF(B102="","",IF(COUNTIFS('UI检查'!$A$6:$A$54,B102)&lt;&gt;1,"case无效",INDEX('UI检查'!$R$6:$R$54,MATCH(B102,'UI检查'!$A$6:$A$54,0))))</x:f>
      </x:c>
    </x:row>
    <x:row r="103" ht="82.5" customHeight="1">
      <x:c r="A103" s="283"/>
      <x:c r="B103" s="283"/>
      <x:c r="C103" s="283"/>
      <x:c r="D103" s="283"/>
      <x:c r="E103" s="283" t="str">
        <x:v>待选择</x:v>
      </x:c>
      <x:c r="F103" s="283"/>
      <x:c r="G103" s="283"/>
      <x:c r="H103" s="283" t="str">
        <x:v>未执行</x:v>
      </x:c>
      <x:c r="I103" s="283"/>
      <x:c r="J103" s="283"/>
      <x:c r="K103" s="283"/>
      <x:c r="L103" s="283"/>
      <x:c r="M103" s="283"/>
      <x:c r="N103" s="283"/>
      <x:c r="O103" s="10" t="str">
        <x:f>IF(AND(A103="",B103=""),"",IF(E103="否",IF(LEN(TRIM(N103))=0,"不适用依据待补","不适用"),IF(E103&lt;&gt;"是","未纳入",IF(LEN(TRIM(A103))=0,"范围ID缺失",IF(COUNTIFS($A$62:$A$1055,A103)&lt;&gt;1,"范围ID重复",IF(COUNTIFS('UI检查'!$A$6:$A$54,B103)&lt;&gt;1,"关联case无效",IF(COUNTIFS($B$62:$B$1055,B103,$C$62:$C$1055,C103,$D$62:$D$1055,D103,$E$62:$E$1055,"是")&lt;&gt;1,"重复页面范围",IF(OR(LEN(TRIM(C103))=0,LEN(TRIM(D103))=0,LEN(TRIM(F103))=0,ISNUMBER(SEARCH("待补",C103))),"页面范围待补",IF(OR(H103="未执行",H103=""),"未执行",IF(OR(LEN(TRIM(I103))=0,I103&lt;&gt;'本批提测'!$B$8),"页面Build需核对",IF(OR(LEN(TRIM(J103))=0,LEN(TRIM(K103))=0),"页面执行证据不齐",IF(H103="通过",IF(OR(LEN(TRIM(G103))=0,G103&lt;&gt;INDEX($O$7:$O$55,MATCH(B103,$A$7:$A$55,0))),"页面依据未对齐",IF(AND(LEN(TRIM(L103))&gt;0,OR(COUNTIFS('UI修改清单'!$A$7:$A$200,M103,'UI修改清单'!$B$7:$B$200,B103)&lt;&gt;1,(COUNTIFS('UI修改清单'!$A$7:$A$200,M103,'UI修改清单'!$U$7:$U$200,"复查闭环")+COUNTIFS('UI修改清单'!$A$7:$A$200,M103,'UI修改清单'!$U$7:$U$200,"核对符合")+COUNTIFS('UI修改清单'!$A$7:$A$200,M103,'UI修改清单'!$U$7:$U$200,"有据不适用"))&lt;&gt;1)),"页面问题未闭环","通过")),IF(H103="失败",IF(OR(LEN(TRIM(L103))=0,COUNTIFS('UI修改清单'!$A$7:$A$200,M103,'UI修改清单'!$B$7:$B$200,B103,'UI修改清单'!$D$7:$D$200,"实测问题")&lt;&gt;1),"失败问题未登记","失败已记录"),IF(OR(H103="受阻",H103="依据待确认"),IF(LEN(TRIM(L103))=0,"受阻/缺依据说明待补",IF(H103="受阻","受阻已记录","缺依据已记录")),"结果待填写"))))))))))))))</x:f>
      </x:c>
      <x:c r="P103" s="10" t="str">
        <x:f>IF(B103="","",IF(COUNTIFS('UI检查'!$A$6:$A$54,B103)&lt;&gt;1,"case无效",INDEX('UI检查'!$J$6:$J$54,MATCH(B103,'UI检查'!$A$6:$A$54,0))))</x:f>
      </x:c>
      <x:c r="Q103" s="10" t="str">
        <x:f>IF(B103="","",IF(COUNTIFS('UI检查'!$A$6:$A$54,B103)&lt;&gt;1,"case无效",INDEX('UI检查'!$K$6:$K$54,MATCH(B103,'UI检查'!$A$6:$A$54,0))))</x:f>
      </x:c>
      <x:c r="R103" s="10" t="str">
        <x:f>IF(B103="","",IF(COUNTIFS('UI检查'!$A$6:$A$54,B103)&lt;&gt;1,"case无效",INDEX('UI检查'!$R$6:$R$54,MATCH(B103,'UI检查'!$A$6:$A$54,0))))</x:f>
      </x:c>
    </x:row>
    <x:row r="104" ht="82.5" customHeight="1">
      <x:c r="A104" s="283"/>
      <x:c r="B104" s="283"/>
      <x:c r="C104" s="283"/>
      <x:c r="D104" s="283"/>
      <x:c r="E104" s="283" t="str">
        <x:v>待选择</x:v>
      </x:c>
      <x:c r="F104" s="283"/>
      <x:c r="G104" s="283"/>
      <x:c r="H104" s="283" t="str">
        <x:v>未执行</x:v>
      </x:c>
      <x:c r="I104" s="283"/>
      <x:c r="J104" s="283"/>
      <x:c r="K104" s="283"/>
      <x:c r="L104" s="283"/>
      <x:c r="M104" s="283"/>
      <x:c r="N104" s="283"/>
      <x:c r="O104" s="10" t="str">
        <x:f>IF(AND(A104="",B104=""),"",IF(E104="否",IF(LEN(TRIM(N104))=0,"不适用依据待补","不适用"),IF(E104&lt;&gt;"是","未纳入",IF(LEN(TRIM(A104))=0,"范围ID缺失",IF(COUNTIFS($A$62:$A$1055,A104)&lt;&gt;1,"范围ID重复",IF(COUNTIFS('UI检查'!$A$6:$A$54,B104)&lt;&gt;1,"关联case无效",IF(COUNTIFS($B$62:$B$1055,B104,$C$62:$C$1055,C104,$D$62:$D$1055,D104,$E$62:$E$1055,"是")&lt;&gt;1,"重复页面范围",IF(OR(LEN(TRIM(C104))=0,LEN(TRIM(D104))=0,LEN(TRIM(F104))=0,ISNUMBER(SEARCH("待补",C104))),"页面范围待补",IF(OR(H104="未执行",H104=""),"未执行",IF(OR(LEN(TRIM(I104))=0,I104&lt;&gt;'本批提测'!$B$8),"页面Build需核对",IF(OR(LEN(TRIM(J104))=0,LEN(TRIM(K104))=0),"页面执行证据不齐",IF(H104="通过",IF(OR(LEN(TRIM(G104))=0,G104&lt;&gt;INDEX($O$7:$O$55,MATCH(B104,$A$7:$A$55,0))),"页面依据未对齐",IF(AND(LEN(TRIM(L104))&gt;0,OR(COUNTIFS('UI修改清单'!$A$7:$A$200,M104,'UI修改清单'!$B$7:$B$200,B104)&lt;&gt;1,(COUNTIFS('UI修改清单'!$A$7:$A$200,M104,'UI修改清单'!$U$7:$U$200,"复查闭环")+COUNTIFS('UI修改清单'!$A$7:$A$200,M104,'UI修改清单'!$U$7:$U$200,"核对符合")+COUNTIFS('UI修改清单'!$A$7:$A$200,M104,'UI修改清单'!$U$7:$U$200,"有据不适用"))&lt;&gt;1)),"页面问题未闭环","通过")),IF(H104="失败",IF(OR(LEN(TRIM(L104))=0,COUNTIFS('UI修改清单'!$A$7:$A$200,M104,'UI修改清单'!$B$7:$B$200,B104,'UI修改清单'!$D$7:$D$200,"实测问题")&lt;&gt;1),"失败问题未登记","失败已记录"),IF(OR(H104="受阻",H104="依据待确认"),IF(LEN(TRIM(L104))=0,"受阻/缺依据说明待补",IF(H104="受阻","受阻已记录","缺依据已记录")),"结果待填写"))))))))))))))</x:f>
      </x:c>
      <x:c r="P104" s="10" t="str">
        <x:f>IF(B104="","",IF(COUNTIFS('UI检查'!$A$6:$A$54,B104)&lt;&gt;1,"case无效",INDEX('UI检查'!$J$6:$J$54,MATCH(B104,'UI检查'!$A$6:$A$54,0))))</x:f>
      </x:c>
      <x:c r="Q104" s="10" t="str">
        <x:f>IF(B104="","",IF(COUNTIFS('UI检查'!$A$6:$A$54,B104)&lt;&gt;1,"case无效",INDEX('UI检查'!$K$6:$K$54,MATCH(B104,'UI检查'!$A$6:$A$54,0))))</x:f>
      </x:c>
      <x:c r="R104" s="10" t="str">
        <x:f>IF(B104="","",IF(COUNTIFS('UI检查'!$A$6:$A$54,B104)&lt;&gt;1,"case无效",INDEX('UI检查'!$R$6:$R$54,MATCH(B104,'UI检查'!$A$6:$A$54,0))))</x:f>
      </x:c>
    </x:row>
    <x:row r="105" ht="82.5" customHeight="1">
      <x:c r="A105" s="283"/>
      <x:c r="B105" s="283"/>
      <x:c r="C105" s="283"/>
      <x:c r="D105" s="283"/>
      <x:c r="E105" s="283" t="str">
        <x:v>待选择</x:v>
      </x:c>
      <x:c r="F105" s="283"/>
      <x:c r="G105" s="283"/>
      <x:c r="H105" s="283" t="str">
        <x:v>未执行</x:v>
      </x:c>
      <x:c r="I105" s="283"/>
      <x:c r="J105" s="283"/>
      <x:c r="K105" s="283"/>
      <x:c r="L105" s="283"/>
      <x:c r="M105" s="283"/>
      <x:c r="N105" s="283"/>
      <x:c r="O105" s="10" t="str">
        <x:f>IF(AND(A105="",B105=""),"",IF(E105="否",IF(LEN(TRIM(N105))=0,"不适用依据待补","不适用"),IF(E105&lt;&gt;"是","未纳入",IF(LEN(TRIM(A105))=0,"范围ID缺失",IF(COUNTIFS($A$62:$A$1055,A105)&lt;&gt;1,"范围ID重复",IF(COUNTIFS('UI检查'!$A$6:$A$54,B105)&lt;&gt;1,"关联case无效",IF(COUNTIFS($B$62:$B$1055,B105,$C$62:$C$1055,C105,$D$62:$D$1055,D105,$E$62:$E$1055,"是")&lt;&gt;1,"重复页面范围",IF(OR(LEN(TRIM(C105))=0,LEN(TRIM(D105))=0,LEN(TRIM(F105))=0,ISNUMBER(SEARCH("待补",C105))),"页面范围待补",IF(OR(H105="未执行",H105=""),"未执行",IF(OR(LEN(TRIM(I105))=0,I105&lt;&gt;'本批提测'!$B$8),"页面Build需核对",IF(OR(LEN(TRIM(J105))=0,LEN(TRIM(K105))=0),"页面执行证据不齐",IF(H105="通过",IF(OR(LEN(TRIM(G105))=0,G105&lt;&gt;INDEX($O$7:$O$55,MATCH(B105,$A$7:$A$55,0))),"页面依据未对齐",IF(AND(LEN(TRIM(L105))&gt;0,OR(COUNTIFS('UI修改清单'!$A$7:$A$200,M105,'UI修改清单'!$B$7:$B$200,B105)&lt;&gt;1,(COUNTIFS('UI修改清单'!$A$7:$A$200,M105,'UI修改清单'!$U$7:$U$200,"复查闭环")+COUNTIFS('UI修改清单'!$A$7:$A$200,M105,'UI修改清单'!$U$7:$U$200,"核对符合")+COUNTIFS('UI修改清单'!$A$7:$A$200,M105,'UI修改清单'!$U$7:$U$200,"有据不适用"))&lt;&gt;1)),"页面问题未闭环","通过")),IF(H105="失败",IF(OR(LEN(TRIM(L105))=0,COUNTIFS('UI修改清单'!$A$7:$A$200,M105,'UI修改清单'!$B$7:$B$200,B105,'UI修改清单'!$D$7:$D$200,"实测问题")&lt;&gt;1),"失败问题未登记","失败已记录"),IF(OR(H105="受阻",H105="依据待确认"),IF(LEN(TRIM(L105))=0,"受阻/缺依据说明待补",IF(H105="受阻","受阻已记录","缺依据已记录")),"结果待填写"))))))))))))))</x:f>
      </x:c>
      <x:c r="P105" s="10" t="str">
        <x:f>IF(B105="","",IF(COUNTIFS('UI检查'!$A$6:$A$54,B105)&lt;&gt;1,"case无效",INDEX('UI检查'!$J$6:$J$54,MATCH(B105,'UI检查'!$A$6:$A$54,0))))</x:f>
      </x:c>
      <x:c r="Q105" s="10" t="str">
        <x:f>IF(B105="","",IF(COUNTIFS('UI检查'!$A$6:$A$54,B105)&lt;&gt;1,"case无效",INDEX('UI检查'!$K$6:$K$54,MATCH(B105,'UI检查'!$A$6:$A$54,0))))</x:f>
      </x:c>
      <x:c r="R105" s="10" t="str">
        <x:f>IF(B105="","",IF(COUNTIFS('UI检查'!$A$6:$A$54,B105)&lt;&gt;1,"case无效",INDEX('UI检查'!$R$6:$R$54,MATCH(B105,'UI检查'!$A$6:$A$54,0))))</x:f>
      </x:c>
    </x:row>
    <x:row r="106" ht="82.5" customHeight="1">
      <x:c r="A106" s="283"/>
      <x:c r="B106" s="283"/>
      <x:c r="C106" s="283"/>
      <x:c r="D106" s="283"/>
      <x:c r="E106" s="283" t="str">
        <x:v>待选择</x:v>
      </x:c>
      <x:c r="F106" s="283"/>
      <x:c r="G106" s="283"/>
      <x:c r="H106" s="283" t="str">
        <x:v>未执行</x:v>
      </x:c>
      <x:c r="I106" s="283"/>
      <x:c r="J106" s="283"/>
      <x:c r="K106" s="283"/>
      <x:c r="L106" s="283"/>
      <x:c r="M106" s="283"/>
      <x:c r="N106" s="283"/>
      <x:c r="O106" s="10" t="str">
        <x:f>IF(AND(A106="",B106=""),"",IF(E106="否",IF(LEN(TRIM(N106))=0,"不适用依据待补","不适用"),IF(E106&lt;&gt;"是","未纳入",IF(LEN(TRIM(A106))=0,"范围ID缺失",IF(COUNTIFS($A$62:$A$1055,A106)&lt;&gt;1,"范围ID重复",IF(COUNTIFS('UI检查'!$A$6:$A$54,B106)&lt;&gt;1,"关联case无效",IF(COUNTIFS($B$62:$B$1055,B106,$C$62:$C$1055,C106,$D$62:$D$1055,D106,$E$62:$E$1055,"是")&lt;&gt;1,"重复页面范围",IF(OR(LEN(TRIM(C106))=0,LEN(TRIM(D106))=0,LEN(TRIM(F106))=0,ISNUMBER(SEARCH("待补",C106))),"页面范围待补",IF(OR(H106="未执行",H106=""),"未执行",IF(OR(LEN(TRIM(I106))=0,I106&lt;&gt;'本批提测'!$B$8),"页面Build需核对",IF(OR(LEN(TRIM(J106))=0,LEN(TRIM(K106))=0),"页面执行证据不齐",IF(H106="通过",IF(OR(LEN(TRIM(G106))=0,G106&lt;&gt;INDEX($O$7:$O$55,MATCH(B106,$A$7:$A$55,0))),"页面依据未对齐",IF(AND(LEN(TRIM(L106))&gt;0,OR(COUNTIFS('UI修改清单'!$A$7:$A$200,M106,'UI修改清单'!$B$7:$B$200,B106)&lt;&gt;1,(COUNTIFS('UI修改清单'!$A$7:$A$200,M106,'UI修改清单'!$U$7:$U$200,"复查闭环")+COUNTIFS('UI修改清单'!$A$7:$A$200,M106,'UI修改清单'!$U$7:$U$200,"核对符合")+COUNTIFS('UI修改清单'!$A$7:$A$200,M106,'UI修改清单'!$U$7:$U$200,"有据不适用"))&lt;&gt;1)),"页面问题未闭环","通过")),IF(H106="失败",IF(OR(LEN(TRIM(L106))=0,COUNTIFS('UI修改清单'!$A$7:$A$200,M106,'UI修改清单'!$B$7:$B$200,B106,'UI修改清单'!$D$7:$D$200,"实测问题")&lt;&gt;1),"失败问题未登记","失败已记录"),IF(OR(H106="受阻",H106="依据待确认"),IF(LEN(TRIM(L106))=0,"受阻/缺依据说明待补",IF(H106="受阻","受阻已记录","缺依据已记录")),"结果待填写"))))))))))))))</x:f>
      </x:c>
      <x:c r="P106" s="10" t="str">
        <x:f>IF(B106="","",IF(COUNTIFS('UI检查'!$A$6:$A$54,B106)&lt;&gt;1,"case无效",INDEX('UI检查'!$J$6:$J$54,MATCH(B106,'UI检查'!$A$6:$A$54,0))))</x:f>
      </x:c>
      <x:c r="Q106" s="10" t="str">
        <x:f>IF(B106="","",IF(COUNTIFS('UI检查'!$A$6:$A$54,B106)&lt;&gt;1,"case无效",INDEX('UI检查'!$K$6:$K$54,MATCH(B106,'UI检查'!$A$6:$A$54,0))))</x:f>
      </x:c>
      <x:c r="R106" s="10" t="str">
        <x:f>IF(B106="","",IF(COUNTIFS('UI检查'!$A$6:$A$54,B106)&lt;&gt;1,"case无效",INDEX('UI检查'!$R$6:$R$54,MATCH(B106,'UI检查'!$A$6:$A$54,0))))</x:f>
      </x:c>
    </x:row>
    <x:row r="107" ht="82.5" customHeight="1">
      <x:c r="A107" s="283"/>
      <x:c r="B107" s="283"/>
      <x:c r="C107" s="283"/>
      <x:c r="D107" s="283"/>
      <x:c r="E107" s="283" t="str">
        <x:v>待选择</x:v>
      </x:c>
      <x:c r="F107" s="283"/>
      <x:c r="G107" s="283"/>
      <x:c r="H107" s="283" t="str">
        <x:v>未执行</x:v>
      </x:c>
      <x:c r="I107" s="283"/>
      <x:c r="J107" s="283"/>
      <x:c r="K107" s="283"/>
      <x:c r="L107" s="283"/>
      <x:c r="M107" s="283"/>
      <x:c r="N107" s="283"/>
      <x:c r="O107" s="10" t="str">
        <x:f>IF(AND(A107="",B107=""),"",IF(E107="否",IF(LEN(TRIM(N107))=0,"不适用依据待补","不适用"),IF(E107&lt;&gt;"是","未纳入",IF(LEN(TRIM(A107))=0,"范围ID缺失",IF(COUNTIFS($A$62:$A$1055,A107)&lt;&gt;1,"范围ID重复",IF(COUNTIFS('UI检查'!$A$6:$A$54,B107)&lt;&gt;1,"关联case无效",IF(COUNTIFS($B$62:$B$1055,B107,$C$62:$C$1055,C107,$D$62:$D$1055,D107,$E$62:$E$1055,"是")&lt;&gt;1,"重复页面范围",IF(OR(LEN(TRIM(C107))=0,LEN(TRIM(D107))=0,LEN(TRIM(F107))=0,ISNUMBER(SEARCH("待补",C107))),"页面范围待补",IF(OR(H107="未执行",H107=""),"未执行",IF(OR(LEN(TRIM(I107))=0,I107&lt;&gt;'本批提测'!$B$8),"页面Build需核对",IF(OR(LEN(TRIM(J107))=0,LEN(TRIM(K107))=0),"页面执行证据不齐",IF(H107="通过",IF(OR(LEN(TRIM(G107))=0,G107&lt;&gt;INDEX($O$7:$O$55,MATCH(B107,$A$7:$A$55,0))),"页面依据未对齐",IF(AND(LEN(TRIM(L107))&gt;0,OR(COUNTIFS('UI修改清单'!$A$7:$A$200,M107,'UI修改清单'!$B$7:$B$200,B107)&lt;&gt;1,(COUNTIFS('UI修改清单'!$A$7:$A$200,M107,'UI修改清单'!$U$7:$U$200,"复查闭环")+COUNTIFS('UI修改清单'!$A$7:$A$200,M107,'UI修改清单'!$U$7:$U$200,"核对符合")+COUNTIFS('UI修改清单'!$A$7:$A$200,M107,'UI修改清单'!$U$7:$U$200,"有据不适用"))&lt;&gt;1)),"页面问题未闭环","通过")),IF(H107="失败",IF(OR(LEN(TRIM(L107))=0,COUNTIFS('UI修改清单'!$A$7:$A$200,M107,'UI修改清单'!$B$7:$B$200,B107,'UI修改清单'!$D$7:$D$200,"实测问题")&lt;&gt;1),"失败问题未登记","失败已记录"),IF(OR(H107="受阻",H107="依据待确认"),IF(LEN(TRIM(L107))=0,"受阻/缺依据说明待补",IF(H107="受阻","受阻已记录","缺依据已记录")),"结果待填写"))))))))))))))</x:f>
      </x:c>
      <x:c r="P107" s="10" t="str">
        <x:f>IF(B107="","",IF(COUNTIFS('UI检查'!$A$6:$A$54,B107)&lt;&gt;1,"case无效",INDEX('UI检查'!$J$6:$J$54,MATCH(B107,'UI检查'!$A$6:$A$54,0))))</x:f>
      </x:c>
      <x:c r="Q107" s="10" t="str">
        <x:f>IF(B107="","",IF(COUNTIFS('UI检查'!$A$6:$A$54,B107)&lt;&gt;1,"case无效",INDEX('UI检查'!$K$6:$K$54,MATCH(B107,'UI检查'!$A$6:$A$54,0))))</x:f>
      </x:c>
      <x:c r="R107" s="10" t="str">
        <x:f>IF(B107="","",IF(COUNTIFS('UI检查'!$A$6:$A$54,B107)&lt;&gt;1,"case无效",INDEX('UI检查'!$R$6:$R$54,MATCH(B107,'UI检查'!$A$6:$A$54,0))))</x:f>
      </x:c>
    </x:row>
    <x:row r="108" ht="82.5" customHeight="1">
      <x:c r="A108" s="283"/>
      <x:c r="B108" s="283"/>
      <x:c r="C108" s="283"/>
      <x:c r="D108" s="283"/>
      <x:c r="E108" s="283" t="str">
        <x:v>待选择</x:v>
      </x:c>
      <x:c r="F108" s="283"/>
      <x:c r="G108" s="283"/>
      <x:c r="H108" s="283" t="str">
        <x:v>未执行</x:v>
      </x:c>
      <x:c r="I108" s="283"/>
      <x:c r="J108" s="283"/>
      <x:c r="K108" s="283"/>
      <x:c r="L108" s="283"/>
      <x:c r="M108" s="283"/>
      <x:c r="N108" s="283"/>
      <x:c r="O108" s="10" t="str">
        <x:f>IF(AND(A108="",B108=""),"",IF(E108="否",IF(LEN(TRIM(N108))=0,"不适用依据待补","不适用"),IF(E108&lt;&gt;"是","未纳入",IF(LEN(TRIM(A108))=0,"范围ID缺失",IF(COUNTIFS($A$62:$A$1055,A108)&lt;&gt;1,"范围ID重复",IF(COUNTIFS('UI检查'!$A$6:$A$54,B108)&lt;&gt;1,"关联case无效",IF(COUNTIFS($B$62:$B$1055,B108,$C$62:$C$1055,C108,$D$62:$D$1055,D108,$E$62:$E$1055,"是")&lt;&gt;1,"重复页面范围",IF(OR(LEN(TRIM(C108))=0,LEN(TRIM(D108))=0,LEN(TRIM(F108))=0,ISNUMBER(SEARCH("待补",C108))),"页面范围待补",IF(OR(H108="未执行",H108=""),"未执行",IF(OR(LEN(TRIM(I108))=0,I108&lt;&gt;'本批提测'!$B$8),"页面Build需核对",IF(OR(LEN(TRIM(J108))=0,LEN(TRIM(K108))=0),"页面执行证据不齐",IF(H108="通过",IF(OR(LEN(TRIM(G108))=0,G108&lt;&gt;INDEX($O$7:$O$55,MATCH(B108,$A$7:$A$55,0))),"页面依据未对齐",IF(AND(LEN(TRIM(L108))&gt;0,OR(COUNTIFS('UI修改清单'!$A$7:$A$200,M108,'UI修改清单'!$B$7:$B$200,B108)&lt;&gt;1,(COUNTIFS('UI修改清单'!$A$7:$A$200,M108,'UI修改清单'!$U$7:$U$200,"复查闭环")+COUNTIFS('UI修改清单'!$A$7:$A$200,M108,'UI修改清单'!$U$7:$U$200,"核对符合")+COUNTIFS('UI修改清单'!$A$7:$A$200,M108,'UI修改清单'!$U$7:$U$200,"有据不适用"))&lt;&gt;1)),"页面问题未闭环","通过")),IF(H108="失败",IF(OR(LEN(TRIM(L108))=0,COUNTIFS('UI修改清单'!$A$7:$A$200,M108,'UI修改清单'!$B$7:$B$200,B108,'UI修改清单'!$D$7:$D$200,"实测问题")&lt;&gt;1),"失败问题未登记","失败已记录"),IF(OR(H108="受阻",H108="依据待确认"),IF(LEN(TRIM(L108))=0,"受阻/缺依据说明待补",IF(H108="受阻","受阻已记录","缺依据已记录")),"结果待填写"))))))))))))))</x:f>
      </x:c>
      <x:c r="P108" s="10" t="str">
        <x:f>IF(B108="","",IF(COUNTIFS('UI检查'!$A$6:$A$54,B108)&lt;&gt;1,"case无效",INDEX('UI检查'!$J$6:$J$54,MATCH(B108,'UI检查'!$A$6:$A$54,0))))</x:f>
      </x:c>
      <x:c r="Q108" s="10" t="str">
        <x:f>IF(B108="","",IF(COUNTIFS('UI检查'!$A$6:$A$54,B108)&lt;&gt;1,"case无效",INDEX('UI检查'!$K$6:$K$54,MATCH(B108,'UI检查'!$A$6:$A$54,0))))</x:f>
      </x:c>
      <x:c r="R108" s="10" t="str">
        <x:f>IF(B108="","",IF(COUNTIFS('UI检查'!$A$6:$A$54,B108)&lt;&gt;1,"case无效",INDEX('UI检查'!$R$6:$R$54,MATCH(B108,'UI检查'!$A$6:$A$54,0))))</x:f>
      </x:c>
    </x:row>
    <x:row r="109" ht="82.5" customHeight="1">
      <x:c r="A109" s="283"/>
      <x:c r="B109" s="283"/>
      <x:c r="C109" s="283"/>
      <x:c r="D109" s="283"/>
      <x:c r="E109" s="283" t="str">
        <x:v>待选择</x:v>
      </x:c>
      <x:c r="F109" s="283"/>
      <x:c r="G109" s="283"/>
      <x:c r="H109" s="283" t="str">
        <x:v>未执行</x:v>
      </x:c>
      <x:c r="I109" s="283"/>
      <x:c r="J109" s="283"/>
      <x:c r="K109" s="283"/>
      <x:c r="L109" s="283"/>
      <x:c r="M109" s="283"/>
      <x:c r="N109" s="283"/>
      <x:c r="O109" s="10" t="str">
        <x:f>IF(AND(A109="",B109=""),"",IF(E109="否",IF(LEN(TRIM(N109))=0,"不适用依据待补","不适用"),IF(E109&lt;&gt;"是","未纳入",IF(LEN(TRIM(A109))=0,"范围ID缺失",IF(COUNTIFS($A$62:$A$1055,A109)&lt;&gt;1,"范围ID重复",IF(COUNTIFS('UI检查'!$A$6:$A$54,B109)&lt;&gt;1,"关联case无效",IF(COUNTIFS($B$62:$B$1055,B109,$C$62:$C$1055,C109,$D$62:$D$1055,D109,$E$62:$E$1055,"是")&lt;&gt;1,"重复页面范围",IF(OR(LEN(TRIM(C109))=0,LEN(TRIM(D109))=0,LEN(TRIM(F109))=0,ISNUMBER(SEARCH("待补",C109))),"页面范围待补",IF(OR(H109="未执行",H109=""),"未执行",IF(OR(LEN(TRIM(I109))=0,I109&lt;&gt;'本批提测'!$B$8),"页面Build需核对",IF(OR(LEN(TRIM(J109))=0,LEN(TRIM(K109))=0),"页面执行证据不齐",IF(H109="通过",IF(OR(LEN(TRIM(G109))=0,G109&lt;&gt;INDEX($O$7:$O$55,MATCH(B109,$A$7:$A$55,0))),"页面依据未对齐",IF(AND(LEN(TRIM(L109))&gt;0,OR(COUNTIFS('UI修改清单'!$A$7:$A$200,M109,'UI修改清单'!$B$7:$B$200,B109)&lt;&gt;1,(COUNTIFS('UI修改清单'!$A$7:$A$200,M109,'UI修改清单'!$U$7:$U$200,"复查闭环")+COUNTIFS('UI修改清单'!$A$7:$A$200,M109,'UI修改清单'!$U$7:$U$200,"核对符合")+COUNTIFS('UI修改清单'!$A$7:$A$200,M109,'UI修改清单'!$U$7:$U$200,"有据不适用"))&lt;&gt;1)),"页面问题未闭环","通过")),IF(H109="失败",IF(OR(LEN(TRIM(L109))=0,COUNTIFS('UI修改清单'!$A$7:$A$200,M109,'UI修改清单'!$B$7:$B$200,B109,'UI修改清单'!$D$7:$D$200,"实测问题")&lt;&gt;1),"失败问题未登记","失败已记录"),IF(OR(H109="受阻",H109="依据待确认"),IF(LEN(TRIM(L109))=0,"受阻/缺依据说明待补",IF(H109="受阻","受阻已记录","缺依据已记录")),"结果待填写"))))))))))))))</x:f>
      </x:c>
      <x:c r="P109" s="10" t="str">
        <x:f>IF(B109="","",IF(COUNTIFS('UI检查'!$A$6:$A$54,B109)&lt;&gt;1,"case无效",INDEX('UI检查'!$J$6:$J$54,MATCH(B109,'UI检查'!$A$6:$A$54,0))))</x:f>
      </x:c>
      <x:c r="Q109" s="10" t="str">
        <x:f>IF(B109="","",IF(COUNTIFS('UI检查'!$A$6:$A$54,B109)&lt;&gt;1,"case无效",INDEX('UI检查'!$K$6:$K$54,MATCH(B109,'UI检查'!$A$6:$A$54,0))))</x:f>
      </x:c>
      <x:c r="R109" s="10" t="str">
        <x:f>IF(B109="","",IF(COUNTIFS('UI检查'!$A$6:$A$54,B109)&lt;&gt;1,"case无效",INDEX('UI检查'!$R$6:$R$54,MATCH(B109,'UI检查'!$A$6:$A$54,0))))</x:f>
      </x:c>
    </x:row>
    <x:row r="110" ht="82.5" customHeight="1">
      <x:c r="A110" s="283"/>
      <x:c r="B110" s="283"/>
      <x:c r="C110" s="283"/>
      <x:c r="D110" s="283"/>
      <x:c r="E110" s="283" t="str">
        <x:v>待选择</x:v>
      </x:c>
      <x:c r="F110" s="283"/>
      <x:c r="G110" s="283"/>
      <x:c r="H110" s="283" t="str">
        <x:v>未执行</x:v>
      </x:c>
      <x:c r="I110" s="283"/>
      <x:c r="J110" s="283"/>
      <x:c r="K110" s="283"/>
      <x:c r="L110" s="283"/>
      <x:c r="M110" s="283"/>
      <x:c r="N110" s="283"/>
      <x:c r="O110" s="10" t="str">
        <x:f>IF(AND(A110="",B110=""),"",IF(E110="否",IF(LEN(TRIM(N110))=0,"不适用依据待补","不适用"),IF(E110&lt;&gt;"是","未纳入",IF(LEN(TRIM(A110))=0,"范围ID缺失",IF(COUNTIFS($A$62:$A$1055,A110)&lt;&gt;1,"范围ID重复",IF(COUNTIFS('UI检查'!$A$6:$A$54,B110)&lt;&gt;1,"关联case无效",IF(COUNTIFS($B$62:$B$1055,B110,$C$62:$C$1055,C110,$D$62:$D$1055,D110,$E$62:$E$1055,"是")&lt;&gt;1,"重复页面范围",IF(OR(LEN(TRIM(C110))=0,LEN(TRIM(D110))=0,LEN(TRIM(F110))=0,ISNUMBER(SEARCH("待补",C110))),"页面范围待补",IF(OR(H110="未执行",H110=""),"未执行",IF(OR(LEN(TRIM(I110))=0,I110&lt;&gt;'本批提测'!$B$8),"页面Build需核对",IF(OR(LEN(TRIM(J110))=0,LEN(TRIM(K110))=0),"页面执行证据不齐",IF(H110="通过",IF(OR(LEN(TRIM(G110))=0,G110&lt;&gt;INDEX($O$7:$O$55,MATCH(B110,$A$7:$A$55,0))),"页面依据未对齐",IF(AND(LEN(TRIM(L110))&gt;0,OR(COUNTIFS('UI修改清单'!$A$7:$A$200,M110,'UI修改清单'!$B$7:$B$200,B110)&lt;&gt;1,(COUNTIFS('UI修改清单'!$A$7:$A$200,M110,'UI修改清单'!$U$7:$U$200,"复查闭环")+COUNTIFS('UI修改清单'!$A$7:$A$200,M110,'UI修改清单'!$U$7:$U$200,"核对符合")+COUNTIFS('UI修改清单'!$A$7:$A$200,M110,'UI修改清单'!$U$7:$U$200,"有据不适用"))&lt;&gt;1)),"页面问题未闭环","通过")),IF(H110="失败",IF(OR(LEN(TRIM(L110))=0,COUNTIFS('UI修改清单'!$A$7:$A$200,M110,'UI修改清单'!$B$7:$B$200,B110,'UI修改清单'!$D$7:$D$200,"实测问题")&lt;&gt;1),"失败问题未登记","失败已记录"),IF(OR(H110="受阻",H110="依据待确认"),IF(LEN(TRIM(L110))=0,"受阻/缺依据说明待补",IF(H110="受阻","受阻已记录","缺依据已记录")),"结果待填写"))))))))))))))</x:f>
      </x:c>
      <x:c r="P110" s="10" t="str">
        <x:f>IF(B110="","",IF(COUNTIFS('UI检查'!$A$6:$A$54,B110)&lt;&gt;1,"case无效",INDEX('UI检查'!$J$6:$J$54,MATCH(B110,'UI检查'!$A$6:$A$54,0))))</x:f>
      </x:c>
      <x:c r="Q110" s="10" t="str">
        <x:f>IF(B110="","",IF(COUNTIFS('UI检查'!$A$6:$A$54,B110)&lt;&gt;1,"case无效",INDEX('UI检查'!$K$6:$K$54,MATCH(B110,'UI检查'!$A$6:$A$54,0))))</x:f>
      </x:c>
      <x:c r="R110" s="10" t="str">
        <x:f>IF(B110="","",IF(COUNTIFS('UI检查'!$A$6:$A$54,B110)&lt;&gt;1,"case无效",INDEX('UI检查'!$R$6:$R$54,MATCH(B110,'UI检查'!$A$6:$A$54,0))))</x:f>
      </x:c>
    </x:row>
    <x:row r="111" ht="82.5" customHeight="1">
      <x:c r="A111" s="283"/>
      <x:c r="B111" s="283"/>
      <x:c r="C111" s="283"/>
      <x:c r="D111" s="283"/>
      <x:c r="E111" s="283" t="str">
        <x:v>待选择</x:v>
      </x:c>
      <x:c r="F111" s="283"/>
      <x:c r="G111" s="283"/>
      <x:c r="H111" s="283" t="str">
        <x:v>未执行</x:v>
      </x:c>
      <x:c r="I111" s="283"/>
      <x:c r="J111" s="283"/>
      <x:c r="K111" s="283"/>
      <x:c r="L111" s="283"/>
      <x:c r="M111" s="283"/>
      <x:c r="N111" s="283"/>
      <x:c r="O111" s="10" t="str">
        <x:f>IF(AND(A111="",B111=""),"",IF(E111="否",IF(LEN(TRIM(N111))=0,"不适用依据待补","不适用"),IF(E111&lt;&gt;"是","未纳入",IF(LEN(TRIM(A111))=0,"范围ID缺失",IF(COUNTIFS($A$62:$A$1055,A111)&lt;&gt;1,"范围ID重复",IF(COUNTIFS('UI检查'!$A$6:$A$54,B111)&lt;&gt;1,"关联case无效",IF(COUNTIFS($B$62:$B$1055,B111,$C$62:$C$1055,C111,$D$62:$D$1055,D111,$E$62:$E$1055,"是")&lt;&gt;1,"重复页面范围",IF(OR(LEN(TRIM(C111))=0,LEN(TRIM(D111))=0,LEN(TRIM(F111))=0,ISNUMBER(SEARCH("待补",C111))),"页面范围待补",IF(OR(H111="未执行",H111=""),"未执行",IF(OR(LEN(TRIM(I111))=0,I111&lt;&gt;'本批提测'!$B$8),"页面Build需核对",IF(OR(LEN(TRIM(J111))=0,LEN(TRIM(K111))=0),"页面执行证据不齐",IF(H111="通过",IF(OR(LEN(TRIM(G111))=0,G111&lt;&gt;INDEX($O$7:$O$55,MATCH(B111,$A$7:$A$55,0))),"页面依据未对齐",IF(AND(LEN(TRIM(L111))&gt;0,OR(COUNTIFS('UI修改清单'!$A$7:$A$200,M111,'UI修改清单'!$B$7:$B$200,B111)&lt;&gt;1,(COUNTIFS('UI修改清单'!$A$7:$A$200,M111,'UI修改清单'!$U$7:$U$200,"复查闭环")+COUNTIFS('UI修改清单'!$A$7:$A$200,M111,'UI修改清单'!$U$7:$U$200,"核对符合")+COUNTIFS('UI修改清单'!$A$7:$A$200,M111,'UI修改清单'!$U$7:$U$200,"有据不适用"))&lt;&gt;1)),"页面问题未闭环","通过")),IF(H111="失败",IF(OR(LEN(TRIM(L111))=0,COUNTIFS('UI修改清单'!$A$7:$A$200,M111,'UI修改清单'!$B$7:$B$200,B111,'UI修改清单'!$D$7:$D$200,"实测问题")&lt;&gt;1),"失败问题未登记","失败已记录"),IF(OR(H111="受阻",H111="依据待确认"),IF(LEN(TRIM(L111))=0,"受阻/缺依据说明待补",IF(H111="受阻","受阻已记录","缺依据已记录")),"结果待填写"))))))))))))))</x:f>
      </x:c>
      <x:c r="P111" s="10" t="str">
        <x:f>IF(B111="","",IF(COUNTIFS('UI检查'!$A$6:$A$54,B111)&lt;&gt;1,"case无效",INDEX('UI检查'!$J$6:$J$54,MATCH(B111,'UI检查'!$A$6:$A$54,0))))</x:f>
      </x:c>
      <x:c r="Q111" s="10" t="str">
        <x:f>IF(B111="","",IF(COUNTIFS('UI检查'!$A$6:$A$54,B111)&lt;&gt;1,"case无效",INDEX('UI检查'!$K$6:$K$54,MATCH(B111,'UI检查'!$A$6:$A$54,0))))</x:f>
      </x:c>
      <x:c r="R111" s="10" t="str">
        <x:f>IF(B111="","",IF(COUNTIFS('UI检查'!$A$6:$A$54,B111)&lt;&gt;1,"case无效",INDEX('UI检查'!$R$6:$R$54,MATCH(B111,'UI检查'!$A$6:$A$54,0))))</x:f>
      </x:c>
    </x:row>
  </x:sheetData>
  <x:mergeCells>
    <x:mergeCell ref="A2:T2"/>
    <x:mergeCell ref="A3:T3"/>
    <x:mergeCell ref="A5:T5"/>
    <x:mergeCell ref="A57:Q57"/>
    <x:mergeCell ref="A58:Q58"/>
    <x:mergeCell ref="A59:Q59"/>
  </x:mergeCells>
  <x:conditionalFormatting sqref="S7:S55">
    <x:cfRule type="containsText" dxfId="129" priority="1" operator="containsText" text="失败"/>
    <x:cfRule type="containsText" dxfId="130" priority="2" operator="containsText" text="待"/>
  </x:conditionalFormatting>
  <x:conditionalFormatting sqref="T7:T55">
    <x:cfRule type="containsText" dxfId="131" priority="3" operator="containsText" text="失败"/>
    <x:cfRule type="containsText" dxfId="132" priority="4" operator="containsText" text="待"/>
  </x:conditionalFormatting>
  <x:dataValidations count="5">
    <x:dataValidation type="list" sqref="H7:H55">
      <x:formula1>"待选择,是,否"</x:formula1>
    </x:dataValidation>
    <x:dataValidation type="list" sqref="I7:I55">
      <x:formula1>"未走查,走查中,已走查,待复查,已复查"</x:formula1>
    </x:dataValidation>
    <x:dataValidation type="list" sqref="U7:U55">
      <x:formula1>"待确认,已确认"</x:formula1>
    </x:dataValidation>
    <x:dataValidation type="list" sqref="E62:E111">
      <x:formula1>"待选择,是,否"</x:formula1>
    </x:dataValidation>
    <x:dataValidation type="list" sqref="H62:H111">
      <x:formula1>"未执行,通过,失败,受阻,依据待确认"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c34d9adbb67439a"/>
    <x:tablePart xmlns:r="http://schemas.openxmlformats.org/officeDocument/2006/relationships" r:id="R73881c79f60a4a44"/>
  </x:tableParts>
</x:worksheet>
</file>

<file path=xl/worksheets/sheet8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3.75" hidden="0" customWidth="1"/>
    <x:col min="3" max="3" width="26.25" hidden="0" customWidth="1"/>
    <x:col min="4" max="4" width="19.3799991607666" hidden="0" customWidth="1"/>
    <x:col min="5" max="5" width="24.3799991607666" hidden="0" customWidth="1"/>
    <x:col min="6" max="6" width="61.25" hidden="0" customWidth="1"/>
    <x:col min="7" max="7" width="58.75" hidden="0" customWidth="1"/>
    <x:col min="8" max="8" width="20.6299991607666" hidden="0" customWidth="1"/>
    <x:col min="9" max="9" width="52.5" hidden="0" customWidth="1"/>
    <x:col min="10" max="10" width="19.3799991607666" hidden="0" customWidth="1"/>
    <x:col min="11" max="11" width="22.5" hidden="0" customWidth="1"/>
    <x:col min="12" max="12" width="16.8799991607666" hidden="0" customWidth="1"/>
    <x:col min="13" max="13" width="20.6299991607666" hidden="0" customWidth="1"/>
    <x:col min="14" max="14" width="21.25" hidden="0" customWidth="1"/>
    <x:col min="15" max="15" width="19.3799991607666" hidden="0" customWidth="1"/>
    <x:col min="16" max="16" width="52.5" hidden="0" customWidth="1"/>
    <x:col min="17" max="17" width="17.5" hidden="0" customWidth="1"/>
    <x:col min="18" max="18" width="17.5" hidden="0" customWidth="1"/>
    <x:col min="19" max="19" width="50" hidden="0" customWidth="1"/>
    <x:col min="20" max="20" width="52.5" hidden="0" customWidth="1"/>
    <x:col min="21" max="21" width="27.5" hidden="0" customWidth="1"/>
  </x:cols>
  <x:sheetData>
    <x:row r="2" ht="33" customHeight="1">
      <x:c r="A2" s="244" t="str">
        <x:v>UI修改清单：候选核对、实际问题与复查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  <x:c r="U2" s="244"/>
    </x:row>
    <x:row r="3" ht="48.75" customHeight="1">
      <x:c r="A3" s="10" t="str">
        <x:v>预置21条Review待核对候选，当前不是21个实测缺陷。走查发现实际问题或缺依据后更新类型、复现证据和影响；同case可在空行新增多项。设计完成不等于问题闭环。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 t="str">
        <x:v>Review候选</x:v>
      </x:c>
      <x:c r="B4" s="10" t="n">
        <x:f>COUNTIFS(D7:D200,"Review待核对")</x:f>
        <x:v>21</x:v>
      </x:c>
      <x:c r="C4" s="10"/>
      <x:c r="D4" s="10" t="str">
        <x:v>实测问题</x:v>
      </x:c>
      <x:c r="E4" s="10" t="n">
        <x:f>COUNTIFS(D7:D200,"实测问题")</x:f>
        <x:v>0</x:v>
      </x:c>
      <x:c r="F4" s="10"/>
      <x:c r="G4" s="10" t="str">
        <x:v>复查闭环</x:v>
      </x:c>
      <x:c r="H4" s="10" t="n">
        <x:f>COUNTIFS(U7:U200,"复查闭环")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 ht="37.5" customHeight="1">
      <x:c r="A5" s="10" t="str">
        <x:v>候选核对符合可记无需整改并留当前Build/依据/核对证据；发现差异则转实测问题或缺依据事项后修复/复查。后置不等于通过，关键阻断/业务未明不可后置。下方10空行供新增，超出时复制U公式，统计至200行。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</x:row>
    <x:row r="6" ht="46.5" customHeight="1">
      <x:c r="A6" s="246" t="str">
        <x:v>清单ID</x:v>
      </x:c>
      <x:c r="B6" s="246" t="str">
        <x:v>关联UI case</x:v>
      </x:c>
      <x:c r="C6" s="246" t="str">
        <x:v>页面/组件</x:v>
      </x:c>
      <x:c r="D6" s="246" t="str">
        <x:v>记录类型</x:v>
      </x:c>
      <x:c r="E6" s="246" t="str">
        <x:v>适配层级</x:v>
      </x:c>
      <x:c r="F6" s="246" t="str">
        <x:v>待核对点/实际问题</x:v>
      </x:c>
      <x:c r="G6" s="246" t="str">
        <x:v>处理建议</x:v>
      </x:c>
      <x:c r="H6" s="246" t="str">
        <x:v>实际影响</x:v>
      </x:c>
      <x:c r="I6" s="246" t="str">
        <x:v>复现/现象证据</x:v>
      </x:c>
      <x:c r="J6" s="246" t="str">
        <x:v>发现Build</x:v>
      </x:c>
      <x:c r="K6" s="246" t="str">
        <x:v>来源处理角色（参考）</x:v>
      </x:c>
      <x:c r="L6" s="246" t="str">
        <x:v>本批责任人</x:v>
      </x:c>
      <x:c r="M6" s="246" t="str">
        <x:v>计划修复版本</x:v>
      </x:c>
      <x:c r="N6" s="246" t="str">
        <x:v>处理状态</x:v>
      </x:c>
      <x:c r="O6" s="246" t="str">
        <x:v>复查Build</x:v>
      </x:c>
      <x:c r="P6" s="246" t="str">
        <x:v>复查证据</x:v>
      </x:c>
      <x:c r="Q6" s="246" t="str">
        <x:v>核对/复查人</x:v>
      </x:c>
      <x:c r="R6" s="246" t="str">
        <x:v>最终处置</x:v>
      </x:c>
      <x:c r="S6" s="246" t="str">
        <x:v>无需整改/后置/不适用依据</x:v>
      </x:c>
      <x:c r="T6" s="246" t="str">
        <x:v>来源</x:v>
      </x:c>
      <x:c r="U6" s="246" t="str">
        <x:v>记录有效性</x:v>
      </x:c>
    </x:row>
    <x:row r="7" ht="112.5" customHeight="1">
      <x:c r="A7" s="10" t="str">
        <x:v>RV-UI01</x:v>
      </x:c>
      <x:c r="B7" s="10" t="str">
        <x:v>UI01</x:v>
      </x:c>
      <x:c r="C7" s="10" t="str">
        <x:v>基础配置</x:v>
      </x:c>
      <x:c r="D7" s="274" t="str">
        <x:v>Review待核对</x:v>
      </x:c>
      <x:c r="E7" s="274" t="str">
        <x:v>无法覆盖</x:v>
      </x:c>
      <x:c r="F7" s="274" t="str">
        <x:v>当前“基础配置”页面同时承载“主数据 / 计价底座”两类内容及其下属选项，信息层级较多，现有框架难以清晰承载该场景。</x:v>
      </x:c>
      <x:c r="G7" s="27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H7" s="274" t="str">
        <x:v>待判断</x:v>
      </x:c>
      <x:c r="I7" s="274"/>
      <x:c r="J7" s="274"/>
      <x:c r="K7" s="274" t="str">
        <x:v>UI</x:v>
      </x:c>
      <x:c r="L7" s="274"/>
      <x:c r="M7" s="274"/>
      <x:c r="N7" s="274" t="str">
        <x:v>待走查核对</x:v>
      </x:c>
      <x:c r="O7" s="274"/>
      <x:c r="P7" s="274"/>
      <x:c r="Q7" s="274"/>
      <x:c r="R7" s="274" t="str">
        <x:v>待确认</x:v>
      </x:c>
      <x:c r="S7" s="274"/>
      <x:c r="T7" s="10" t="str">
        <x:v>https://example.invalid/source/c6b200dcef</x:v>
      </x:c>
      <x:c r="U7" s="10" t="str">
        <x:f>IF(A7="","",IF(COUNTIFS($A$7:$A$200,A7)&lt;&gt;1,"清单ID重复",IF(COUNTIFS('UI走查'!$A$7:$A$55,B7)&lt;&gt;1,"关联case无效",IF(N7="无需整改",IF(OR(D7&lt;&gt;"Review待核对",R7&lt;&gt;"无需整改",LEN(TRIM(I7))=0,LEN(TRIM(J7))=0,LEN(TRIM('本批提测'!$B$8))=0,J7&lt;&gt;'本批提测'!$B$8,LEN(TRIM(Q7))=0,LEN(TRIM(S7))=0,LEN(TRIM(INDEX('UI走查'!$O$7:$O$55,MATCH(B7,'UI走查'!$A$7:$A$55,0))))=0),"候选核对证据不齐","核对符合"),IF(D7="Review待核对","待走查候选",IF(N7="复查通过",IF(OR(R7&lt;&gt;"修复",H7="待判断",LEN(TRIM(H7))=0,LEN(TRIM(O7))=0,O7&lt;&gt;'本批提测'!$B$8,LEN(TRIM(P7))=0,LEN(TRIM(Q7))=0,LEN(TRIM(I7))=0,LEN(TRIM(J7))=0,LEN(TRIM(INDEX('UI走查'!$O$7:$O$55,MATCH(B7,'UI走查'!$A$7:$A$55,0))))=0),"复查证据/依据不齐","复查闭环"),IF(R7="后置",IF(OR(H7="关键操作阻断",H7="业务规则未明确"),"核心事项不可后置",IF(LEN(TRIM(S7))=0,"后置依据缺失","后置已记录")),IF(N7="不适用",IF(AND(R7="不适用",LEN(TRIM(S7))&gt;0),"有据不适用","不适用依据缺失"),IF(OR(LEN(TRIM(I7))=0,LEN(TRIM(J7))=0),"需补实际证据",N7)))))))))</x:f>
        <x:v>待走查候选</x:v>
      </x:c>
    </x:row>
    <x:row r="8" ht="153" customHeight="1">
      <x:c r="A8" s="10" t="str">
        <x:v>RV-UI02</x:v>
      </x:c>
      <x:c r="B8" s="10" t="str">
        <x:v>UI02</x:v>
      </x:c>
      <x:c r="C8" s="10" t="str">
        <x:v>左侧菜单</x:v>
      </x:c>
      <x:c r="D8" s="274" t="str">
        <x:v>Review待核对</x:v>
      </x:c>
      <x:c r="E8" s="274" t="str">
        <x:v>无法覆盖</x:v>
      </x:c>
      <x:c r="F8" s="274" t="str">
        <x:v>原方案将二级分类调整为不可点击的分组标题，但实际呈现中分类层级区分不够明显，且不利于多层级菜单的导航管理。</x:v>
      </x:c>
      <x:c r="G8" s="27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H8" s="274" t="str">
        <x:v>待判断</x:v>
      </x:c>
      <x:c r="I8" s="274"/>
      <x:c r="J8" s="274"/>
      <x:c r="K8" s="274" t="str">
        <x:v>UI</x:v>
      </x:c>
      <x:c r="L8" s="274"/>
      <x:c r="M8" s="274"/>
      <x:c r="N8" s="274" t="str">
        <x:v>待走查核对</x:v>
      </x:c>
      <x:c r="O8" s="274"/>
      <x:c r="P8" s="274"/>
      <x:c r="Q8" s="274"/>
      <x:c r="R8" s="274" t="str">
        <x:v>待确认</x:v>
      </x:c>
      <x:c r="S8" s="274"/>
      <x:c r="T8" s="10" t="str">
        <x:v>https://example.invalid/source/3a9dc04cd3</x:v>
      </x:c>
      <x:c r="U8" s="10" t="str">
        <x:f>IF(A8="","",IF(COUNTIFS($A$7:$A$200,A8)&lt;&gt;1,"清单ID重复",IF(COUNTIFS('UI走查'!$A$7:$A$55,B8)&lt;&gt;1,"关联case无效",IF(N8="无需整改",IF(OR(D8&lt;&gt;"Review待核对",R8&lt;&gt;"无需整改",LEN(TRIM(I8))=0,LEN(TRIM(J8))=0,LEN(TRIM('本批提测'!$B$8))=0,J8&lt;&gt;'本批提测'!$B$8,LEN(TRIM(Q8))=0,LEN(TRIM(S8))=0,LEN(TRIM(INDEX('UI走查'!$O$7:$O$55,MATCH(B8,'UI走查'!$A$7:$A$55,0))))=0),"候选核对证据不齐","核对符合"),IF(D8="Review待核对","待走查候选",IF(N8="复查通过",IF(OR(R8&lt;&gt;"修复",H8="待判断",LEN(TRIM(H8))=0,LEN(TRIM(O8))=0,O8&lt;&gt;'本批提测'!$B$8,LEN(TRIM(P8))=0,LEN(TRIM(Q8))=0,LEN(TRIM(I8))=0,LEN(TRIM(J8))=0,LEN(TRIM(INDEX('UI走查'!$O$7:$O$55,MATCH(B8,'UI走查'!$A$7:$A$55,0))))=0),"复查证据/依据不齐","复查闭环"),IF(R8="后置",IF(OR(H8="关键操作阻断",H8="业务规则未明确"),"核心事项不可后置",IF(LEN(TRIM(S8))=0,"后置依据缺失","后置已记录")),IF(N8="不适用",IF(AND(R8="不适用",LEN(TRIM(S8))&gt;0),"有据不适用","不适用依据缺失"),IF(OR(LEN(TRIM(I8))=0,LEN(TRIM(J8))=0),"需补实际证据",N8)))))))))</x:f>
        <x:v>待走查候选</x:v>
      </x:c>
    </x:row>
    <x:row r="9" ht="112.5" customHeight="1">
      <x:c r="A9" s="10" t="str">
        <x:v>RV-UI42</x:v>
      </x:c>
      <x:c r="B9" s="10" t="str">
        <x:v>UI42</x:v>
      </x:c>
      <x:c r="C9" s="10" t="str">
        <x:v>全局</x:v>
      </x:c>
      <x:c r="D9" s="274" t="str">
        <x:v>Review待核对</x:v>
      </x:c>
      <x:c r="E9" s="274" t="str">
        <x:v>无法覆盖</x:v>
      </x:c>
      <x:c r="F9" s="274" t="str">
        <x:v>UI 产出行内编辑组件规范</x:v>
      </x:c>
      <x:c r="G9" s="274" t="str">
        <x:v>UI 产出行内编辑组件规范</x:v>
      </x:c>
      <x:c r="H9" s="274" t="str">
        <x:v>待判断</x:v>
      </x:c>
      <x:c r="I9" s="274"/>
      <x:c r="J9" s="274"/>
      <x:c r="K9" s="274" t="str">
        <x:v>UI</x:v>
      </x:c>
      <x:c r="L9" s="274"/>
      <x:c r="M9" s="274"/>
      <x:c r="N9" s="274" t="str">
        <x:v>待走查核对</x:v>
      </x:c>
      <x:c r="O9" s="274"/>
      <x:c r="P9" s="274"/>
      <x:c r="Q9" s="274"/>
      <x:c r="R9" s="274" t="str">
        <x:v>待确认</x:v>
      </x:c>
      <x:c r="S9" s="274"/>
      <x:c r="T9" s="10" t="str">
        <x:v>https://example.invalid/source/71ee9a345a</x:v>
      </x:c>
      <x:c r="U9" s="10" t="str">
        <x:f>IF(A9="","",IF(COUNTIFS($A$7:$A$200,A9)&lt;&gt;1,"清单ID重复",IF(COUNTIFS('UI走查'!$A$7:$A$55,B9)&lt;&gt;1,"关联case无效",IF(N9="无需整改",IF(OR(D9&lt;&gt;"Review待核对",R9&lt;&gt;"无需整改",LEN(TRIM(I9))=0,LEN(TRIM(J9))=0,LEN(TRIM('本批提测'!$B$8))=0,J9&lt;&gt;'本批提测'!$B$8,LEN(TRIM(Q9))=0,LEN(TRIM(S9))=0,LEN(TRIM(INDEX('UI走查'!$O$7:$O$55,MATCH(B9,'UI走查'!$A$7:$A$55,0))))=0),"候选核对证据不齐","核对符合"),IF(D9="Review待核对","待走查候选",IF(N9="复查通过",IF(OR(R9&lt;&gt;"修复",H9="待判断",LEN(TRIM(H9))=0,LEN(TRIM(O9))=0,O9&lt;&gt;'本批提测'!$B$8,LEN(TRIM(P9))=0,LEN(TRIM(Q9))=0,LEN(TRIM(I9))=0,LEN(TRIM(J9))=0,LEN(TRIM(INDEX('UI走查'!$O$7:$O$55,MATCH(B9,'UI走查'!$A$7:$A$55,0))))=0),"复查证据/依据不齐","复查闭环"),IF(R9="后置",IF(OR(H9="关键操作阻断",H9="业务规则未明确"),"核心事项不可后置",IF(LEN(TRIM(S9))=0,"后置依据缺失","后置已记录")),IF(N9="不适用",IF(AND(R9="不适用",LEN(TRIM(S9))&gt;0),"有据不适用","不适用依据缺失"),IF(OR(LEN(TRIM(I9))=0,LEN(TRIM(J9))=0),"需补实际证据",N9)))))))))</x:f>
        <x:v>待走查候选</x:v>
      </x:c>
    </x:row>
    <x:row r="10" ht="112.5" customHeight="1">
      <x:c r="A10" s="10" t="str">
        <x:v>RV-UI05</x:v>
      </x:c>
      <x:c r="B10" s="10" t="str">
        <x:v>UI05</x:v>
      </x:c>
      <x:c r="C10" s="10" t="str">
        <x:v>全局</x:v>
      </x:c>
      <x:c r="D10" s="274" t="str">
        <x:v>Review待核对</x:v>
      </x:c>
      <x:c r="E10" s="274" t="str">
        <x:v>业务交互、信息待明确</x:v>
      </x:c>
      <x:c r="F10" s="274" t="str">
        <x:v>AI 原型中存在较多辅助说明、功能解释及过程性文案，部分内容更偏向原型说明，并非最终页面必须展示的信息，容易增加页面阅读负担，干扰核心操作。</x:v>
      </x:c>
      <x:c r="G10" s="274" t="str">
        <x:v>建议产品统一审查页面文案，仅保留与用户操作、业务规则及必要提示相关的内容，其余原型说明性或重复性文字删除。</x:v>
      </x:c>
      <x:c r="H10" s="274" t="str">
        <x:v>待判断</x:v>
      </x:c>
      <x:c r="I10" s="274"/>
      <x:c r="J10" s="274"/>
      <x:c r="K10" s="274" t="str">
        <x:v>产品</x:v>
      </x:c>
      <x:c r="L10" s="274"/>
      <x:c r="M10" s="274"/>
      <x:c r="N10" s="274" t="str">
        <x:v>待走查核对</x:v>
      </x:c>
      <x:c r="O10" s="274"/>
      <x:c r="P10" s="274"/>
      <x:c r="Q10" s="274"/>
      <x:c r="R10" s="274" t="str">
        <x:v>待确认</x:v>
      </x:c>
      <x:c r="S10" s="274"/>
      <x:c r="T10" s="10" t="str">
        <x:v>https://example.invalid/source/aeba02eda6</x:v>
      </x:c>
      <x:c r="U10" s="10" t="str">
        <x:f>IF(A10="","",IF(COUNTIFS($A$7:$A$200,A10)&lt;&gt;1,"清单ID重复",IF(COUNTIFS('UI走查'!$A$7:$A$55,B10)&lt;&gt;1,"关联case无效",IF(N10="无需整改",IF(OR(D10&lt;&gt;"Review待核对",R10&lt;&gt;"无需整改",LEN(TRIM(I10))=0,LEN(TRIM(J10))=0,LEN(TRIM('本批提测'!$B$8))=0,J10&lt;&gt;'本批提测'!$B$8,LEN(TRIM(Q10))=0,LEN(TRIM(S10))=0,LEN(TRIM(INDEX('UI走查'!$O$7:$O$55,MATCH(B10,'UI走查'!$A$7:$A$55,0))))=0),"候选核对证据不齐","核对符合"),IF(D10="Review待核对","待走查候选",IF(N10="复查通过",IF(OR(R10&lt;&gt;"修复",H10="待判断",LEN(TRIM(H10))=0,LEN(TRIM(O10))=0,O10&lt;&gt;'本批提测'!$B$8,LEN(TRIM(P10))=0,LEN(TRIM(Q10))=0,LEN(TRIM(I10))=0,LEN(TRIM(J10))=0,LEN(TRIM(INDEX('UI走查'!$O$7:$O$55,MATCH(B10,'UI走查'!$A$7:$A$55,0))))=0),"复查证据/依据不齐","复查闭环"),IF(R10="后置",IF(OR(H10="关键操作阻断",H10="业务规则未明确"),"核心事项不可后置",IF(LEN(TRIM(S10))=0,"后置依据缺失","后置已记录")),IF(N10="不适用",IF(AND(R10="不适用",LEN(TRIM(S10))&gt;0),"有据不适用","不适用依据缺失"),IF(OR(LEN(TRIM(I10))=0,LEN(TRIM(J10))=0),"需补实际证据",N10)))))))))</x:f>
        <x:v>待走查候选</x:v>
      </x:c>
    </x:row>
    <x:row r="11" ht="112.5" customHeight="1">
      <x:c r="A11" s="10" t="str">
        <x:v>RV-UI03</x:v>
      </x:c>
      <x:c r="B11" s="10" t="str">
        <x:v>UI03</x:v>
      </x:c>
      <x:c r="C11" s="10" t="str">
        <x:v>服务单元</x:v>
      </x:c>
      <x:c r="D11" s="274" t="str">
        <x:v>Review待核对</x:v>
      </x:c>
      <x:c r="E11" s="274" t="str">
        <x:v>组合复用</x:v>
      </x:c>
      <x:c r="F11" s="27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G11" s="274" t="str">
        <x:v>建议仅保留列表 Checkbox 作为选中状态反馈，删除顶部已选 Tag 及底部数量汇总，降低信息干扰。</x:v>
      </x:c>
      <x:c r="H11" s="274" t="str">
        <x:v>待判断</x:v>
      </x:c>
      <x:c r="I11" s="274"/>
      <x:c r="J11" s="274"/>
      <x:c r="K11" s="274" t="str">
        <x:v>UI、开发</x:v>
      </x:c>
      <x:c r="L11" s="274"/>
      <x:c r="M11" s="274"/>
      <x:c r="N11" s="274" t="str">
        <x:v>待走查核对</x:v>
      </x:c>
      <x:c r="O11" s="274"/>
      <x:c r="P11" s="274"/>
      <x:c r="Q11" s="274"/>
      <x:c r="R11" s="274" t="str">
        <x:v>待确认</x:v>
      </x:c>
      <x:c r="S11" s="274"/>
      <x:c r="T11" s="10" t="str">
        <x:v>https://example.invalid/source/4327fee52e</x:v>
      </x:c>
      <x:c r="U11" s="10" t="str">
        <x:f>IF(A11="","",IF(COUNTIFS($A$7:$A$200,A11)&lt;&gt;1,"清单ID重复",IF(COUNTIFS('UI走查'!$A$7:$A$55,B11)&lt;&gt;1,"关联case无效",IF(N11="无需整改",IF(OR(D11&lt;&gt;"Review待核对",R11&lt;&gt;"无需整改",LEN(TRIM(I11))=0,LEN(TRIM(J11))=0,LEN(TRIM('本批提测'!$B$8))=0,J11&lt;&gt;'本批提测'!$B$8,LEN(TRIM(Q11))=0,LEN(TRIM(S11))=0,LEN(TRIM(INDEX('UI走查'!$O$7:$O$55,MATCH(B11,'UI走查'!$A$7:$A$55,0))))=0),"候选核对证据不齐","核对符合"),IF(D11="Review待核对","待走查候选",IF(N11="复查通过",IF(OR(R11&lt;&gt;"修复",H11="待判断",LEN(TRIM(H11))=0,LEN(TRIM(O11))=0,O11&lt;&gt;'本批提测'!$B$8,LEN(TRIM(P11))=0,LEN(TRIM(Q11))=0,LEN(TRIM(I11))=0,LEN(TRIM(J11))=0,LEN(TRIM(INDEX('UI走查'!$O$7:$O$55,MATCH(B11,'UI走查'!$A$7:$A$55,0))))=0),"复查证据/依据不齐","复查闭环"),IF(R11="后置",IF(OR(H11="关键操作阻断",H11="业务规则未明确"),"核心事项不可后置",IF(LEN(TRIM(S11))=0,"后置依据缺失","后置已记录")),IF(N11="不适用",IF(AND(R11="不适用",LEN(TRIM(S11))&gt;0),"有据不适用","不适用依据缺失"),IF(OR(LEN(TRIM(I11))=0,LEN(TRIM(J11))=0),"需补实际证据",N11)))))))))</x:f>
        <x:v>待走查候选</x:v>
      </x:c>
    </x:row>
    <x:row r="12" ht="112.5" customHeight="1">
      <x:c r="A12" s="10" t="str">
        <x:v>RV-UI35</x:v>
      </x:c>
      <x:c r="B12" s="10" t="str">
        <x:v>UI35</x:v>
      </x:c>
      <x:c r="C12" s="10" t="str">
        <x:v>服务单元</x:v>
      </x:c>
      <x:c r="D12" s="274" t="str">
        <x:v>Review待核对</x:v>
      </x:c>
      <x:c r="E12" s="274" t="str">
        <x:v>组合复用</x:v>
      </x:c>
      <x:c r="F12" s="274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G12" s="274" t="str">
        <x:v>替换为新页面承载</x:v>
      </x:c>
      <x:c r="H12" s="274" t="str">
        <x:v>待判断</x:v>
      </x:c>
      <x:c r="I12" s="274"/>
      <x:c r="J12" s="274"/>
      <x:c r="K12" s="274" t="str">
        <x:v>开发</x:v>
      </x:c>
      <x:c r="L12" s="274"/>
      <x:c r="M12" s="274"/>
      <x:c r="N12" s="274" t="str">
        <x:v>待走查核对</x:v>
      </x:c>
      <x:c r="O12" s="274"/>
      <x:c r="P12" s="274"/>
      <x:c r="Q12" s="274"/>
      <x:c r="R12" s="274" t="str">
        <x:v>待确认</x:v>
      </x:c>
      <x:c r="S12" s="274"/>
      <x:c r="T12" s="10" t="str">
        <x:v>https://example.invalid/source/f5f3768c35</x:v>
      </x:c>
      <x:c r="U12" s="10" t="str">
        <x:f>IF(A12="","",IF(COUNTIFS($A$7:$A$200,A12)&lt;&gt;1,"清单ID重复",IF(COUNTIFS('UI走查'!$A$7:$A$55,B12)&lt;&gt;1,"关联case无效",IF(N12="无需整改",IF(OR(D12&lt;&gt;"Review待核对",R12&lt;&gt;"无需整改",LEN(TRIM(I12))=0,LEN(TRIM(J12))=0,LEN(TRIM('本批提测'!$B$8))=0,J12&lt;&gt;'本批提测'!$B$8,LEN(TRIM(Q12))=0,LEN(TRIM(S12))=0,LEN(TRIM(INDEX('UI走查'!$O$7:$O$55,MATCH(B12,'UI走查'!$A$7:$A$55,0))))=0),"候选核对证据不齐","核对符合"),IF(D12="Review待核对","待走查候选",IF(N12="复查通过",IF(OR(R12&lt;&gt;"修复",H12="待判断",LEN(TRIM(H12))=0,LEN(TRIM(O12))=0,O12&lt;&gt;'本批提测'!$B$8,LEN(TRIM(P12))=0,LEN(TRIM(Q12))=0,LEN(TRIM(I12))=0,LEN(TRIM(J12))=0,LEN(TRIM(INDEX('UI走查'!$O$7:$O$55,MATCH(B12,'UI走查'!$A$7:$A$55,0))))=0),"复查证据/依据不齐","复查闭环"),IF(R12="后置",IF(OR(H12="关键操作阻断",H12="业务规则未明确"),"核心事项不可后置",IF(LEN(TRIM(S12))=0,"后置依据缺失","后置已记录")),IF(N12="不适用",IF(AND(R12="不适用",LEN(TRIM(S12))&gt;0),"有据不适用","不适用依据缺失"),IF(OR(LEN(TRIM(I12))=0,LEN(TRIM(J12))=0),"需补实际证据",N12)))))))))</x:f>
        <x:v>待走查候选</x:v>
      </x:c>
    </x:row>
    <x:row r="13" ht="112.5" customHeight="1">
      <x:c r="A13" s="10" t="str">
        <x:v>RV-UI04</x:v>
      </x:c>
      <x:c r="B13" s="10" t="str">
        <x:v>UI04</x:v>
      </x:c>
      <x:c r="C13" s="10" t="str">
        <x:v>服务单元</x:v>
      </x:c>
      <x:c r="D13" s="274" t="str">
        <x:v>Review待核对</x:v>
      </x:c>
      <x:c r="E13" s="274" t="str">
        <x:v>调整后复用</x:v>
      </x:c>
      <x:c r="F13" s="274" t="str">
        <x:v>当前确认弹窗使用普通信息提示图标，与“禁用编排”的风险语义不一致</x:v>
      </x:c>
      <x:c r="G13" s="274" t="str">
        <x:v>建议改用 Warning 警告图标</x:v>
      </x:c>
      <x:c r="H13" s="274" t="str">
        <x:v>待判断</x:v>
      </x:c>
      <x:c r="I13" s="274"/>
      <x:c r="J13" s="274"/>
      <x:c r="K13" s="274" t="str">
        <x:v>UI、产品</x:v>
      </x:c>
      <x:c r="L13" s="274"/>
      <x:c r="M13" s="274"/>
      <x:c r="N13" s="274" t="str">
        <x:v>待走查核对</x:v>
      </x:c>
      <x:c r="O13" s="274"/>
      <x:c r="P13" s="274"/>
      <x:c r="Q13" s="274"/>
      <x:c r="R13" s="274" t="str">
        <x:v>待确认</x:v>
      </x:c>
      <x:c r="S13" s="274"/>
      <x:c r="T13" s="10" t="str">
        <x:v>https://example.invalid/source/aebcacf589</x:v>
      </x:c>
      <x:c r="U13" s="10" t="str">
        <x:f>IF(A13="","",IF(COUNTIFS($A$7:$A$200,A13)&lt;&gt;1,"清单ID重复",IF(COUNTIFS('UI走查'!$A$7:$A$55,B13)&lt;&gt;1,"关联case无效",IF(N13="无需整改",IF(OR(D13&lt;&gt;"Review待核对",R13&lt;&gt;"无需整改",LEN(TRIM(I13))=0,LEN(TRIM(J13))=0,LEN(TRIM('本批提测'!$B$8))=0,J13&lt;&gt;'本批提测'!$B$8,LEN(TRIM(Q13))=0,LEN(TRIM(S13))=0,LEN(TRIM(INDEX('UI走查'!$O$7:$O$55,MATCH(B13,'UI走查'!$A$7:$A$55,0))))=0),"候选核对证据不齐","核对符合"),IF(D13="Review待核对","待走查候选",IF(N13="复查通过",IF(OR(R13&lt;&gt;"修复",H13="待判断",LEN(TRIM(H13))=0,LEN(TRIM(O13))=0,O13&lt;&gt;'本批提测'!$B$8,LEN(TRIM(P13))=0,LEN(TRIM(Q13))=0,LEN(TRIM(I13))=0,LEN(TRIM(J13))=0,LEN(TRIM(INDEX('UI走查'!$O$7:$O$55,MATCH(B13,'UI走查'!$A$7:$A$55,0))))=0),"复查证据/依据不齐","复查闭环"),IF(R13="后置",IF(OR(H13="关键操作阻断",H13="业务规则未明确"),"核心事项不可后置",IF(LEN(TRIM(S13))=0,"后置依据缺失","后置已记录")),IF(N13="不适用",IF(AND(R13="不适用",LEN(TRIM(S13))&gt;0),"有据不适用","不适用依据缺失"),IF(OR(LEN(TRIM(I13))=0,LEN(TRIM(J13))=0),"需补实际证据",N13)))))))))</x:f>
        <x:v>待走查候选</x:v>
      </x:c>
    </x:row>
    <x:row r="14" ht="112.5" customHeight="1">
      <x:c r="A14" s="10" t="str">
        <x:v>RV-UI06</x:v>
      </x:c>
      <x:c r="B14" s="10" t="str">
        <x:v>UI06</x:v>
      </x:c>
      <x:c r="C14" s="10" t="str">
        <x:v>左侧菜单</x:v>
      </x:c>
      <x:c r="D14" s="274" t="str">
        <x:v>Review待核对</x:v>
      </x:c>
      <x:c r="E14" s="274" t="str">
        <x:v>直接复用</x:v>
      </x:c>
      <x:c r="F14" s="274" t="str">
        <x:v>缩进、字号字重、选中态尺寸、展开箭头及菜单间距等方面与现有前端通用框架存在较大差异。且一级菜单缺少左侧图标</x:v>
      </x:c>
      <x:c r="G14" s="274" t="str">
        <x:v>复用现有框架</x:v>
      </x:c>
      <x:c r="H14" s="274" t="str">
        <x:v>待判断</x:v>
      </x:c>
      <x:c r="I14" s="274"/>
      <x:c r="J14" s="274"/>
      <x:c r="K14" s="274" t="str">
        <x:v>开发</x:v>
      </x:c>
      <x:c r="L14" s="274"/>
      <x:c r="M14" s="274"/>
      <x:c r="N14" s="274" t="str">
        <x:v>待走查核对</x:v>
      </x:c>
      <x:c r="O14" s="274"/>
      <x:c r="P14" s="274"/>
      <x:c r="Q14" s="274"/>
      <x:c r="R14" s="274" t="str">
        <x:v>待确认</x:v>
      </x:c>
      <x:c r="S14" s="274"/>
      <x:c r="T14" s="10" t="str">
        <x:v>https://example.invalid/source/a969556bfd</x:v>
      </x:c>
      <x:c r="U14" s="10" t="str">
        <x:f>IF(A14="","",IF(COUNTIFS($A$7:$A$200,A14)&lt;&gt;1,"清单ID重复",IF(COUNTIFS('UI走查'!$A$7:$A$55,B14)&lt;&gt;1,"关联case无效",IF(N14="无需整改",IF(OR(D14&lt;&gt;"Review待核对",R14&lt;&gt;"无需整改",LEN(TRIM(I14))=0,LEN(TRIM(J14))=0,LEN(TRIM('本批提测'!$B$8))=0,J14&lt;&gt;'本批提测'!$B$8,LEN(TRIM(Q14))=0,LEN(TRIM(S14))=0,LEN(TRIM(INDEX('UI走查'!$O$7:$O$55,MATCH(B14,'UI走查'!$A$7:$A$55,0))))=0),"候选核对证据不齐","核对符合"),IF(D14="Review待核对","待走查候选",IF(N14="复查通过",IF(OR(R14&lt;&gt;"修复",H14="待判断",LEN(TRIM(H14))=0,LEN(TRIM(O14))=0,O14&lt;&gt;'本批提测'!$B$8,LEN(TRIM(P14))=0,LEN(TRIM(Q14))=0,LEN(TRIM(I14))=0,LEN(TRIM(J14))=0,LEN(TRIM(INDEX('UI走查'!$O$7:$O$55,MATCH(B14,'UI走查'!$A$7:$A$55,0))))=0),"复查证据/依据不齐","复查闭环"),IF(R14="后置",IF(OR(H14="关键操作阻断",H14="业务规则未明确"),"核心事项不可后置",IF(LEN(TRIM(S14))=0,"后置依据缺失","后置已记录")),IF(N14="不适用",IF(AND(R14="不适用",LEN(TRIM(S14))&gt;0),"有据不适用","不适用依据缺失"),IF(OR(LEN(TRIM(I14))=0,LEN(TRIM(J14))=0),"需补实际证据",N14)))))))))</x:f>
        <x:v>待走查候选</x:v>
      </x:c>
    </x:row>
    <x:row r="15" ht="112.5" customHeight="1">
      <x:c r="A15" s="10" t="str">
        <x:v>RV-UI07</x:v>
      </x:c>
      <x:c r="B15" s="10" t="str">
        <x:v>UI07</x:v>
      </x:c>
      <x:c r="C15" s="10" t="str">
        <x:v>顶部导航</x:v>
      </x:c>
      <x:c r="D15" s="274" t="str">
        <x:v>Review待核对</x:v>
      </x:c>
      <x:c r="E15" s="274" t="str">
        <x:v>直接复用</x:v>
      </x:c>
      <x:c r="F15" s="274" t="str">
        <x:v>与规范、框架不一致，有多余的页面标题，无功能的板块可先暂时隐藏，如搜索、消息等</x:v>
      </x:c>
      <x:c r="G15" s="274" t="str">
        <x:v>复用现有框架</x:v>
      </x:c>
      <x:c r="H15" s="274" t="str">
        <x:v>待判断</x:v>
      </x:c>
      <x:c r="I15" s="274"/>
      <x:c r="J15" s="274"/>
      <x:c r="K15" s="274" t="str">
        <x:v>开发</x:v>
      </x:c>
      <x:c r="L15" s="274"/>
      <x:c r="M15" s="274"/>
      <x:c r="N15" s="274" t="str">
        <x:v>待走查核对</x:v>
      </x:c>
      <x:c r="O15" s="274"/>
      <x:c r="P15" s="274"/>
      <x:c r="Q15" s="274"/>
      <x:c r="R15" s="274" t="str">
        <x:v>待确认</x:v>
      </x:c>
      <x:c r="S15" s="274"/>
      <x:c r="T15" s="10" t="str">
        <x:v>https://example.invalid/source/254ad74023</x:v>
      </x:c>
      <x:c r="U15" s="10" t="str">
        <x:f>IF(A15="","",IF(COUNTIFS($A$7:$A$200,A15)&lt;&gt;1,"清单ID重复",IF(COUNTIFS('UI走查'!$A$7:$A$55,B15)&lt;&gt;1,"关联case无效",IF(N15="无需整改",IF(OR(D15&lt;&gt;"Review待核对",R15&lt;&gt;"无需整改",LEN(TRIM(I15))=0,LEN(TRIM(J15))=0,LEN(TRIM('本批提测'!$B$8))=0,J15&lt;&gt;'本批提测'!$B$8,LEN(TRIM(Q15))=0,LEN(TRIM(S15))=0,LEN(TRIM(INDEX('UI走查'!$O$7:$O$55,MATCH(B15,'UI走查'!$A$7:$A$55,0))))=0),"候选核对证据不齐","核对符合"),IF(D15="Review待核对","待走查候选",IF(N15="复查通过",IF(OR(R15&lt;&gt;"修复",H15="待判断",LEN(TRIM(H15))=0,LEN(TRIM(O15))=0,O15&lt;&gt;'本批提测'!$B$8,LEN(TRIM(P15))=0,LEN(TRIM(Q15))=0,LEN(TRIM(I15))=0,LEN(TRIM(J15))=0,LEN(TRIM(INDEX('UI走查'!$O$7:$O$55,MATCH(B15,'UI走查'!$A$7:$A$55,0))))=0),"复查证据/依据不齐","复查闭环"),IF(R15="后置",IF(OR(H15="关键操作阻断",H15="业务规则未明确"),"核心事项不可后置",IF(LEN(TRIM(S15))=0,"后置依据缺失","后置已记录")),IF(N15="不适用",IF(AND(R15="不适用",LEN(TRIM(S15))&gt;0),"有据不适用","不适用依据缺失"),IF(OR(LEN(TRIM(I15))=0,LEN(TRIM(J15))=0),"需补实际证据",N15)))))))))</x:f>
        <x:v>待走查候选</x:v>
      </x:c>
    </x:row>
    <x:row r="16" ht="112.5" customHeight="1">
      <x:c r="A16" s="10" t="str">
        <x:v>RV-UI08</x:v>
      </x:c>
      <x:c r="B16" s="10" t="str">
        <x:v>UI08</x:v>
      </x:c>
      <x:c r="C16" s="10" t="str">
        <x:v>所有页头栏</x:v>
      </x:c>
      <x:c r="D16" s="274" t="str">
        <x:v>Review待核对</x:v>
      </x:c>
      <x:c r="E16" s="274" t="str">
        <x:v>直接复用</x:v>
      </x:c>
      <x:c r="F16" s="274" t="str">
        <x:v>当前将面包屑导航放置于顶部导航，与现有通用框架页面结构不一致，同时与页面标题存在重复表达。
操作按钮对齐方式与框架不一致</x:v>
      </x:c>
      <x:c r="G16" s="274" t="str">
        <x:v>1、复用现有框架，
2、着重考虑副标题的存在必要性，如无完全必要可考虑删除，带副标题的页头可见规范规定
3、说明文字最好不要出现「」</x:v>
      </x:c>
      <x:c r="H16" s="274" t="str">
        <x:v>待判断</x:v>
      </x:c>
      <x:c r="I16" s="274"/>
      <x:c r="J16" s="274"/>
      <x:c r="K16" s="274" t="str">
        <x:v>产品、开发</x:v>
      </x:c>
      <x:c r="L16" s="274"/>
      <x:c r="M16" s="274"/>
      <x:c r="N16" s="274" t="str">
        <x:v>待走查核对</x:v>
      </x:c>
      <x:c r="O16" s="274"/>
      <x:c r="P16" s="274"/>
      <x:c r="Q16" s="274"/>
      <x:c r="R16" s="274" t="str">
        <x:v>待确认</x:v>
      </x:c>
      <x:c r="S16" s="274"/>
      <x:c r="T16" s="10" t="str">
        <x:v>https://example.invalid/source/ce1b8a54f9</x:v>
      </x:c>
      <x:c r="U16" s="10" t="str">
        <x:f>IF(A16="","",IF(COUNTIFS($A$7:$A$200,A16)&lt;&gt;1,"清单ID重复",IF(COUNTIFS('UI走查'!$A$7:$A$55,B16)&lt;&gt;1,"关联case无效",IF(N16="无需整改",IF(OR(D16&lt;&gt;"Review待核对",R16&lt;&gt;"无需整改",LEN(TRIM(I16))=0,LEN(TRIM(J16))=0,LEN(TRIM('本批提测'!$B$8))=0,J16&lt;&gt;'本批提测'!$B$8,LEN(TRIM(Q16))=0,LEN(TRIM(S16))=0,LEN(TRIM(INDEX('UI走查'!$O$7:$O$55,MATCH(B16,'UI走查'!$A$7:$A$55,0))))=0),"候选核对证据不齐","核对符合"),IF(D16="Review待核对","待走查候选",IF(N16="复查通过",IF(OR(R16&lt;&gt;"修复",H16="待判断",LEN(TRIM(H16))=0,LEN(TRIM(O16))=0,O16&lt;&gt;'本批提测'!$B$8,LEN(TRIM(P16))=0,LEN(TRIM(Q16))=0,LEN(TRIM(I16))=0,LEN(TRIM(J16))=0,LEN(TRIM(INDEX('UI走查'!$O$7:$O$55,MATCH(B16,'UI走查'!$A$7:$A$55,0))))=0),"复查证据/依据不齐","复查闭环"),IF(R16="后置",IF(OR(H16="关键操作阻断",H16="业务规则未明确"),"核心事项不可后置",IF(LEN(TRIM(S16))=0,"后置依据缺失","后置已记录")),IF(N16="不适用",IF(AND(R16="不适用",LEN(TRIM(S16))&gt;0),"有据不适用","不适用依据缺失"),IF(OR(LEN(TRIM(I16))=0,LEN(TRIM(J16))=0),"需补实际证据",N16)))))))))</x:f>
        <x:v>待走查候选</x:v>
      </x:c>
    </x:row>
    <x:row r="17" ht="112.5" customHeight="1">
      <x:c r="A17" s="10" t="str">
        <x:v>RV-UI09</x:v>
      </x:c>
      <x:c r="B17" s="10" t="str">
        <x:v>UI09</x:v>
      </x:c>
      <x:c r="C17" s="10" t="str">
        <x:v>所有查询区</x:v>
      </x:c>
      <x:c r="D17" s="274" t="str">
        <x:v>Review待核对</x:v>
      </x:c>
      <x:c r="E17" s="274" t="str">
        <x:v>直接复用</x:v>
      </x:c>
      <x:c r="F17" s="274" t="str">
        <x:v>当前筛选区控件尺寸、排列、操作按钮样式、下拉样式与通用框架存在差异。</x:v>
      </x:c>
      <x:c r="G17" s="27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H17" s="274" t="str">
        <x:v>待判断</x:v>
      </x:c>
      <x:c r="I17" s="274"/>
      <x:c r="J17" s="274"/>
      <x:c r="K17" s="274" t="str">
        <x:v>开发</x:v>
      </x:c>
      <x:c r="L17" s="274"/>
      <x:c r="M17" s="274"/>
      <x:c r="N17" s="274" t="str">
        <x:v>待走查核对</x:v>
      </x:c>
      <x:c r="O17" s="274"/>
      <x:c r="P17" s="274"/>
      <x:c r="Q17" s="274"/>
      <x:c r="R17" s="274" t="str">
        <x:v>待确认</x:v>
      </x:c>
      <x:c r="S17" s="274"/>
      <x:c r="T17" s="10" t="str">
        <x:v>https://example.invalid/source/765ab4a61c</x:v>
      </x:c>
      <x:c r="U17" s="10" t="str">
        <x:f>IF(A17="","",IF(COUNTIFS($A$7:$A$200,A17)&lt;&gt;1,"清单ID重复",IF(COUNTIFS('UI走查'!$A$7:$A$55,B17)&lt;&gt;1,"关联case无效",IF(N17="无需整改",IF(OR(D17&lt;&gt;"Review待核对",R17&lt;&gt;"无需整改",LEN(TRIM(I17))=0,LEN(TRIM(J17))=0,LEN(TRIM('本批提测'!$B$8))=0,J17&lt;&gt;'本批提测'!$B$8,LEN(TRIM(Q17))=0,LEN(TRIM(S17))=0,LEN(TRIM(INDEX('UI走查'!$O$7:$O$55,MATCH(B17,'UI走查'!$A$7:$A$55,0))))=0),"候选核对证据不齐","核对符合"),IF(D17="Review待核对","待走查候选",IF(N17="复查通过",IF(OR(R17&lt;&gt;"修复",H17="待判断",LEN(TRIM(H17))=0,LEN(TRIM(O17))=0,O17&lt;&gt;'本批提测'!$B$8,LEN(TRIM(P17))=0,LEN(TRIM(Q17))=0,LEN(TRIM(I17))=0,LEN(TRIM(J17))=0,LEN(TRIM(INDEX('UI走查'!$O$7:$O$55,MATCH(B17,'UI走查'!$A$7:$A$55,0))))=0),"复查证据/依据不齐","复查闭环"),IF(R17="后置",IF(OR(H17="关键操作阻断",H17="业务规则未明确"),"核心事项不可后置",IF(LEN(TRIM(S17))=0,"后置依据缺失","后置已记录")),IF(N17="不适用",IF(AND(R17="不适用",LEN(TRIM(S17))&gt;0),"有据不适用","不适用依据缺失"),IF(OR(LEN(TRIM(I17))=0,LEN(TRIM(J17))=0),"需补实际证据",N17)))))))))</x:f>
        <x:v>待走查候选</x:v>
      </x:c>
    </x:row>
    <x:row r="18" ht="112.5" customHeight="1">
      <x:c r="A18" s="10" t="str">
        <x:v>RV-UI10</x:v>
      </x:c>
      <x:c r="B18" s="10" t="str">
        <x:v>UI10</x:v>
      </x:c>
      <x:c r="C18" s="10" t="str">
        <x:v>所有列表区</x:v>
      </x:c>
      <x:c r="D18" s="274" t="str">
        <x:v>Review待核对</x:v>
      </x:c>
      <x:c r="E18" s="274" t="str">
        <x:v>直接复用</x:v>
      </x:c>
      <x:c r="F18" s="274" t="str">
        <x:v>当前原型 Table 在容器间距、表头/行高、行背景、列宽、固定列及操作区等方面与前端通用框架存在较大差异。</x:v>
      </x:c>
      <x:c r="G18" s="27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H18" s="274" t="str">
        <x:v>待判断</x:v>
      </x:c>
      <x:c r="I18" s="274"/>
      <x:c r="J18" s="274"/>
      <x:c r="K18" s="274" t="str">
        <x:v>开发</x:v>
      </x:c>
      <x:c r="L18" s="274"/>
      <x:c r="M18" s="274"/>
      <x:c r="N18" s="274" t="str">
        <x:v>待走查核对</x:v>
      </x:c>
      <x:c r="O18" s="274"/>
      <x:c r="P18" s="274"/>
      <x:c r="Q18" s="274"/>
      <x:c r="R18" s="274" t="str">
        <x:v>待确认</x:v>
      </x:c>
      <x:c r="S18" s="274"/>
      <x:c r="T18" s="10" t="str">
        <x:v>https://example.invalid/source/e3f1f8c6d7</x:v>
      </x:c>
      <x:c r="U18" s="10" t="str">
        <x:f>IF(A18="","",IF(COUNTIFS($A$7:$A$200,A18)&lt;&gt;1,"清单ID重复",IF(COUNTIFS('UI走查'!$A$7:$A$55,B18)&lt;&gt;1,"关联case无效",IF(N18="无需整改",IF(OR(D18&lt;&gt;"Review待核对",R18&lt;&gt;"无需整改",LEN(TRIM(I18))=0,LEN(TRIM(J18))=0,LEN(TRIM('本批提测'!$B$8))=0,J18&lt;&gt;'本批提测'!$B$8,LEN(TRIM(Q18))=0,LEN(TRIM(S18))=0,LEN(TRIM(INDEX('UI走查'!$O$7:$O$55,MATCH(B18,'UI走查'!$A$7:$A$55,0))))=0),"候选核对证据不齐","核对符合"),IF(D18="Review待核对","待走查候选",IF(N18="复查通过",IF(OR(R18&lt;&gt;"修复",H18="待判断",LEN(TRIM(H18))=0,LEN(TRIM(O18))=0,O18&lt;&gt;'本批提测'!$B$8,LEN(TRIM(P18))=0,LEN(TRIM(Q18))=0,LEN(TRIM(I18))=0,LEN(TRIM(J18))=0,LEN(TRIM(INDEX('UI走查'!$O$7:$O$55,MATCH(B18,'UI走查'!$A$7:$A$55,0))))=0),"复查证据/依据不齐","复查闭环"),IF(R18="后置",IF(OR(H18="关键操作阻断",H18="业务规则未明确"),"核心事项不可后置",IF(LEN(TRIM(S18))=0,"后置依据缺失","后置已记录")),IF(N18="不适用",IF(AND(R18="不适用",LEN(TRIM(S18))&gt;0),"有据不适用","不适用依据缺失"),IF(OR(LEN(TRIM(I18))=0,LEN(TRIM(J18))=0),"需补实际证据",N18)))))))))</x:f>
        <x:v>待走查候选</x:v>
      </x:c>
    </x:row>
    <x:row r="19" ht="112.5" customHeight="1">
      <x:c r="A19" s="10" t="str">
        <x:v>RV-UI11</x:v>
      </x:c>
      <x:c r="B19" s="10" t="str">
        <x:v>UI11</x:v>
      </x:c>
      <x:c r="C19" s="10" t="str">
        <x:v>所有列表区</x:v>
      </x:c>
      <x:c r="D19" s="274" t="str">
        <x:v>Review待核对</x:v>
      </x:c>
      <x:c r="E19" s="274" t="str">
        <x:v>直接复用</x:v>
      </x:c>
      <x:c r="F19" s="274" t="str">
        <x:v>当前原型分页组件在布局、页码样式、每页条数选择及总数信息展示方式上与前端通用框架不一致。</x:v>
      </x:c>
      <x:c r="G19" s="27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H19" s="274" t="str">
        <x:v>待判断</x:v>
      </x:c>
      <x:c r="I19" s="274"/>
      <x:c r="J19" s="274"/>
      <x:c r="K19" s="274" t="str">
        <x:v>开发</x:v>
      </x:c>
      <x:c r="L19" s="274"/>
      <x:c r="M19" s="274"/>
      <x:c r="N19" s="274" t="str">
        <x:v>待走查核对</x:v>
      </x:c>
      <x:c r="O19" s="274"/>
      <x:c r="P19" s="274"/>
      <x:c r="Q19" s="274"/>
      <x:c r="R19" s="274" t="str">
        <x:v>待确认</x:v>
      </x:c>
      <x:c r="S19" s="274"/>
      <x:c r="T19" s="10" t="str">
        <x:v>https://example.invalid/source/0955c5f7fb</x:v>
      </x:c>
      <x:c r="U19" s="10" t="str">
        <x:f>IF(A19="","",IF(COUNTIFS($A$7:$A$200,A19)&lt;&gt;1,"清单ID重复",IF(COUNTIFS('UI走查'!$A$7:$A$55,B19)&lt;&gt;1,"关联case无效",IF(N19="无需整改",IF(OR(D19&lt;&gt;"Review待核对",R19&lt;&gt;"无需整改",LEN(TRIM(I19))=0,LEN(TRIM(J19))=0,LEN(TRIM('本批提测'!$B$8))=0,J19&lt;&gt;'本批提测'!$B$8,LEN(TRIM(Q19))=0,LEN(TRIM(S19))=0,LEN(TRIM(INDEX('UI走查'!$O$7:$O$55,MATCH(B19,'UI走查'!$A$7:$A$55,0))))=0),"候选核对证据不齐","核对符合"),IF(D19="Review待核对","待走查候选",IF(N19="复查通过",IF(OR(R19&lt;&gt;"修复",H19="待判断",LEN(TRIM(H19))=0,LEN(TRIM(O19))=0,O19&lt;&gt;'本批提测'!$B$8,LEN(TRIM(P19))=0,LEN(TRIM(Q19))=0,LEN(TRIM(I19))=0,LEN(TRIM(J19))=0,LEN(TRIM(INDEX('UI走查'!$O$7:$O$55,MATCH(B19,'UI走查'!$A$7:$A$55,0))))=0),"复查证据/依据不齐","复查闭环"),IF(R19="后置",IF(OR(H19="关键操作阻断",H19="业务规则未明确"),"核心事项不可后置",IF(LEN(TRIM(S19))=0,"后置依据缺失","后置已记录")),IF(N19="不适用",IF(AND(R19="不适用",LEN(TRIM(S19))&gt;0),"有据不适用","不适用依据缺失"),IF(OR(LEN(TRIM(I19))=0,LEN(TRIM(J19))=0),"需补实际证据",N19)))))))))</x:f>
        <x:v>待走查候选</x:v>
      </x:c>
    </x:row>
    <x:row r="20" ht="112.5" customHeight="1">
      <x:c r="A20" s="10" t="str">
        <x:v>RV-UI12</x:v>
      </x:c>
      <x:c r="B20" s="10" t="str">
        <x:v>UI12</x:v>
      </x:c>
      <x:c r="C20" s="10" t="str">
        <x:v>所有列表区</x:v>
      </x:c>
      <x:c r="D20" s="274" t="str">
        <x:v>Review待核对</x:v>
      </x:c>
      <x:c r="E20" s="274" t="str">
        <x:v>直接复用</x:v>
      </x:c>
      <x:c r="F20" s="274" t="str">
        <x:v>当前原型在表格横向滚动时，左侧关键操作列未明确冻结范围，勾选框等批量操作入口可能随内容滚动移出可视区域，影响连续选择和操作效率。</x:v>
      </x:c>
      <x:c r="G20" s="27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H20" s="274" t="str">
        <x:v>待判断</x:v>
      </x:c>
      <x:c r="I20" s="274"/>
      <x:c r="J20" s="274"/>
      <x:c r="K20" s="274" t="str">
        <x:v>开发</x:v>
      </x:c>
      <x:c r="L20" s="274"/>
      <x:c r="M20" s="274"/>
      <x:c r="N20" s="274" t="str">
        <x:v>待走查核对</x:v>
      </x:c>
      <x:c r="O20" s="274"/>
      <x:c r="P20" s="274"/>
      <x:c r="Q20" s="274"/>
      <x:c r="R20" s="274" t="str">
        <x:v>待确认</x:v>
      </x:c>
      <x:c r="S20" s="274"/>
      <x:c r="T20" s="10" t="str">
        <x:v>https://example.invalid/source/bc380354fc</x:v>
      </x:c>
      <x:c r="U20" s="10" t="str">
        <x:f>IF(A20="","",IF(COUNTIFS($A$7:$A$200,A20)&lt;&gt;1,"清单ID重复",IF(COUNTIFS('UI走查'!$A$7:$A$55,B20)&lt;&gt;1,"关联case无效",IF(N20="无需整改",IF(OR(D20&lt;&gt;"Review待核对",R20&lt;&gt;"无需整改",LEN(TRIM(I20))=0,LEN(TRIM(J20))=0,LEN(TRIM('本批提测'!$B$8))=0,J20&lt;&gt;'本批提测'!$B$8,LEN(TRIM(Q20))=0,LEN(TRIM(S20))=0,LEN(TRIM(INDEX('UI走查'!$O$7:$O$55,MATCH(B20,'UI走查'!$A$7:$A$55,0))))=0),"候选核对证据不齐","核对符合"),IF(D20="Review待核对","待走查候选",IF(N20="复查通过",IF(OR(R20&lt;&gt;"修复",H20="待判断",LEN(TRIM(H20))=0,LEN(TRIM(O20))=0,O20&lt;&gt;'本批提测'!$B$8,LEN(TRIM(P20))=0,LEN(TRIM(Q20))=0,LEN(TRIM(I20))=0,LEN(TRIM(J20))=0,LEN(TRIM(INDEX('UI走查'!$O$7:$O$55,MATCH(B20,'UI走查'!$A$7:$A$55,0))))=0),"复查证据/依据不齐","复查闭环"),IF(R20="后置",IF(OR(H20="关键操作阻断",H20="业务规则未明确"),"核心事项不可后置",IF(LEN(TRIM(S20))=0,"后置依据缺失","后置已记录")),IF(N20="不适用",IF(AND(R20="不适用",LEN(TRIM(S20))&gt;0),"有据不适用","不适用依据缺失"),IF(OR(LEN(TRIM(I20))=0,LEN(TRIM(J20))=0),"需补实际证据",N20)))))))))</x:f>
        <x:v>待走查候选</x:v>
      </x:c>
    </x:row>
    <x:row r="21" ht="112.5" customHeight="1">
      <x:c r="A21" s="10" t="str">
        <x:v>RV-UI13</x:v>
      </x:c>
      <x:c r="B21" s="10" t="str">
        <x:v>UI13</x:v>
      </x:c>
      <x:c r="C21" s="10" t="str">
        <x:v>所有列表区</x:v>
      </x:c>
      <x:c r="D21" s="274" t="str">
        <x:v>Review待核对</x:v>
      </x:c>
      <x:c r="E21" s="274" t="str">
        <x:v>直接复用</x:v>
      </x:c>
      <x:c r="F21" s="274" t="str">
        <x:v>当前原型勾选数据后，批量操作采用页面底部悬浮操作条，与现有通用框架的批量操作方式不一致；悬浮层同时会遮挡部分表格内容</x:v>
      </x:c>
      <x:c r="G21" s="274" t="str">
        <x:v>统一复用通用框架的批量操作栏：勾选数据后，在 Table 顶部展示操作按钮，取消选择后恢复默认状态；选中行同步使用框架统一选中态。不再新增底部悬浮操作条</x:v>
      </x:c>
      <x:c r="H21" s="274" t="str">
        <x:v>待判断</x:v>
      </x:c>
      <x:c r="I21" s="274"/>
      <x:c r="J21" s="274"/>
      <x:c r="K21" s="274" t="str">
        <x:v>开发</x:v>
      </x:c>
      <x:c r="L21" s="274"/>
      <x:c r="M21" s="274"/>
      <x:c r="N21" s="274" t="str">
        <x:v>待走查核对</x:v>
      </x:c>
      <x:c r="O21" s="274"/>
      <x:c r="P21" s="274"/>
      <x:c r="Q21" s="274"/>
      <x:c r="R21" s="274" t="str">
        <x:v>待确认</x:v>
      </x:c>
      <x:c r="S21" s="274"/>
      <x:c r="T21" s="10" t="str">
        <x:v>https://example.invalid/source/6b8b1de5d7</x:v>
      </x:c>
      <x:c r="U21" s="10" t="str">
        <x:f>IF(A21="","",IF(COUNTIFS($A$7:$A$200,A21)&lt;&gt;1,"清单ID重复",IF(COUNTIFS('UI走查'!$A$7:$A$55,B21)&lt;&gt;1,"关联case无效",IF(N21="无需整改",IF(OR(D21&lt;&gt;"Review待核对",R21&lt;&gt;"无需整改",LEN(TRIM(I21))=0,LEN(TRIM(J21))=0,LEN(TRIM('本批提测'!$B$8))=0,J21&lt;&gt;'本批提测'!$B$8,LEN(TRIM(Q21))=0,LEN(TRIM(S21))=0,LEN(TRIM(INDEX('UI走查'!$O$7:$O$55,MATCH(B21,'UI走查'!$A$7:$A$55,0))))=0),"候选核对证据不齐","核对符合"),IF(D21="Review待核对","待走查候选",IF(N21="复查通过",IF(OR(R21&lt;&gt;"修复",H21="待判断",LEN(TRIM(H21))=0,LEN(TRIM(O21))=0,O21&lt;&gt;'本批提测'!$B$8,LEN(TRIM(P21))=0,LEN(TRIM(Q21))=0,LEN(TRIM(I21))=0,LEN(TRIM(J21))=0,LEN(TRIM(INDEX('UI走查'!$O$7:$O$55,MATCH(B21,'UI走查'!$A$7:$A$55,0))))=0),"复查证据/依据不齐","复查闭环"),IF(R21="后置",IF(OR(H21="关键操作阻断",H21="业务规则未明确"),"核心事项不可后置",IF(LEN(TRIM(S21))=0,"后置依据缺失","后置已记录")),IF(N21="不适用",IF(AND(R21="不适用",LEN(TRIM(S21))&gt;0),"有据不适用","不适用依据缺失"),IF(OR(LEN(TRIM(I21))=0,LEN(TRIM(J21))=0),"需补实际证据",N21)))))))))</x:f>
        <x:v>待走查候选</x:v>
      </x:c>
    </x:row>
    <x:row r="22" ht="112.5" customHeight="1">
      <x:c r="A22" s="10" t="str">
        <x:v>RV-UI14</x:v>
      </x:c>
      <x:c r="B22" s="10" t="str">
        <x:v>UI14</x:v>
      </x:c>
      <x:c r="C22" s="10" t="str">
        <x:v>所有列表区</x:v>
      </x:c>
      <x:c r="D22" s="274" t="str">
        <x:v>Review待核对</x:v>
      </x:c>
      <x:c r="E22" s="274" t="str">
        <x:v>直接复用</x:v>
      </x:c>
      <x:c r="F22" s="27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G22" s="27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H22" s="274" t="str">
        <x:v>待判断</x:v>
      </x:c>
      <x:c r="I22" s="274"/>
      <x:c r="J22" s="274"/>
      <x:c r="K22" s="274" t="str">
        <x:v>开发</x:v>
      </x:c>
      <x:c r="L22" s="274"/>
      <x:c r="M22" s="274"/>
      <x:c r="N22" s="274" t="str">
        <x:v>待走查核对</x:v>
      </x:c>
      <x:c r="O22" s="274"/>
      <x:c r="P22" s="274"/>
      <x:c r="Q22" s="274"/>
      <x:c r="R22" s="274" t="str">
        <x:v>待确认</x:v>
      </x:c>
      <x:c r="S22" s="274"/>
      <x:c r="T22" s="10" t="str">
        <x:v>https://example.invalid/source/1b599e2fc3</x:v>
      </x:c>
      <x:c r="U22" s="10" t="str">
        <x:f>IF(A22="","",IF(COUNTIFS($A$7:$A$200,A22)&lt;&gt;1,"清单ID重复",IF(COUNTIFS('UI走查'!$A$7:$A$55,B22)&lt;&gt;1,"关联case无效",IF(N22="无需整改",IF(OR(D22&lt;&gt;"Review待核对",R22&lt;&gt;"无需整改",LEN(TRIM(I22))=0,LEN(TRIM(J22))=0,LEN(TRIM('本批提测'!$B$8))=0,J22&lt;&gt;'本批提测'!$B$8,LEN(TRIM(Q22))=0,LEN(TRIM(S22))=0,LEN(TRIM(INDEX('UI走查'!$O$7:$O$55,MATCH(B22,'UI走查'!$A$7:$A$55,0))))=0),"候选核对证据不齐","核对符合"),IF(D22="Review待核对","待走查候选",IF(N22="复查通过",IF(OR(R22&lt;&gt;"修复",H22="待判断",LEN(TRIM(H22))=0,LEN(TRIM(O22))=0,O22&lt;&gt;'本批提测'!$B$8,LEN(TRIM(P22))=0,LEN(TRIM(Q22))=0,LEN(TRIM(I22))=0,LEN(TRIM(J22))=0,LEN(TRIM(INDEX('UI走查'!$O$7:$O$55,MATCH(B22,'UI走查'!$A$7:$A$55,0))))=0),"复查证据/依据不齐","复查闭环"),IF(R22="后置",IF(OR(H22="关键操作阻断",H22="业务规则未明确"),"核心事项不可后置",IF(LEN(TRIM(S22))=0,"后置依据缺失","后置已记录")),IF(N22="不适用",IF(AND(R22="不适用",LEN(TRIM(S22))&gt;0),"有据不适用","不适用依据缺失"),IF(OR(LEN(TRIM(I22))=0,LEN(TRIM(J22))=0),"需补实际证据",N22)))))))))</x:f>
        <x:v>待走查候选</x:v>
      </x:c>
    </x:row>
    <x:row r="23" ht="112.5" customHeight="1">
      <x:c r="A23" s="10" t="str">
        <x:v>RV-UI15</x:v>
      </x:c>
      <x:c r="B23" s="10" t="str">
        <x:v>UI15</x:v>
      </x:c>
      <x:c r="C23" s="10" t="str">
        <x:v>所有列表区</x:v>
      </x:c>
      <x:c r="D23" s="274" t="str">
        <x:v>Review待核对</x:v>
      </x:c>
      <x:c r="E23" s="274" t="str">
        <x:v>直接复用</x:v>
      </x:c>
      <x:c r="F23" s="274" t="str">
        <x:v>编码使用蓝色链接态但无点击能力，存在错误交互暗示</x:v>
      </x:c>
      <x:c r="G23" s="274" t="str">
        <x:v>建议无跳转能力时改为普通文本；如需作为详情入口，则补充完整点击交互。</x:v>
      </x:c>
      <x:c r="H23" s="274" t="str">
        <x:v>待判断</x:v>
      </x:c>
      <x:c r="I23" s="274"/>
      <x:c r="J23" s="274"/>
      <x:c r="K23" s="274" t="str">
        <x:v>产品</x:v>
      </x:c>
      <x:c r="L23" s="274"/>
      <x:c r="M23" s="274"/>
      <x:c r="N23" s="274" t="str">
        <x:v>待走查核对</x:v>
      </x:c>
      <x:c r="O23" s="274"/>
      <x:c r="P23" s="274"/>
      <x:c r="Q23" s="274"/>
      <x:c r="R23" s="274" t="str">
        <x:v>待确认</x:v>
      </x:c>
      <x:c r="S23" s="274"/>
      <x:c r="T23" s="10" t="str">
        <x:v>https://example.invalid/source/6e50208d20</x:v>
      </x:c>
      <x:c r="U23" s="10" t="str">
        <x:f>IF(A23="","",IF(COUNTIFS($A$7:$A$200,A23)&lt;&gt;1,"清单ID重复",IF(COUNTIFS('UI走查'!$A$7:$A$55,B23)&lt;&gt;1,"关联case无效",IF(N23="无需整改",IF(OR(D23&lt;&gt;"Review待核对",R23&lt;&gt;"无需整改",LEN(TRIM(I23))=0,LEN(TRIM(J23))=0,LEN(TRIM('本批提测'!$B$8))=0,J23&lt;&gt;'本批提测'!$B$8,LEN(TRIM(Q23))=0,LEN(TRIM(S23))=0,LEN(TRIM(INDEX('UI走查'!$O$7:$O$55,MATCH(B23,'UI走查'!$A$7:$A$55,0))))=0),"候选核对证据不齐","核对符合"),IF(D23="Review待核对","待走查候选",IF(N23="复查通过",IF(OR(R23&lt;&gt;"修复",H23="待判断",LEN(TRIM(H23))=0,LEN(TRIM(O23))=0,O23&lt;&gt;'本批提测'!$B$8,LEN(TRIM(P23))=0,LEN(TRIM(Q23))=0,LEN(TRIM(I23))=0,LEN(TRIM(J23))=0,LEN(TRIM(INDEX('UI走查'!$O$7:$O$55,MATCH(B23,'UI走查'!$A$7:$A$55,0))))=0),"复查证据/依据不齐","复查闭环"),IF(R23="后置",IF(OR(H23="关键操作阻断",H23="业务规则未明确"),"核心事项不可后置",IF(LEN(TRIM(S23))=0,"后置依据缺失","后置已记录")),IF(N23="不适用",IF(AND(R23="不适用",LEN(TRIM(S23))&gt;0),"有据不适用","不适用依据缺失"),IF(OR(LEN(TRIM(I23))=0,LEN(TRIM(J23))=0),"需补实际证据",N23)))))))))</x:f>
        <x:v>待走查候选</x:v>
      </x:c>
    </x:row>
    <x:row r="24" ht="112.5" customHeight="1">
      <x:c r="A24" s="10" t="str">
        <x:v>RV-UI16</x:v>
      </x:c>
      <x:c r="B24" s="10" t="str">
        <x:v>UI16</x:v>
      </x:c>
      <x:c r="C24" s="10" t="str">
        <x:v>Ai 建档解析</x:v>
      </x:c>
      <x:c r="D24" s="274" t="str">
        <x:v>Review待核对</x:v>
      </x:c>
      <x:c r="E24" s="274" t="str">
        <x:v>直接复用</x:v>
      </x:c>
      <x:c r="F24" s="274" t="str">
        <x:v>当前原型使用弹窗承载，信息量较大、操作链路较长。</x:v>
      </x:c>
      <x:c r="G24" s="27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H24" s="274" t="str">
        <x:v>待判断</x:v>
      </x:c>
      <x:c r="I24" s="274"/>
      <x:c r="J24" s="274"/>
      <x:c r="K24" s="274" t="str">
        <x:v>产品</x:v>
      </x:c>
      <x:c r="L24" s="274"/>
      <x:c r="M24" s="274"/>
      <x:c r="N24" s="274" t="str">
        <x:v>待走查核对</x:v>
      </x:c>
      <x:c r="O24" s="274"/>
      <x:c r="P24" s="274"/>
      <x:c r="Q24" s="274"/>
      <x:c r="R24" s="274" t="str">
        <x:v>待确认</x:v>
      </x:c>
      <x:c r="S24" s="274"/>
      <x:c r="T24" s="10" t="str">
        <x:v>https://example.invalid/source/b8f0d22ccc</x:v>
      </x:c>
      <x:c r="U24" s="10" t="str">
        <x:f>IF(A24="","",IF(COUNTIFS($A$7:$A$200,A24)&lt;&gt;1,"清单ID重复",IF(COUNTIFS('UI走查'!$A$7:$A$55,B24)&lt;&gt;1,"关联case无效",IF(N24="无需整改",IF(OR(D24&lt;&gt;"Review待核对",R24&lt;&gt;"无需整改",LEN(TRIM(I24))=0,LEN(TRIM(J24))=0,LEN(TRIM('本批提测'!$B$8))=0,J24&lt;&gt;'本批提测'!$B$8,LEN(TRIM(Q24))=0,LEN(TRIM(S24))=0,LEN(TRIM(INDEX('UI走查'!$O$7:$O$55,MATCH(B24,'UI走查'!$A$7:$A$55,0))))=0),"候选核对证据不齐","核对符合"),IF(D24="Review待核对","待走查候选",IF(N24="复查通过",IF(OR(R24&lt;&gt;"修复",H24="待判断",LEN(TRIM(H24))=0,LEN(TRIM(O24))=0,O24&lt;&gt;'本批提测'!$B$8,LEN(TRIM(P24))=0,LEN(TRIM(Q24))=0,LEN(TRIM(I24))=0,LEN(TRIM(J24))=0,LEN(TRIM(INDEX('UI走查'!$O$7:$O$55,MATCH(B24,'UI走查'!$A$7:$A$55,0))))=0),"复查证据/依据不齐","复查闭环"),IF(R24="后置",IF(OR(H24="关键操作阻断",H24="业务规则未明确"),"核心事项不可后置",IF(LEN(TRIM(S24))=0,"后置依据缺失","后置已记录")),IF(N24="不适用",IF(AND(R24="不适用",LEN(TRIM(S24))&gt;0),"有据不适用","不适用依据缺失"),IF(OR(LEN(TRIM(I24))=0,LEN(TRIM(J24))=0),"需补实际证据",N24)))))))))</x:f>
        <x:v>待走查候选</x:v>
      </x:c>
    </x:row>
    <x:row r="25" ht="112.5" customHeight="1">
      <x:c r="A25" s="10" t="str">
        <x:v>RV-UI17</x:v>
      </x:c>
      <x:c r="B25" s="10" t="str">
        <x:v>UI17</x:v>
      </x:c>
      <x:c r="C25" s="10" t="str">
        <x:v>全局</x:v>
      </x:c>
      <x:c r="D25" s="274" t="str">
        <x:v>Review待核对</x:v>
      </x:c>
      <x:c r="E25" s="274" t="str">
        <x:v>直接复用</x:v>
      </x:c>
      <x:c r="F25" s="274" t="str">
        <x:v>当前页面刷新后会跳转至其他页面，未保持当前路由，导致用户操作上下文中断。</x:v>
      </x:c>
      <x:c r="G25" s="274" t="str">
        <x:v>页面刷新后应保持当前页面及必要状态，不应发生非预期跳转。</x:v>
      </x:c>
      <x:c r="H25" s="274" t="str">
        <x:v>待判断</x:v>
      </x:c>
      <x:c r="I25" s="274"/>
      <x:c r="J25" s="274"/>
      <x:c r="K25" s="274" t="str">
        <x:v>开发</x:v>
      </x:c>
      <x:c r="L25" s="274"/>
      <x:c r="M25" s="274"/>
      <x:c r="N25" s="274" t="str">
        <x:v>待走查核对</x:v>
      </x:c>
      <x:c r="O25" s="274"/>
      <x:c r="P25" s="274"/>
      <x:c r="Q25" s="274"/>
      <x:c r="R25" s="274" t="str">
        <x:v>待确认</x:v>
      </x:c>
      <x:c r="S25" s="274"/>
      <x:c r="T25" s="10" t="str">
        <x:v>https://example.invalid/source/9ef070c37c</x:v>
      </x:c>
      <x:c r="U25" s="10" t="str">
        <x:f>IF(A25="","",IF(COUNTIFS($A$7:$A$200,A25)&lt;&gt;1,"清单ID重复",IF(COUNTIFS('UI走查'!$A$7:$A$55,B25)&lt;&gt;1,"关联case无效",IF(N25="无需整改",IF(OR(D25&lt;&gt;"Review待核对",R25&lt;&gt;"无需整改",LEN(TRIM(I25))=0,LEN(TRIM(J25))=0,LEN(TRIM('本批提测'!$B$8))=0,J25&lt;&gt;'本批提测'!$B$8,LEN(TRIM(Q25))=0,LEN(TRIM(S25))=0,LEN(TRIM(INDEX('UI走查'!$O$7:$O$55,MATCH(B25,'UI走查'!$A$7:$A$55,0))))=0),"候选核对证据不齐","核对符合"),IF(D25="Review待核对","待走查候选",IF(N25="复查通过",IF(OR(R25&lt;&gt;"修复",H25="待判断",LEN(TRIM(H25))=0,LEN(TRIM(O25))=0,O25&lt;&gt;'本批提测'!$B$8,LEN(TRIM(P25))=0,LEN(TRIM(Q25))=0,LEN(TRIM(I25))=0,LEN(TRIM(J25))=0,LEN(TRIM(INDEX('UI走查'!$O$7:$O$55,MATCH(B25,'UI走查'!$A$7:$A$55,0))))=0),"复查证据/依据不齐","复查闭环"),IF(R25="后置",IF(OR(H25="关键操作阻断",H25="业务规则未明确"),"核心事项不可后置",IF(LEN(TRIM(S25))=0,"后置依据缺失","后置已记录")),IF(N25="不适用",IF(AND(R25="不适用",LEN(TRIM(S25))&gt;0),"有据不适用","不适用依据缺失"),IF(OR(LEN(TRIM(I25))=0,LEN(TRIM(J25))=0),"需补实际证据",N25)))))))))</x:f>
        <x:v>待走查候选</x:v>
      </x:c>
    </x:row>
    <x:row r="26" ht="112.5" customHeight="1">
      <x:c r="A26" s="10" t="str">
        <x:v>RV-UI18</x:v>
      </x:c>
      <x:c r="B26" s="10" t="str">
        <x:v>UI18</x:v>
      </x:c>
      <x:c r="C26" s="10" t="str">
        <x:v>服务单元</x:v>
      </x:c>
      <x:c r="D26" s="274" t="str">
        <x:v>Review待核对</x:v>
      </x:c>
      <x:c r="E26" s="274" t="str">
        <x:v>直接复用</x:v>
      </x:c>
      <x:c r="F26" s="27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G26" s="27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H26" s="274" t="str">
        <x:v>待判断</x:v>
      </x:c>
      <x:c r="I26" s="274"/>
      <x:c r="J26" s="274"/>
      <x:c r="K26" s="274" t="str">
        <x:v>开发、产品</x:v>
      </x:c>
      <x:c r="L26" s="274"/>
      <x:c r="M26" s="274"/>
      <x:c r="N26" s="274" t="str">
        <x:v>待走查核对</x:v>
      </x:c>
      <x:c r="O26" s="274"/>
      <x:c r="P26" s="274"/>
      <x:c r="Q26" s="274"/>
      <x:c r="R26" s="274" t="str">
        <x:v>待确认</x:v>
      </x:c>
      <x:c r="S26" s="274"/>
      <x:c r="T26" s="10" t="str">
        <x:v>https://example.invalid/source/427bd28bda</x:v>
      </x:c>
      <x:c r="U26" s="10" t="str">
        <x:f>IF(A26="","",IF(COUNTIFS($A$7:$A$200,A26)&lt;&gt;1,"清单ID重复",IF(COUNTIFS('UI走查'!$A$7:$A$55,B26)&lt;&gt;1,"关联case无效",IF(N26="无需整改",IF(OR(D26&lt;&gt;"Review待核对",R26&lt;&gt;"无需整改",LEN(TRIM(I26))=0,LEN(TRIM(J26))=0,LEN(TRIM('本批提测'!$B$8))=0,J26&lt;&gt;'本批提测'!$B$8,LEN(TRIM(Q26))=0,LEN(TRIM(S26))=0,LEN(TRIM(INDEX('UI走查'!$O$7:$O$55,MATCH(B26,'UI走查'!$A$7:$A$55,0))))=0),"候选核对证据不齐","核对符合"),IF(D26="Review待核对","待走查候选",IF(N26="复查通过",IF(OR(R26&lt;&gt;"修复",H26="待判断",LEN(TRIM(H26))=0,LEN(TRIM(O26))=0,O26&lt;&gt;'本批提测'!$B$8,LEN(TRIM(P26))=0,LEN(TRIM(Q26))=0,LEN(TRIM(I26))=0,LEN(TRIM(J26))=0,LEN(TRIM(INDEX('UI走查'!$O$7:$O$55,MATCH(B26,'UI走查'!$A$7:$A$55,0))))=0),"复查证据/依据不齐","复查闭环"),IF(R26="后置",IF(OR(H26="关键操作阻断",H26="业务规则未明确"),"核心事项不可后置",IF(LEN(TRIM(S26))=0,"后置依据缺失","后置已记录")),IF(N26="不适用",IF(AND(R26="不适用",LEN(TRIM(S26))&gt;0),"有据不适用","不适用依据缺失"),IF(OR(LEN(TRIM(I26))=0,LEN(TRIM(J26))=0),"需补实际证据",N26)))))))))</x:f>
        <x:v>待走查候选</x:v>
      </x:c>
    </x:row>
    <x:row r="27" ht="112.5" customHeight="1">
      <x:c r="A27" s="10" t="str">
        <x:v>RV-UI36</x:v>
      </x:c>
      <x:c r="B27" s="10" t="str">
        <x:v>UI36</x:v>
      </x:c>
      <x:c r="C27" s="10" t="str">
        <x:v>服务单元</x:v>
      </x:c>
      <x:c r="D27" s="274" t="str">
        <x:v>Review待核对</x:v>
      </x:c>
      <x:c r="E27" s="274" t="str">
        <x:v>直接复用</x:v>
      </x:c>
      <x:c r="F27" s="274" t="str">
        <x:v>1、AI文档建档、新建服务单元位置不合适，
2、当前列表卡片内额外设置 服务单元列表 标题</x:v>
      </x:c>
      <x:c r="G27" s="274" t="str">
        <x:v>1、参照通用框架，将两个创建入口统一调整至页头栏右侧。
2、参照通用框架，取消 服务单元列表 标题</x:v>
      </x:c>
      <x:c r="H27" s="274" t="str">
        <x:v>待判断</x:v>
      </x:c>
      <x:c r="I27" s="274"/>
      <x:c r="J27" s="274"/>
      <x:c r="K27" s="274" t="str">
        <x:v>开发</x:v>
      </x:c>
      <x:c r="L27" s="274"/>
      <x:c r="M27" s="274"/>
      <x:c r="N27" s="274" t="str">
        <x:v>待走查核对</x:v>
      </x:c>
      <x:c r="O27" s="274"/>
      <x:c r="P27" s="274"/>
      <x:c r="Q27" s="274"/>
      <x:c r="R27" s="274" t="str">
        <x:v>待确认</x:v>
      </x:c>
      <x:c r="S27" s="274"/>
      <x:c r="T27" s="10" t="str">
        <x:v>https://example.invalid/source/88683f22ac</x:v>
      </x:c>
      <x:c r="U27" s="10" t="str">
        <x:f>IF(A27="","",IF(COUNTIFS($A$7:$A$200,A27)&lt;&gt;1,"清单ID重复",IF(COUNTIFS('UI走查'!$A$7:$A$55,B27)&lt;&gt;1,"关联case无效",IF(N27="无需整改",IF(OR(D27&lt;&gt;"Review待核对",R27&lt;&gt;"无需整改",LEN(TRIM(I27))=0,LEN(TRIM(J27))=0,LEN(TRIM('本批提测'!$B$8))=0,J27&lt;&gt;'本批提测'!$B$8,LEN(TRIM(Q27))=0,LEN(TRIM(S27))=0,LEN(TRIM(INDEX('UI走查'!$O$7:$O$55,MATCH(B27,'UI走查'!$A$7:$A$55,0))))=0),"候选核对证据不齐","核对符合"),IF(D27="Review待核对","待走查候选",IF(N27="复查通过",IF(OR(R27&lt;&gt;"修复",H27="待判断",LEN(TRIM(H27))=0,LEN(TRIM(O27))=0,O27&lt;&gt;'本批提测'!$B$8,LEN(TRIM(P27))=0,LEN(TRIM(Q27))=0,LEN(TRIM(I27))=0,LEN(TRIM(J27))=0,LEN(TRIM(INDEX('UI走查'!$O$7:$O$55,MATCH(B27,'UI走查'!$A$7:$A$55,0))))=0),"复查证据/依据不齐","复查闭环"),IF(R27="后置",IF(OR(H27="关键操作阻断",H27="业务规则未明确"),"核心事项不可后置",IF(LEN(TRIM(S27))=0,"后置依据缺失","后置已记录")),IF(N27="不适用",IF(AND(R27="不适用",LEN(TRIM(S27))&gt;0),"有据不适用","不适用依据缺失"),IF(OR(LEN(TRIM(I27))=0,LEN(TRIM(J27))=0),"需补实际证据",N27)))))))))</x:f>
        <x:v>待走查候选</x:v>
      </x:c>
    </x:row>
    <x:row r="28" ht="52.5" customHeight="1">
      <x:c r="A28" s="10"/>
      <x:c r="B28" s="10"/>
      <x:c r="C28" s="10"/>
      <x:c r="D28" s="274"/>
      <x:c r="E28" s="274"/>
      <x:c r="F28" s="274"/>
      <x:c r="G28" s="274"/>
      <x:c r="H28" s="274"/>
      <x:c r="I28" s="274"/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274"/>
      <x:c r="T28" s="10"/>
      <x:c r="U28" s="10" t="str">
        <x:f>IF(A28="","",IF(COUNTIFS($A$7:$A$200,A28)&lt;&gt;1,"清单ID重复",IF(COUNTIFS('UI走查'!$A$7:$A$55,B28)&lt;&gt;1,"关联case无效",IF(N28="无需整改",IF(OR(D28&lt;&gt;"Review待核对",R28&lt;&gt;"无需整改",LEN(TRIM(I28))=0,LEN(TRIM(J28))=0,LEN(TRIM('本批提测'!$B$8))=0,J28&lt;&gt;'本批提测'!$B$8,LEN(TRIM(Q28))=0,LEN(TRIM(S28))=0,LEN(TRIM(INDEX('UI走查'!$O$7:$O$55,MATCH(B28,'UI走查'!$A$7:$A$55,0))))=0),"候选核对证据不齐","核对符合"),IF(D28="Review待核对","待走查候选",IF(N28="复查通过",IF(OR(R28&lt;&gt;"修复",H28="待判断",LEN(TRIM(H28))=0,LEN(TRIM(O28))=0,O28&lt;&gt;'本批提测'!$B$8,LEN(TRIM(P28))=0,LEN(TRIM(Q28))=0,LEN(TRIM(I28))=0,LEN(TRIM(J28))=0,LEN(TRIM(INDEX('UI走查'!$O$7:$O$55,MATCH(B28,'UI走查'!$A$7:$A$55,0))))=0),"复查证据/依据不齐","复查闭环"),IF(R28="后置",IF(OR(H28="关键操作阻断",H28="业务规则未明确"),"核心事项不可后置",IF(LEN(TRIM(S28))=0,"后置依据缺失","后置已记录")),IF(N28="不适用",IF(AND(R28="不适用",LEN(TRIM(S28))&gt;0),"有据不适用","不适用依据缺失"),IF(OR(LEN(TRIM(I28))=0,LEN(TRIM(J28))=0),"需补实际证据",N28)))))))))</x:f>
      </x:c>
    </x:row>
    <x:row r="29" ht="52.5" customHeight="1">
      <x:c r="A29" s="10"/>
      <x:c r="B29" s="10"/>
      <x:c r="C29" s="10"/>
      <x:c r="D29" s="274"/>
      <x:c r="E29" s="274"/>
      <x:c r="F29" s="274"/>
      <x:c r="G29" s="274"/>
      <x:c r="H29" s="274"/>
      <x:c r="I29" s="274"/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274"/>
      <x:c r="T29" s="10"/>
      <x:c r="U29" s="10" t="str">
        <x:f>IF(A29="","",IF(COUNTIFS($A$7:$A$200,A29)&lt;&gt;1,"清单ID重复",IF(COUNTIFS('UI走查'!$A$7:$A$55,B29)&lt;&gt;1,"关联case无效",IF(N29="无需整改",IF(OR(D29&lt;&gt;"Review待核对",R29&lt;&gt;"无需整改",LEN(TRIM(I29))=0,LEN(TRIM(J29))=0,LEN(TRIM('本批提测'!$B$8))=0,J29&lt;&gt;'本批提测'!$B$8,LEN(TRIM(Q29))=0,LEN(TRIM(S29))=0,LEN(TRIM(INDEX('UI走查'!$O$7:$O$55,MATCH(B29,'UI走查'!$A$7:$A$55,0))))=0),"候选核对证据不齐","核对符合"),IF(D29="Review待核对","待走查候选",IF(N29="复查通过",IF(OR(R29&lt;&gt;"修复",H29="待判断",LEN(TRIM(H29))=0,LEN(TRIM(O29))=0,O29&lt;&gt;'本批提测'!$B$8,LEN(TRIM(P29))=0,LEN(TRIM(Q29))=0,LEN(TRIM(I29))=0,LEN(TRIM(J29))=0,LEN(TRIM(INDEX('UI走查'!$O$7:$O$55,MATCH(B29,'UI走查'!$A$7:$A$55,0))))=0),"复查证据/依据不齐","复查闭环"),IF(R29="后置",IF(OR(H29="关键操作阻断",H29="业务规则未明确"),"核心事项不可后置",IF(LEN(TRIM(S29))=0,"后置依据缺失","后置已记录")),IF(N29="不适用",IF(AND(R29="不适用",LEN(TRIM(S29))&gt;0),"有据不适用","不适用依据缺失"),IF(OR(LEN(TRIM(I29))=0,LEN(TRIM(J29))=0),"需补实际证据",N29)))))))))</x:f>
      </x:c>
    </x:row>
    <x:row r="30" ht="52.5" customHeight="1">
      <x:c r="A30" s="10"/>
      <x:c r="B30" s="10"/>
      <x:c r="C30" s="10"/>
      <x:c r="D30" s="274"/>
      <x:c r="E30" s="274"/>
      <x:c r="F30" s="274"/>
      <x:c r="G30" s="274"/>
      <x:c r="H30" s="274"/>
      <x:c r="I30" s="274"/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274"/>
      <x:c r="T30" s="10"/>
      <x:c r="U30" s="10" t="str">
        <x:f>IF(A30="","",IF(COUNTIFS($A$7:$A$200,A30)&lt;&gt;1,"清单ID重复",IF(COUNTIFS('UI走查'!$A$7:$A$55,B30)&lt;&gt;1,"关联case无效",IF(N30="无需整改",IF(OR(D30&lt;&gt;"Review待核对",R30&lt;&gt;"无需整改",LEN(TRIM(I30))=0,LEN(TRIM(J30))=0,LEN(TRIM('本批提测'!$B$8))=0,J30&lt;&gt;'本批提测'!$B$8,LEN(TRIM(Q30))=0,LEN(TRIM(S30))=0,LEN(TRIM(INDEX('UI走查'!$O$7:$O$55,MATCH(B30,'UI走查'!$A$7:$A$55,0))))=0),"候选核对证据不齐","核对符合"),IF(D30="Review待核对","待走查候选",IF(N30="复查通过",IF(OR(R30&lt;&gt;"修复",H30="待判断",LEN(TRIM(H30))=0,LEN(TRIM(O30))=0,O30&lt;&gt;'本批提测'!$B$8,LEN(TRIM(P30))=0,LEN(TRIM(Q30))=0,LEN(TRIM(I30))=0,LEN(TRIM(J30))=0,LEN(TRIM(INDEX('UI走查'!$O$7:$O$55,MATCH(B30,'UI走查'!$A$7:$A$55,0))))=0),"复查证据/依据不齐","复查闭环"),IF(R30="后置",IF(OR(H30="关键操作阻断",H30="业务规则未明确"),"核心事项不可后置",IF(LEN(TRIM(S30))=0,"后置依据缺失","后置已记录")),IF(N30="不适用",IF(AND(R30="不适用",LEN(TRIM(S30))&gt;0),"有据不适用","不适用依据缺失"),IF(OR(LEN(TRIM(I30))=0,LEN(TRIM(J30))=0),"需补实际证据",N30)))))))))</x:f>
      </x:c>
    </x:row>
    <x:row r="31" ht="52.5" customHeight="1">
      <x:c r="A31" s="10"/>
      <x:c r="B31" s="10"/>
      <x:c r="C31" s="10"/>
      <x:c r="D31" s="274"/>
      <x:c r="E31" s="274"/>
      <x:c r="F31" s="274"/>
      <x:c r="G31" s="274"/>
      <x:c r="H31" s="274"/>
      <x:c r="I31" s="274"/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274"/>
      <x:c r="T31" s="10"/>
      <x:c r="U31" s="10" t="str">
        <x:f>IF(A31="","",IF(COUNTIFS($A$7:$A$200,A31)&lt;&gt;1,"清单ID重复",IF(COUNTIFS('UI走查'!$A$7:$A$55,B31)&lt;&gt;1,"关联case无效",IF(N31="无需整改",IF(OR(D31&lt;&gt;"Review待核对",R31&lt;&gt;"无需整改",LEN(TRIM(I31))=0,LEN(TRIM(J31))=0,LEN(TRIM('本批提测'!$B$8))=0,J31&lt;&gt;'本批提测'!$B$8,LEN(TRIM(Q31))=0,LEN(TRIM(S31))=0,LEN(TRIM(INDEX('UI走查'!$O$7:$O$55,MATCH(B31,'UI走查'!$A$7:$A$55,0))))=0),"候选核对证据不齐","核对符合"),IF(D31="Review待核对","待走查候选",IF(N31="复查通过",IF(OR(R31&lt;&gt;"修复",H31="待判断",LEN(TRIM(H31))=0,LEN(TRIM(O31))=0,O31&lt;&gt;'本批提测'!$B$8,LEN(TRIM(P31))=0,LEN(TRIM(Q31))=0,LEN(TRIM(I31))=0,LEN(TRIM(J31))=0,LEN(TRIM(INDEX('UI走查'!$O$7:$O$55,MATCH(B31,'UI走查'!$A$7:$A$55,0))))=0),"复查证据/依据不齐","复查闭环"),IF(R31="后置",IF(OR(H31="关键操作阻断",H31="业务规则未明确"),"核心事项不可后置",IF(LEN(TRIM(S31))=0,"后置依据缺失","后置已记录")),IF(N31="不适用",IF(AND(R31="不适用",LEN(TRIM(S31))&gt;0),"有据不适用","不适用依据缺失"),IF(OR(LEN(TRIM(I31))=0,LEN(TRIM(J31))=0),"需补实际证据",N31)))))))))</x:f>
      </x:c>
    </x:row>
    <x:row r="32" ht="52.5" customHeight="1">
      <x:c r="A32" s="10"/>
      <x:c r="B32" s="10"/>
      <x:c r="C32" s="10"/>
      <x:c r="D32" s="274"/>
      <x:c r="E32" s="274"/>
      <x:c r="F32" s="274"/>
      <x:c r="G32" s="274"/>
      <x:c r="H32" s="274"/>
      <x:c r="I32" s="274"/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274"/>
      <x:c r="T32" s="10"/>
      <x:c r="U32" s="10" t="str">
        <x:f>IF(A32="","",IF(COUNTIFS($A$7:$A$200,A32)&lt;&gt;1,"清单ID重复",IF(COUNTIFS('UI走查'!$A$7:$A$55,B32)&lt;&gt;1,"关联case无效",IF(N32="无需整改",IF(OR(D32&lt;&gt;"Review待核对",R32&lt;&gt;"无需整改",LEN(TRIM(I32))=0,LEN(TRIM(J32))=0,LEN(TRIM('本批提测'!$B$8))=0,J32&lt;&gt;'本批提测'!$B$8,LEN(TRIM(Q32))=0,LEN(TRIM(S32))=0,LEN(TRIM(INDEX('UI走查'!$O$7:$O$55,MATCH(B32,'UI走查'!$A$7:$A$55,0))))=0),"候选核对证据不齐","核对符合"),IF(D32="Review待核对","待走查候选",IF(N32="复查通过",IF(OR(R32&lt;&gt;"修复",H32="待判断",LEN(TRIM(H32))=0,LEN(TRIM(O32))=0,O32&lt;&gt;'本批提测'!$B$8,LEN(TRIM(P32))=0,LEN(TRIM(Q32))=0,LEN(TRIM(I32))=0,LEN(TRIM(J32))=0,LEN(TRIM(INDEX('UI走查'!$O$7:$O$55,MATCH(B32,'UI走查'!$A$7:$A$55,0))))=0),"复查证据/依据不齐","复查闭环"),IF(R32="后置",IF(OR(H32="关键操作阻断",H32="业务规则未明确"),"核心事项不可后置",IF(LEN(TRIM(S32))=0,"后置依据缺失","后置已记录")),IF(N32="不适用",IF(AND(R32="不适用",LEN(TRIM(S32))&gt;0),"有据不适用","不适用依据缺失"),IF(OR(LEN(TRIM(I32))=0,LEN(TRIM(J32))=0),"需补实际证据",N32)))))))))</x:f>
      </x:c>
    </x:row>
    <x:row r="33" ht="52.5" customHeight="1">
      <x:c r="A33" s="10"/>
      <x:c r="B33" s="10"/>
      <x:c r="C33" s="10"/>
      <x:c r="D33" s="274"/>
      <x:c r="E33" s="274"/>
      <x:c r="F33" s="274"/>
      <x:c r="G33" s="274"/>
      <x:c r="H33" s="274"/>
      <x:c r="I33" s="274"/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274"/>
      <x:c r="T33" s="10"/>
      <x:c r="U33" s="10" t="str">
        <x:f>IF(A33="","",IF(COUNTIFS($A$7:$A$200,A33)&lt;&gt;1,"清单ID重复",IF(COUNTIFS('UI走查'!$A$7:$A$55,B33)&lt;&gt;1,"关联case无效",IF(N33="无需整改",IF(OR(D33&lt;&gt;"Review待核对",R33&lt;&gt;"无需整改",LEN(TRIM(I33))=0,LEN(TRIM(J33))=0,LEN(TRIM('本批提测'!$B$8))=0,J33&lt;&gt;'本批提测'!$B$8,LEN(TRIM(Q33))=0,LEN(TRIM(S33))=0,LEN(TRIM(INDEX('UI走查'!$O$7:$O$55,MATCH(B33,'UI走查'!$A$7:$A$55,0))))=0),"候选核对证据不齐","核对符合"),IF(D33="Review待核对","待走查候选",IF(N33="复查通过",IF(OR(R33&lt;&gt;"修复",H33="待判断",LEN(TRIM(H33))=0,LEN(TRIM(O33))=0,O33&lt;&gt;'本批提测'!$B$8,LEN(TRIM(P33))=0,LEN(TRIM(Q33))=0,LEN(TRIM(I33))=0,LEN(TRIM(J33))=0,LEN(TRIM(INDEX('UI走查'!$O$7:$O$55,MATCH(B33,'UI走查'!$A$7:$A$55,0))))=0),"复查证据/依据不齐","复查闭环"),IF(R33="后置",IF(OR(H33="关键操作阻断",H33="业务规则未明确"),"核心事项不可后置",IF(LEN(TRIM(S33))=0,"后置依据缺失","后置已记录")),IF(N33="不适用",IF(AND(R33="不适用",LEN(TRIM(S33))&gt;0),"有据不适用","不适用依据缺失"),IF(OR(LEN(TRIM(I33))=0,LEN(TRIM(J33))=0),"需补实际证据",N33)))))))))</x:f>
      </x:c>
    </x:row>
    <x:row r="34" ht="52.5" customHeight="1">
      <x:c r="A34" s="10"/>
      <x:c r="B34" s="10"/>
      <x:c r="C34" s="10"/>
      <x:c r="D34" s="274"/>
      <x:c r="E34" s="274"/>
      <x:c r="F34" s="274"/>
      <x:c r="G34" s="274"/>
      <x:c r="H34" s="274"/>
      <x:c r="I34" s="274"/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274"/>
      <x:c r="T34" s="10"/>
      <x:c r="U34" s="10" t="str">
        <x:f>IF(A34="","",IF(COUNTIFS($A$7:$A$200,A34)&lt;&gt;1,"清单ID重复",IF(COUNTIFS('UI走查'!$A$7:$A$55,B34)&lt;&gt;1,"关联case无效",IF(N34="无需整改",IF(OR(D34&lt;&gt;"Review待核对",R34&lt;&gt;"无需整改",LEN(TRIM(I34))=0,LEN(TRIM(J34))=0,LEN(TRIM('本批提测'!$B$8))=0,J34&lt;&gt;'本批提测'!$B$8,LEN(TRIM(Q34))=0,LEN(TRIM(S34))=0,LEN(TRIM(INDEX('UI走查'!$O$7:$O$55,MATCH(B34,'UI走查'!$A$7:$A$55,0))))=0),"候选核对证据不齐","核对符合"),IF(D34="Review待核对","待走查候选",IF(N34="复查通过",IF(OR(R34&lt;&gt;"修复",H34="待判断",LEN(TRIM(H34))=0,LEN(TRIM(O34))=0,O34&lt;&gt;'本批提测'!$B$8,LEN(TRIM(P34))=0,LEN(TRIM(Q34))=0,LEN(TRIM(I34))=0,LEN(TRIM(J34))=0,LEN(TRIM(INDEX('UI走查'!$O$7:$O$55,MATCH(B34,'UI走查'!$A$7:$A$55,0))))=0),"复查证据/依据不齐","复查闭环"),IF(R34="后置",IF(OR(H34="关键操作阻断",H34="业务规则未明确"),"核心事项不可后置",IF(LEN(TRIM(S34))=0,"后置依据缺失","后置已记录")),IF(N34="不适用",IF(AND(R34="不适用",LEN(TRIM(S34))&gt;0),"有据不适用","不适用依据缺失"),IF(OR(LEN(TRIM(I34))=0,LEN(TRIM(J34))=0),"需补实际证据",N34)))))))))</x:f>
      </x:c>
    </x:row>
    <x:row r="35" ht="52.5" customHeight="1">
      <x:c r="A35" s="10"/>
      <x:c r="B35" s="10"/>
      <x:c r="C35" s="10"/>
      <x:c r="D35" s="274"/>
      <x:c r="E35" s="274"/>
      <x:c r="F35" s="274"/>
      <x:c r="G35" s="274"/>
      <x:c r="H35" s="274"/>
      <x:c r="I35" s="274"/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274"/>
      <x:c r="T35" s="10"/>
      <x:c r="U35" s="10" t="str">
        <x:f>IF(A35="","",IF(COUNTIFS($A$7:$A$200,A35)&lt;&gt;1,"清单ID重复",IF(COUNTIFS('UI走查'!$A$7:$A$55,B35)&lt;&gt;1,"关联case无效",IF(N35="无需整改",IF(OR(D35&lt;&gt;"Review待核对",R35&lt;&gt;"无需整改",LEN(TRIM(I35))=0,LEN(TRIM(J35))=0,LEN(TRIM('本批提测'!$B$8))=0,J35&lt;&gt;'本批提测'!$B$8,LEN(TRIM(Q35))=0,LEN(TRIM(S35))=0,LEN(TRIM(INDEX('UI走查'!$O$7:$O$55,MATCH(B35,'UI走查'!$A$7:$A$55,0))))=0),"候选核对证据不齐","核对符合"),IF(D35="Review待核对","待走查候选",IF(N35="复查通过",IF(OR(R35&lt;&gt;"修复",H35="待判断",LEN(TRIM(H35))=0,LEN(TRIM(O35))=0,O35&lt;&gt;'本批提测'!$B$8,LEN(TRIM(P35))=0,LEN(TRIM(Q35))=0,LEN(TRIM(I35))=0,LEN(TRIM(J35))=0,LEN(TRIM(INDEX('UI走查'!$O$7:$O$55,MATCH(B35,'UI走查'!$A$7:$A$55,0))))=0),"复查证据/依据不齐","复查闭环"),IF(R35="后置",IF(OR(H35="关键操作阻断",H35="业务规则未明确"),"核心事项不可后置",IF(LEN(TRIM(S35))=0,"后置依据缺失","后置已记录")),IF(N35="不适用",IF(AND(R35="不适用",LEN(TRIM(S35))&gt;0),"有据不适用","不适用依据缺失"),IF(OR(LEN(TRIM(I35))=0,LEN(TRIM(J35))=0),"需补实际证据",N35)))))))))</x:f>
      </x:c>
    </x:row>
    <x:row r="36" ht="52.5" customHeight="1">
      <x:c r="A36" s="10"/>
      <x:c r="B36" s="10"/>
      <x:c r="C36" s="10"/>
      <x:c r="D36" s="274"/>
      <x:c r="E36" s="274"/>
      <x:c r="F36" s="274"/>
      <x:c r="G36" s="274"/>
      <x:c r="H36" s="274"/>
      <x:c r="I36" s="274"/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274"/>
      <x:c r="T36" s="10"/>
      <x:c r="U36" s="10" t="str">
        <x:f>IF(A36="","",IF(COUNTIFS($A$7:$A$200,A36)&lt;&gt;1,"清单ID重复",IF(COUNTIFS('UI走查'!$A$7:$A$55,B36)&lt;&gt;1,"关联case无效",IF(N36="无需整改",IF(OR(D36&lt;&gt;"Review待核对",R36&lt;&gt;"无需整改",LEN(TRIM(I36))=0,LEN(TRIM(J36))=0,LEN(TRIM('本批提测'!$B$8))=0,J36&lt;&gt;'本批提测'!$B$8,LEN(TRIM(Q36))=0,LEN(TRIM(S36))=0,LEN(TRIM(INDEX('UI走查'!$O$7:$O$55,MATCH(B36,'UI走查'!$A$7:$A$55,0))))=0),"候选核对证据不齐","核对符合"),IF(D36="Review待核对","待走查候选",IF(N36="复查通过",IF(OR(R36&lt;&gt;"修复",H36="待判断",LEN(TRIM(H36))=0,LEN(TRIM(O36))=0,O36&lt;&gt;'本批提测'!$B$8,LEN(TRIM(P36))=0,LEN(TRIM(Q36))=0,LEN(TRIM(I36))=0,LEN(TRIM(J36))=0,LEN(TRIM(INDEX('UI走查'!$O$7:$O$55,MATCH(B36,'UI走查'!$A$7:$A$55,0))))=0),"复查证据/依据不齐","复查闭环"),IF(R36="后置",IF(OR(H36="关键操作阻断",H36="业务规则未明确"),"核心事项不可后置",IF(LEN(TRIM(S36))=0,"后置依据缺失","后置已记录")),IF(N36="不适用",IF(AND(R36="不适用",LEN(TRIM(S36))&gt;0),"有据不适用","不适用依据缺失"),IF(OR(LEN(TRIM(I36))=0,LEN(TRIM(J36))=0),"需补实际证据",N36)))))))))</x:f>
      </x:c>
    </x:row>
    <x:row r="37" ht="52.5" customHeight="1">
      <x:c r="A37" s="10"/>
      <x:c r="B37" s="10"/>
      <x:c r="C37" s="10"/>
      <x:c r="D37" s="274"/>
      <x:c r="E37" s="274"/>
      <x:c r="F37" s="274"/>
      <x:c r="G37" s="274"/>
      <x:c r="H37" s="274"/>
      <x:c r="I37" s="274"/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274"/>
      <x:c r="T37" s="10"/>
      <x:c r="U37" s="10" t="str">
        <x:f>IF(A37="","",IF(COUNTIFS($A$7:$A$200,A37)&lt;&gt;1,"清单ID重复",IF(COUNTIFS('UI走查'!$A$7:$A$55,B37)&lt;&gt;1,"关联case无效",IF(N37="无需整改",IF(OR(D37&lt;&gt;"Review待核对",R37&lt;&gt;"无需整改",LEN(TRIM(I37))=0,LEN(TRIM(J37))=0,LEN(TRIM('本批提测'!$B$8))=0,J37&lt;&gt;'本批提测'!$B$8,LEN(TRIM(Q37))=0,LEN(TRIM(S37))=0,LEN(TRIM(INDEX('UI走查'!$O$7:$O$55,MATCH(B37,'UI走查'!$A$7:$A$55,0))))=0),"候选核对证据不齐","核对符合"),IF(D37="Review待核对","待走查候选",IF(N37="复查通过",IF(OR(R37&lt;&gt;"修复",H37="待判断",LEN(TRIM(H37))=0,LEN(TRIM(O37))=0,O37&lt;&gt;'本批提测'!$B$8,LEN(TRIM(P37))=0,LEN(TRIM(Q37))=0,LEN(TRIM(I37))=0,LEN(TRIM(J37))=0,LEN(TRIM(INDEX('UI走查'!$O$7:$O$55,MATCH(B37,'UI走查'!$A$7:$A$55,0))))=0),"复查证据/依据不齐","复查闭环"),IF(R37="后置",IF(OR(H37="关键操作阻断",H37="业务规则未明确"),"核心事项不可后置",IF(LEN(TRIM(S37))=0,"后置依据缺失","后置已记录")),IF(N37="不适用",IF(AND(R37="不适用",LEN(TRIM(S37))&gt;0),"有据不适用","不适用依据缺失"),IF(OR(LEN(TRIM(I37))=0,LEN(TRIM(J37))=0),"需补实际证据",N37)))))))))</x:f>
      </x:c>
    </x:row>
  </x:sheetData>
  <x:mergeCells>
    <x:mergeCell ref="A2:U2"/>
    <x:mergeCell ref="A3:U3"/>
    <x:mergeCell ref="A5:U5"/>
  </x:mergeCells>
  <x:conditionalFormatting sqref="U7:U37">
    <x:cfRule type="containsText" dxfId="133" priority="1" operator="containsText" text="失败"/>
    <x:cfRule type="containsText" dxfId="134" priority="2" operator="containsText" text="待"/>
  </x:conditionalFormatting>
  <x:dataValidations count="4">
    <x:dataValidation type="list" sqref="D7:D37">
      <x:formula1>"Review待核对,实测问题,缺依据事项"</x:formula1>
    </x:dataValidation>
    <x:dataValidation type="list" sqref="H7:H37">
      <x:formula1>"待判断,关键操作阻断,业务规则未明确,一般视觉差异,普通交互问题"</x:formula1>
    </x:dataValidation>
    <x:dataValidation type="list" sqref="N7:N37">
      <x:formula1>"待走查核对,待明确,待修改,已修待复查,复查通过,无需整改,不适用"</x:formula1>
    </x:dataValidation>
    <x:dataValidation type="list" sqref="R7:R37">
      <x:formula1>"待确认,修复,后置,无需整改,不适用"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c819b61a394e14"/>
  </x:tableParts>
</x:worksheet>
</file>