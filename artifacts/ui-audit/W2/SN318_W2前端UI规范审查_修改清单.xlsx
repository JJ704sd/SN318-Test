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2b0d473fae45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修改清单" sheetId="1" r:id="Rf7c577f9a52141b0"/>
    <x:sheet xmlns:r="http://schemas.openxmlformats.org/officeDocument/2006/relationships" name="W2审查范围" sheetId="2" r:id="Ra91b3dde695b49ef"/>
    <x:sheet xmlns:r="http://schemas.openxmlformats.org/officeDocument/2006/relationships" name="Review与依据" sheetId="3" r:id="Rd17d8ca006a24283"/>
    <x:sheet xmlns:r="http://schemas.openxmlformats.org/officeDocument/2006/relationships" name="截图证据" sheetId="4" r:id="Rd46a914383484f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7">
    <x:font>
      <x:sz val="11"/>
      <x:name val="Carlito"/>
    </x:font>
    <x:font>
      <x:sz val="10"/>
      <x:color rgb="FF243247"/>
      <x:name val="Microsoft YaHei"/>
    </x:font>
    <x:font>
      <x:b/>
      <x:sz val="15"/>
      <x:color rgb="FF243247"/>
      <x:name val="Microsoft YaHei"/>
    </x:font>
    <x:font>
      <x:sz val="10"/>
      <x:color rgb="FF53687D"/>
      <x:name val="Microsoft YaHei"/>
    </x:font>
    <x:font>
      <x:b/>
      <x:sz val="10"/>
      <x:color rgb="FFFFFFFF"/>
      <x:name val="Microsoft YaHei"/>
    </x:font>
    <x:font>
      <x:b/>
      <x:sz val="10"/>
      <x:color rgb="FF243247"/>
      <x:name val="Microsoft YaHei"/>
    </x:font>
    <x:font>
      <x:b/>
      <x:sz val="12"/>
      <x:color rgb="FF243247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44D79"/>
      </x:patternFill>
    </x:fill>
    <x:fill>
      <x:patternFill patternType="solid">
        <x:fgColor rgb="FFFFF3D6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1" xfId="0" applyNumberFormat="1" applyFont="1" applyFill="1" applyBorder="1" applyAlignment="1">
      <x:alignment vertical="top"/>
    </x:xf>
    <x:xf numFmtId="0" fontId="4" fillId="2" borderId="2" xfId="0" applyNumberFormat="1" applyFont="1" applyFill="1" applyBorder="1" applyAlignment="1">
      <x:alignment vertical="top"/>
    </x:xf>
    <x:xf numFmtId="0" fontId="4" fillId="2" borderId="3" xfId="0" applyNumberFormat="1" applyFont="1" applyFill="1" applyBorder="1" applyAlignment="1">
      <x:alignment vertical="top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4" fillId="2" borderId="2" xfId="0" applyNumberFormat="1" applyFont="1" applyFill="1" applyBorder="1" applyAlignment="1">
      <x:alignment horizontal="center" vertical="top" wrapText="1"/>
    </x:xf>
    <x:xf numFmtId="0" fontId="4" fillId="2" borderId="3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right" vertical="top" wrapText="1"/>
    </x:xf>
    <x:xf numFmtId="0" fontId="6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A94537"/>
      </x:font>
      <x:fill>
        <x:patternFill patternType="solid">
          <x:bgColor rgb="FFFDE9E5"/>
        </x:patternFill>
      </x:fill>
    </x:dxf>
    <x:dxf>
      <x:font>
        <x:color rgb="FF805C22"/>
      </x:font>
      <x:fill>
        <x:patternFill patternType="solid">
          <x:bgColor rgb="FFFFF0CF"/>
        </x:patternFill>
      </x:fill>
    </x:dxf>
    <x:dxf>
      <x:font>
        <x:color rgb="FF805C22"/>
      </x:font>
      <x:fill>
        <x:patternFill patternType="solid">
          <x:bgColor rgb="FFFFF0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c5f075b1d7475f" /><Relationship Type="http://schemas.openxmlformats.org/officeDocument/2006/relationships/theme" Target="/xl/theme/theme1.xml" Id="Rea465e03dae746b2" /><Relationship Type="http://schemas.openxmlformats.org/officeDocument/2006/relationships/sharedStrings" Target="/xl/sharedStrings.xml" Id="R5617b21ec87d4e57" /><Relationship Type="http://schemas.openxmlformats.org/officeDocument/2006/relationships/worksheet" Target="/xl/worksheets/sheet1.xml" Id="Rf7c577f9a52141b0" /><Relationship Type="http://schemas.openxmlformats.org/officeDocument/2006/relationships/worksheet" Target="/xl/worksheets/sheet2.xml" Id="Ra91b3dde695b49ef" /><Relationship Type="http://schemas.openxmlformats.org/officeDocument/2006/relationships/worksheet" Target="/xl/worksheets/sheet3.xml" Id="Rd17d8ca006a24283" /><Relationship Type="http://schemas.openxmlformats.org/officeDocument/2006/relationships/worksheet" Target="/xl/worksheets/sheet4.xml" Id="Rd46a914383484f40" /></Relationships>
</file>

<file path=xl/tables/table1.xml><?xml version="1.0" encoding="utf-8"?>
<x:table xmlns:x="http://schemas.openxmlformats.org/spreadsheetml/2006/main" id="1" name="W2FrontendChanges" displayName="W2FrontendChanges" ref="A5:Q17" headerRowCount="1" totalsRowCount="0" totalsRowShown="0">
  <x:tableColumns count="17">
    <x:tableColumn id="1" name="编号"/>
    <x:tableColumn id="2" name="依据类型"/>
    <x:tableColumn id="3" name="处理建议"/>
    <x:tableColumn id="4" name="排期序号"/>
    <x:tableColumn id="5" name="页面/组件"/>
    <x:tableColumn id="6" name="问题或待决事项"/>
    <x:tableColumn id="7" name="实际表现/设计记录"/>
    <x:tableColumn id="8" name="UI规范依据"/>
    <x:tableColumn id="9" name="具体修改建议"/>
    <x:tableColumn id="10" name="复测标准"/>
    <x:tableColumn id="11" name="截图证据"/>
    <x:tableColumn id="12" name="Review/裁决记录"/>
    <x:tableColumn id="13" name="原UI case对照"/>
    <x:tableColumn id="14" name="建议处理角色"/>
    <x:tableColumn id="15" name="责任人（待填）"/>
    <x:tableColumn id="16" name="复测结果"/>
    <x:tableColumn id="17" name="复测Build/证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2Coverage" displayName="W2Coverage" ref="A5:N43" headerRowCount="1" totalsRowCount="0" totalsRowShown="0">
  <x:tableColumns count="14">
    <x:tableColumn id="1" name="排期序号"/>
    <x:tableColumn id="2" name="原表行号"/>
    <x:tableColumn id="3" name="一级目录"/>
    <x:tableColumn id="4" name="二级目录"/>
    <x:tableColumn id="5" name="工作包"/>
    <x:tableColumn id="6" name="源优先级"/>
    <x:tableColumn id="7" name="来源类型"/>
    <x:tableColumn id="8" name="本轮覆盖"/>
    <x:tableColumn id="9" name="实际观察"/>
    <x:tableColumn id="10" name="下一步UI核查点"/>
    <x:tableColumn id="11" name="规范/Review依据"/>
    <x:tableColumn id="12" name="截图"/>
    <x:tableColumn id="13" name="未覆盖/必要条件"/>
    <x:tableColumn id="14" name="源排期人员（产品/开发/测试）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2ReviewSource" displayName="W2ReviewSource" ref="A5:K29" headerRowCount="1" totalsRowCount="0" totalsRowShown="0">
  <x:tableColumns count="11">
    <x:tableColumn id="1" name="资料编号"/>
    <x:tableColumn id="2" name="record_id"/>
    <x:tableColumn id="3" name="页面/模块"/>
    <x:tableColumn id="4" name="源优先级"/>
    <x:tableColumn id="5" name="源五色判断"/>
    <x:tableColumn id="6" name="源确认状态"/>
    <x:tableColumn id="7" name="原型问题原文"/>
    <x:tableColumn id="8" name="Review建议原文"/>
    <x:tableColumn id="9" name="后续处理建议原文"/>
    <x:tableColumn id="10" name="源处理角色"/>
    <x:tableColumn id="11" name="使用边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10867da2a7446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43b9f50ccad41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60f9244b3b14c8f" /></Relationships>
</file>

<file path=xl/worksheets/_rels/sheet4.xml.rels>&#65279;<?xml version="1.0" encoding="utf-8"?><Relationships xmlns="http://schemas.openxmlformats.org/package/2006/relationships"></Relationships>
</file>

<file path=xl/worksheets/sheet1.xml><?xml version="1.0" encoding="utf-8"?>
<x:worksheet xmlns:x="http://schemas.openxmlformats.org/spreadsheetml/2006/main">
  <x:sheetPr>
    <x:tabColor rgb="FF244D79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1" hidden="0" customWidth="1"/>
    <x:col min="2" max="2" width="18" hidden="0" customWidth="1"/>
    <x:col min="3" max="3" width="14" hidden="0" customWidth="1"/>
    <x:col min="4" max="4" width="19" hidden="0" customWidth="1"/>
    <x:col min="5" max="5" width="31" hidden="0" customWidth="1"/>
    <x:col min="6" max="6" width="34" hidden="0" customWidth="1"/>
    <x:col min="7" max="7" width="57" hidden="0" customWidth="1"/>
    <x:col min="8" max="8" width="48" hidden="0" customWidth="1"/>
    <x:col min="9" max="9" width="56" hidden="0" customWidth="1"/>
    <x:col min="10" max="10" width="50" hidden="0" customWidth="1"/>
    <x:col min="11" max="11" width="35" hidden="0" customWidth="1"/>
    <x:col min="12" max="12" width="36" hidden="0" customWidth="1"/>
    <x:col min="13" max="13" width="25" hidden="0" customWidth="1"/>
    <x:col min="14" max="14" width="23" hidden="0" customWidth="1"/>
    <x:col min="15" max="15" width="18" hidden="0" customWidth="1"/>
    <x:col min="16" max="16" width="18" hidden="0" customWidth="1"/>
    <x:col min="17" max="17" width="3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9" customHeight="1">
      <x:c r="A2" s="3" t="str">
        <x:v>W2 前端UI规范审查与修改清单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5" customHeight="1">
      <x:c r="A3" s="5" t="str">
        <x:v>范围：2026-10-12至10-16。38项中3项部分走查，35项未获得入口；4条实测问题与7条设计待确认项分别记录，未提供部署Build。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6" customHeight="1">
      <x:c r="A4" s="21" t="str">
        <x:v>实测问题</x:v>
      </x:c>
      <x:c r="B4" s="21" t="n">
        <x:f>COUNTIFS(B6:B17,"实测问题")</x:f>
        <x:v>4</x:v>
      </x:c>
      <x:c r="C4" s="21" t="str">
        <x:v>设计待确认</x:v>
      </x:c>
      <x:c r="D4" s="21" t="n">
        <x:f>COUNTIFS(B6:B17,"待确认设计项")</x:f>
        <x:v>7</x:v>
      </x:c>
      <x:c r="E4" s="21" t="str">
        <x:v>W2项数</x:v>
      </x:c>
      <x:c r="F4" s="21" t="n">
        <x:f>COUNTA('W2审查范围'!A6:A43)</x:f>
        <x:v>38</x:v>
      </x:c>
      <x:c r="G4" s="21" t="str">
        <x:v>部分走查</x:v>
      </x:c>
      <x:c r="H4" s="21" t="n">
        <x:f>COUNTIFS('W2审查范围'!H6:H43,"部分已走查")</x:f>
        <x:v>3</x:v>
      </x:c>
      <x:c r="I4" s="21" t="str">
        <x:v>未获得入口</x:v>
      </x:c>
      <x:c r="J4" s="21" t="n">
        <x:f>COUNTIFS('W2审查范围'!H6:H43,"未获得入口")</x:f>
        <x:v>35</x:v>
      </x:c>
      <x:c r="K4" s="2"/>
      <x:c r="L4" s="2"/>
      <x:c r="M4" s="2"/>
      <x:c r="N4" s="2"/>
      <x:c r="O4" s="2"/>
      <x:c r="P4" s="2"/>
      <x:c r="Q4" s="2"/>
    </x:row>
    <x:row r="5" ht="40" customHeight="1">
      <x:c r="A5" s="17" t="str">
        <x:v>编号</x:v>
      </x:c>
      <x:c r="B5" s="18" t="str">
        <x:v>依据类型</x:v>
      </x:c>
      <x:c r="C5" s="18" t="str">
        <x:v>处理建议</x:v>
      </x:c>
      <x:c r="D5" s="18" t="str">
        <x:v>排期序号</x:v>
      </x:c>
      <x:c r="E5" s="18" t="str">
        <x:v>页面/组件</x:v>
      </x:c>
      <x:c r="F5" s="18" t="str">
        <x:v>问题或待决事项</x:v>
      </x:c>
      <x:c r="G5" s="18" t="str">
        <x:v>实际表现/设计记录</x:v>
      </x:c>
      <x:c r="H5" s="18" t="str">
        <x:v>UI规范依据</x:v>
      </x:c>
      <x:c r="I5" s="18" t="str">
        <x:v>具体修改建议</x:v>
      </x:c>
      <x:c r="J5" s="18" t="str">
        <x:v>复测标准</x:v>
      </x:c>
      <x:c r="K5" s="18" t="str">
        <x:v>截图证据</x:v>
      </x:c>
      <x:c r="L5" s="18" t="str">
        <x:v>Review/裁决记录</x:v>
      </x:c>
      <x:c r="M5" s="18" t="str">
        <x:v>原UI case对照</x:v>
      </x:c>
      <x:c r="N5" s="18" t="str">
        <x:v>建议处理角色</x:v>
      </x:c>
      <x:c r="O5" s="18" t="str">
        <x:v>责任人（待填）</x:v>
      </x:c>
      <x:c r="P5" s="18" t="str">
        <x:v>复测结果</x:v>
      </x:c>
      <x:c r="Q5" s="19" t="str">
        <x:v>复测Build/证据</x:v>
      </x:c>
    </x:row>
    <x:row r="6" ht="54" customHeight="1">
      <x:c r="A6" s="20" t="str">
        <x:v>W-F01</x:v>
      </x:c>
      <x:c r="B6" s="20" t="str">
        <x:v>实测问题</x:v>
      </x:c>
      <x:c r="C6" s="20" t="str">
        <x:v>优先</x:v>
      </x:c>
      <x:c r="D6" s="20" t="str">
        <x:v>50</x:v>
      </x:c>
      <x:c r="E6" s="20" t="str">
        <x:v>费用项列表</x:v>
      </x:c>
      <x:c r="F6" s="20" t="str">
        <x:v>搜索无结果误用无数据空态</x:v>
      </x:c>
      <x:c r="G6" s="20" t="str">
        <x:v>费用项已有FRT/运费1条。查询UI_W2_NO_MATCH_20261012得0条，却显示“暂无费用项数据”与“新增费用项”；重置恢复1条。</x:v>
      </x:c>
      <x:c r="H6" s="20" t="str">
        <x:v>UI规范§7.2；2xUUpH!A3:C3明确搜索无结果引导清空筛选；排期表02-阶段共识第13项区分三类空态。</x:v>
      </x:c>
      <x:c r="I6" s="20" t="str">
        <x:v>共用列表组件按有效筛选条件区分“无结果”和“从未有数据”；无结果显示调整条件文案及清空/重置入口，真实无数据保留新增入口。文案最终按批准PRD。</x:v>
      </x:c>
      <x:c r="J6" s="20" t="str">
        <x:v>费用项及其他字典分别检查无数据、关键词无结果、状态筛选无结果、重置恢复；页码和总数一致。</x:v>
      </x:c>
      <x:c r="K6" s="20" t="str">
        <x:v>W02、W03
首图：截图证据!A64</x:v>
      </x:c>
      <x:c r="L6" s="20" t="str">
        <x:v>—</x:v>
      </x:c>
      <x:c r="M6" s="20" t="str">
        <x:v>UI09、UI23、UI43</x:v>
      </x:c>
      <x:c r="N6" s="20" t="str">
        <x:v>前端、产品</x:v>
      </x:c>
      <x:c r="O6" s="22"/>
      <x:c r="P6" s="22" t="str">
        <x:v>未执行</x:v>
      </x:c>
      <x:c r="Q6" s="22"/>
    </x:row>
    <x:row r="7" ht="52" customHeight="1">
      <x:c r="A7" s="20" t="str">
        <x:v>W-F02</x:v>
      </x:c>
      <x:c r="B7" s="20" t="str">
        <x:v>实测问题</x:v>
      </x:c>
      <x:c r="C7" s="20" t="str">
        <x:v>常规</x:v>
      </x:c>
      <x:c r="D7" s="20" t="str">
        <x:v>51</x:v>
      </x:c>
      <x:c r="E7" s="20" t="str">
        <x:v>币种/汇率列表</x:v>
      </x:c>
      <x:c r="F7" s="20" t="str">
        <x:v>数字列左对齐</x:v>
      </x:c>
      <x:c r="G7" s="20" t="str">
        <x:v>币种“小数位”值2与汇率“直接倍率”7.20000000的表头/单元格内层均为left；币种横向滚动后可见数字列。</x:v>
      </x:c>
      <x:c r="H7" s="20" t="str">
        <x:v>UI规范§5.8；tkqkxw!A5:C5：数字/金额/重量右对齐。</x:v>
      </x:c>
      <x:c r="I7" s="20" t="str">
        <x:v>按列字段语义给小数位、直接倍率的表头及数据单元格配置右对齐；保持批准的精度和单位口径，不改底层数值。</x:v>
      </x:c>
      <x:c r="J7" s="20" t="str">
        <x:v>零值、大数与不同位数的数字右对齐；编码/币种名称仍按文本列规则；1280横向滚动后样式一致。</x:v>
      </x:c>
      <x:c r="K7" s="20" t="str">
        <x:v>W06、W07、W09
首图：截图证据!A186</x:v>
      </x:c>
      <x:c r="L7" s="20" t="str">
        <x:v>—</x:v>
      </x:c>
      <x:c r="M7" s="20" t="str">
        <x:v>UI20、UI29</x:v>
      </x:c>
      <x:c r="N7" s="20" t="str">
        <x:v>前端</x:v>
      </x:c>
      <x:c r="O7" s="22"/>
      <x:c r="P7" s="22" t="str">
        <x:v>未执行</x:v>
      </x:c>
      <x:c r="Q7" s="22"/>
    </x:row>
    <x:row r="8" ht="54" customHeight="1">
      <x:c r="A8" s="20" t="str">
        <x:v>W-F03</x:v>
      </x:c>
      <x:c r="B8" s="20" t="str">
        <x:v>实测问题</x:v>
      </x:c>
      <x:c r="C8" s="20" t="str">
        <x:v>常规</x:v>
      </x:c>
      <x:c r="D8" s="20" t="str">
        <x:v>50、51、56</x:v>
      </x:c>
      <x:c r="E8" s="20" t="str">
        <x:v>费用项、币种、汇率列表及业务字典共用操作组件</x:v>
      </x:c>
      <x:c r="F8" s="20" t="str">
        <x:v>操作组居中且gap仅4px</x:v>
      </x:c>
      <x:c r="G8" s="20" t="str">
        <x:v>费用项、币种、汇率已量测.master-data-page__actions：justify-content=center，gap=4px。字典页面使用同类操作组，截图可见。</x:v>
      </x:c>
      <x:c r="H8" s="20" t="str">
        <x:v>UI规范§5.8；tkqkxw!A4:C4操作列左对齐；IOfbnI表格规范文字按钮间距16px。</x:v>
      </x:c>
      <x:c r="I8" s="20" t="str">
        <x:v>将操作组改为左对齐并使用16px间距；同步按按钮实际尺寸调整右固定列宽度，避免增大间距后裁切。保留固定列与危险操作语义色。</x:v>
      </x:c>
      <x:c r="J8" s="20" t="str">
        <x:v>1280和1440各对象列表在初始/最右滚动位置操作完整、可点击；按钮间距16px、左对齐；新增操作项后不溢出。</x:v>
      </x:c>
      <x:c r="K8" s="20" t="str">
        <x:v>W02、W07、W09、W11、W13、W21
首图：截图证据!A64</x:v>
      </x:c>
      <x:c r="L8" s="20" t="str">
        <x:v>—</x:v>
      </x:c>
      <x:c r="M8" s="20" t="str">
        <x:v>UI20、UI21</x:v>
      </x:c>
      <x:c r="N8" s="20" t="str">
        <x:v>前端</x:v>
      </x:c>
      <x:c r="O8" s="22"/>
      <x:c r="P8" s="22" t="str">
        <x:v>未执行</x:v>
      </x:c>
      <x:c r="Q8" s="22"/>
    </x:row>
    <x:row r="9" ht="54" customHeight="1">
      <x:c r="A9" s="20" t="str">
        <x:v>W-F04</x:v>
      </x:c>
      <x:c r="B9" s="20" t="str">
        <x:v>实测问题</x:v>
      </x:c>
      <x:c r="C9" s="20" t="str">
        <x:v>优先</x:v>
      </x:c>
      <x:c r="D9" s="20" t="str">
        <x:v>50、51、56</x:v>
      </x:c>
      <x:c r="E9" s="20" t="str">
        <x:v>费用项、币种、汇率、航空及货物编辑表单</x:v>
      </x:c>
      <x:c r="F9" s="20" t="str">
        <x:v>字段名未程序化关联输入控件</x:v>
      </x:c>
      <x:c r="G9" s="20" t="str">
        <x:v>已量测费用项/币种/汇率/航空input的id为空、labels=0、aria-label/aria-labelledby缺失；货物说明textarea同样缺关联。AX中的输入节点未带相应字段名。视觉标签存在。</x:v>
      </x:c>
      <x:c r="H9" s="20" t="str">
        <x:v>公共用例库§5.3标签与键盘可读性；原UI49；UI规范§5.7字段名对应输入控件。关联缺失来自DOM与AX，未做完整读屏软件测试。</x:v>
      </x:c>
      <x:c r="I9" s="20" t="str">
        <x:v>生成稳定唯一字段ID，用label[for]或aria-labelledby关联实际聚焦节点；Select/数字输入透传名称。条件字段和新增/编辑复用时避免重复ID，错误说明按需要关联aria-describedby。</x:v>
      </x:c>
      <x:c r="J9" s="20" t="str">
        <x:v>AX/读屏能读出字段名、值和只读/禁用状态；点击标签聚焦正确；键盘顺序、焦点和错误关联在不同表单状态下保持一致。</x:v>
      </x:c>
      <x:c r="K9" s="20" t="str">
        <x:v>W04、W08、W10、W12、W15、W22
首图：截图证据!A126</x:v>
      </x:c>
      <x:c r="L9" s="20" t="str">
        <x:v>—</x:v>
      </x:c>
      <x:c r="M9" s="20" t="str">
        <x:v>UI25、UI44、UI49</x:v>
      </x:c>
      <x:c r="N9" s="20" t="str">
        <x:v>前端、UI</x:v>
      </x:c>
      <x:c r="O9" s="22"/>
      <x:c r="P9" s="22" t="str">
        <x:v>未执行</x:v>
      </x:c>
      <x:c r="Q9" s="22"/>
    </x:row>
    <x:row r="10" ht="54" customHeight="1">
      <x:c r="A10" s="20" t="str">
        <x:v>W-C01</x:v>
      </x:c>
      <x:c r="B10" s="20" t="str">
        <x:v>待确认设计项</x:v>
      </x:c>
      <x:c r="C10" s="20" t="str">
        <x:v>先定稿</x:v>
      </x:c>
      <x:c r="D10" s="20" t="str">
        <x:v>50、51、56</x:v>
      </x:c>
      <x:c r="E10" s="20" t="str">
        <x:v>基础配置</x:v>
      </x:c>
      <x:c r="F10" s="20" t="str">
        <x:v>分类层级与新增入口需按采纳稿统一</x:v>
      </x:c>
      <x:c r="G10" s="20" t="str">
        <x:v>实测仍为主数据/计价底座分组文字、下方胶囊按钮，新增入口在页头。Review要求一级Tabs及列表区域新增，状态为设计完毕。尚未核实本批采用的专项稿。</x:v>
      </x:c>
      <x:c r="H10" s="20" t="str">
        <x:v>Review review-67fb39add5；UI规范§5.17；阶段共识第15项。</x:v>
      </x:c>
      <x:c r="I10" s="20" t="str">
        <x:v>UI/产品确认本批采用稿与例外后，按批准稿调整分类层级和新增入口；保留现有设计则登记差异及理由。</x:v>
      </x:c>
      <x:c r="J10" s="20" t="str">
        <x:v>逐级切换后的标题/对象/列表与新增目标一致；键盘切换和返回上下文正确。</x:v>
      </x:c>
      <x:c r="K10" s="20" t="str">
        <x:v>W02、W21
首图：截图证据!A64</x:v>
      </x:c>
      <x:c r="L10" s="20" t="str">
        <x:v>review-67fb39add5</x:v>
      </x:c>
      <x:c r="M10" s="20" t="str">
        <x:v>—</x:v>
      </x:c>
      <x:c r="N10" s="20" t="str">
        <x:v>UI、产品、前端</x:v>
      </x:c>
      <x:c r="O10" s="22"/>
      <x:c r="P10" s="22" t="str">
        <x:v>未执行</x:v>
      </x:c>
      <x:c r="Q10" s="22"/>
    </x:row>
    <x:row r="11" ht="52" customHeight="1">
      <x:c r="A11" s="20" t="str">
        <x:v>W-C02</x:v>
      </x:c>
      <x:c r="B11" s="20" t="str">
        <x:v>待确认设计项</x:v>
      </x:c>
      <x:c r="C11" s="20" t="str">
        <x:v>先定稿</x:v>
      </x:c>
      <x:c r="D11" s="20" t="str">
        <x:v>3</x:v>
      </x:c>
      <x:c r="E11" s="20" t="str">
        <x:v>服务单元新增/编辑</x:v>
      </x:c>
      <x:c r="F11" s="20" t="str">
        <x:v>新增承载方式等待专项稿收敛</x:v>
      </x:c>
      <x:c r="G11" s="20" t="str">
        <x:v>本轮未访问服务单元页面。当前Review记载新建弹窗内容过长，建议改独立页面，状态修改中。此为设计资料，不是本轮实测缺陷。</x:v>
      </x:c>
      <x:c r="H11" s="20" t="str">
        <x:v>Review review-de7057751b；UI规范§6.4；阶段共识第15项。</x:v>
      </x:c>
      <x:c r="I11" s="20" t="str">
        <x:v>UI完成新增/编辑页面稿并标注字段分组、底部操作和返回路径；前端按定稿改承载。是否同时调整编辑须在稿中明确。</x:v>
      </x:c>
      <x:c r="J11" s="20" t="str">
        <x:v>获得页面后核对信息层级、滚动、返回、取消和保存入口；覆盖1440/1280及错误态。</x:v>
      </x:c>
      <x:c r="K11" s="20" t="str">
        <x:v>未实测；参见Review与依据</x:v>
      </x:c>
      <x:c r="L11" s="20" t="str">
        <x:v>review-de7057751b</x:v>
      </x:c>
      <x:c r="M11" s="20" t="str">
        <x:v>—</x:v>
      </x:c>
      <x:c r="N11" s="20" t="str">
        <x:v>UI、产品、前端</x:v>
      </x:c>
      <x:c r="O11" s="22"/>
      <x:c r="P11" s="22" t="str">
        <x:v>未执行</x:v>
      </x:c>
      <x:c r="Q11" s="22"/>
    </x:row>
    <x:row r="12" ht="54" customHeight="1">
      <x:c r="A12" s="20" t="str">
        <x:v>W-C03</x:v>
      </x:c>
      <x:c r="B12" s="20" t="str">
        <x:v>待确认设计项</x:v>
      </x:c>
      <x:c r="C12" s="20" t="str">
        <x:v>先裁定</x:v>
      </x:c>
      <x:c r="D12" s="20" t="str">
        <x:v>4</x:v>
      </x:c>
      <x:c r="E12" s="20" t="str">
        <x:v>服务单元详情</x:v>
      </x:c>
      <x:c r="F12" s="20" t="str">
        <x:v>整页与Drawer两条建议存在适用冲突</x:v>
      </x:c>
      <x:c r="G12" s="20" t="str">
        <x:v>最新Review review-331da30eb4已改为“服务单元详情”，仍建议新页面且确认状态为空；review-f828afea0f建议Drawer且待确认。本轮没有访问实际详情。</x:v>
      </x:c>
      <x:c r="H12" s="20" t="str">
        <x:v>UI Review上述两条；UI规范§6.2/§6.3；阶段共识第8/15项。</x:v>
      </x:c>
      <x:c r="I12" s="20" t="str">
        <x:v>UI/产品按连续查看场景和信息量明确本批唯一承载稿，更新两条记录的适用范围；前端据此实现，不同时按两种候选改同一入口。</x:v>
      </x:c>
      <x:c r="J12" s="20" t="str">
        <x:v>选定承载后验证只读分组、长内容滚动、标题/底部操作可达和返回列表上下文。</x:v>
      </x:c>
      <x:c r="K12" s="20" t="str">
        <x:v>未实测；参见Review与依据</x:v>
      </x:c>
      <x:c r="L12" s="20" t="str">
        <x:v>review-331da30eb4；review-f828afea0f</x:v>
      </x:c>
      <x:c r="M12" s="20" t="str">
        <x:v>—</x:v>
      </x:c>
      <x:c r="N12" s="20" t="str">
        <x:v>UI、产品</x:v>
      </x:c>
      <x:c r="O12" s="22"/>
      <x:c r="P12" s="22" t="str">
        <x:v>未执行</x:v>
      </x:c>
      <x:c r="Q12" s="22"/>
    </x:row>
    <x:row r="13" ht="52" customHeight="1">
      <x:c r="A13" s="20" t="str">
        <x:v>W-C04</x:v>
      </x:c>
      <x:c r="B13" s="20" t="str">
        <x:v>待确认设计项</x:v>
      </x:c>
      <x:c r="C13" s="20" t="str">
        <x:v>常规</x:v>
      </x:c>
      <x:c r="D13" s="20" t="str">
        <x:v>5</x:v>
      </x:c>
      <x:c r="E13" s="20" t="str">
        <x:v>服务单元禁用编排</x:v>
      </x:c>
      <x:c r="F13" s="20" t="str">
        <x:v>风险确认图标待统一</x:v>
      </x:c>
      <x:c r="G13" s="20" t="str">
        <x:v>Review记录普通信息图标不符合“禁用编排”风险语义，建议Warning，状态待确认；本轮未打开业务确认弹窗。</x:v>
      </x:c>
      <x:c r="H13" s="20" t="str">
        <x:v>Review review-c79c73690c；UI规范§5.10、§7.3。</x:v>
      </x:c>
      <x:c r="I13" s="20" t="str">
        <x:v>在采纳风险确认稿后统一Warning图标/语义色和确认/取消层级；关联影响说明使用PRD批准文案。</x:v>
      </x:c>
      <x:c r="J13" s="20" t="str">
        <x:v>验证风险提示语义、键盘默认焦点、取消返回；状态/引用影响分支需独立样本。</x:v>
      </x:c>
      <x:c r="K13" s="20" t="str">
        <x:v>未实测；参见Review与依据</x:v>
      </x:c>
      <x:c r="L13" s="20" t="str">
        <x:v>review-c79c73690c</x:v>
      </x:c>
      <x:c r="M13" s="20" t="str">
        <x:v>—</x:v>
      </x:c>
      <x:c r="N13" s="20" t="str">
        <x:v>UI、产品、前端</x:v>
      </x:c>
      <x:c r="O13" s="22"/>
      <x:c r="P13" s="22" t="str">
        <x:v>未执行</x:v>
      </x:c>
      <x:c r="Q13" s="22"/>
    </x:row>
    <x:row r="14" ht="52" customHeight="1">
      <x:c r="A14" s="20" t="str">
        <x:v>W-C05</x:v>
      </x:c>
      <x:c r="B14" s="20" t="str">
        <x:v>待确认设计项</x:v>
      </x:c>
      <x:c r="C14" s="20" t="str">
        <x:v>常规</x:v>
      </x:c>
      <x:c r="D14" s="20" t="str">
        <x:v>3</x:v>
      </x:c>
      <x:c r="E14" s="20" t="str">
        <x:v>服务单元下单规则选择</x:v>
      </x:c>
      <x:c r="F14" s="20" t="str">
        <x:v>已选信息重复反馈待产品/UI裁定</x:v>
      </x:c>
      <x:c r="G14" s="20" t="str">
        <x:v>Review记录Checkbox、顶部Tag及底部数量反馈重复，建议删除重复信息，状态待确认。本轮未访问该配置。</x:v>
      </x:c>
      <x:c r="H14" s="20" t="str">
        <x:v>Review review-24220c26b9；UI规范§5.5。</x:v>
      </x:c>
      <x:c r="I14" s="20" t="str">
        <x:v>按采纳稿保留清晰的选中反馈；先明确跨搜索、跨页已选项的查看需求，再决定是否移除Tag/汇总，避免删除必要反馈。</x:v>
      </x:c>
      <x:c r="J14" s="20" t="str">
        <x:v>无选择、全选、筛选后选择、跨页和取消选择时，已选项可核对且状态不丢失。</x:v>
      </x:c>
      <x:c r="K14" s="20" t="str">
        <x:v>未实测；参见Review与依据</x:v>
      </x:c>
      <x:c r="L14" s="20" t="str">
        <x:v>review-24220c26b9</x:v>
      </x:c>
      <x:c r="M14" s="20" t="str">
        <x:v>—</x:v>
      </x:c>
      <x:c r="N14" s="20" t="str">
        <x:v>产品、UI、前端</x:v>
      </x:c>
      <x:c r="O14" s="22"/>
      <x:c r="P14" s="22" t="str">
        <x:v>未执行</x:v>
      </x:c>
      <x:c r="Q14" s="22"/>
    </x:row>
    <x:row r="15" ht="52" customHeight="1">
      <x:c r="A15" s="20" t="str">
        <x:v>W-C06</x:v>
      </x:c>
      <x:c r="B15" s="20" t="str">
        <x:v>待确认设计项</x:v>
      </x:c>
      <x:c r="C15" s="20" t="str">
        <x:v>先定稿</x:v>
      </x:c>
      <x:c r="D15" s="20" t="str">
        <x:v>15</x:v>
      </x:c>
      <x:c r="E15" s="20" t="str">
        <x:v>计费明细行内编辑</x:v>
      </x:c>
      <x:c r="F15" s="20" t="str">
        <x:v>共用行内编辑规范尚在修改</x:v>
      </x:c>
      <x:c r="G15" s="20" t="str">
        <x:v>UI Review全局行内编辑记录状态修改中；没有可用于本轮的最终交互细节。计费明细行操作页面未访问。</x:v>
      </x:c>
      <x:c r="H15" s="20" t="str">
        <x:v>Review review-294de09d51；UI规范§5.7/§5.8。</x:v>
      </x:c>
      <x:c r="I15" s="20" t="str">
        <x:v>补齐编辑/保存/取消/校验错误/处理中及冲突状态稿，明确键盘行为、焦点回落和受影响行范围，前端按批准组件实现。</x:v>
      </x:c>
      <x:c r="J15" s="20" t="str">
        <x:v>逐状态验证焦点、按钮可用性、错误就近提示和其他行的阅读/操作；需可控错误/冲突样本。</x:v>
      </x:c>
      <x:c r="K15" s="20" t="str">
        <x:v>未实测；参见Review与依据</x:v>
      </x:c>
      <x:c r="L15" s="20" t="str">
        <x:v>review-294de09d51</x:v>
      </x:c>
      <x:c r="M15" s="20" t="str">
        <x:v>—</x:v>
      </x:c>
      <x:c r="N15" s="20" t="str">
        <x:v>UI、产品、前端</x:v>
      </x:c>
      <x:c r="O15" s="22"/>
      <x:c r="P15" s="22" t="str">
        <x:v>未执行</x:v>
      </x:c>
      <x:c r="Q15" s="22"/>
    </x:row>
    <x:row r="16" ht="54" customHeight="1">
      <x:c r="A16" s="20" t="str">
        <x:v>W-C07</x:v>
      </x:c>
      <x:c r="B16" s="20" t="str">
        <x:v>待确认设计项</x:v>
      </x:c>
      <x:c r="C16" s="20" t="str">
        <x:v>先裁定</x:v>
      </x:c>
      <x:c r="D16" s="20" t="str">
        <x:v>W2共用组件</x:v>
      </x:c>
      <x:c r="E16" s="20" t="str">
        <x:v>全局表格、Tabs与页头</x:v>
      </x:c>
      <x:c r="F16" s="20" t="str">
        <x:v>规范内参数冲突需统一批准值</x:v>
      </x:c>
      <x:c r="G16" s="20" t="str">
        <x:v>既有用例DEC18记载表头#F7F8FA/#F7F7F7、列表Tabs40px/触达至少44px、页头94px/4倍数的规范冲突；当前规范文档仍为rev5256。未任取一值判失败。</x:v>
      </x:c>
      <x:c r="H16" s="20" t="str">
        <x:v>原DEC18；UI规范§4.2/§4.5/§5.8/§5.17及内嵌表。</x:v>
      </x:c>
      <x:c r="I16" s="20" t="str">
        <x:v>UI维护者给出场景适用值或批准例外并更新Token/规范；前端再统一组件，不依据相互冲突参数单独修尺寸。</x:v>
      </x:c>
      <x:c r="J16" s="20" t="str">
        <x:v>按批准参数在对应视口与设备场景复核；将版本和例外同步记录在复测Build资料。</x:v>
      </x:c>
      <x:c r="K16" s="20" t="str">
        <x:v>未实测；参见Review与依据</x:v>
      </x:c>
      <x:c r="L16" s="20" t="str">
        <x:v>DEC18</x:v>
      </x:c>
      <x:c r="M16" s="20" t="str">
        <x:v>—</x:v>
      </x:c>
      <x:c r="N16" s="20" t="str">
        <x:v>UI</x:v>
      </x:c>
      <x:c r="O16" s="22"/>
      <x:c r="P16" s="22" t="str">
        <x:v>未执行</x:v>
      </x:c>
      <x:c r="Q16" s="22"/>
    </x:row>
    <x:row r="17" ht="124" customHeight="1">
      <x:c r="A17" s="20" t="str">
        <x:v>W-A01</x:v>
      </x:c>
      <x:c r="B17" s="20" t="str">
        <x:v>访问条件项</x:v>
      </x:c>
      <x:c r="C17" s="20" t="str">
        <x:v>补入口</x:v>
      </x:c>
      <x:c r="D17" s="20" t="str">
        <x:v>1、2、3、4、5、7、8、9、10、11、12、13、14、15、16、17、18、19、20、21、22、23、24、25、26、27、28、29、52、53、54、55、57、58、65</x:v>
      </x:c>
      <x:c r="E17" s="20" t="str">
        <x:v>其余35个W2工作包</x:v>
      </x:c>
      <x:c r="F17" s="20" t="str">
        <x:v>当前环境未获得业务页面入口</x:v>
      </x:c>
      <x:c r="G17" s="20" t="str">
        <x:v>已登录账号显示PCS M1全量授权，展开桌面导航后仅系统配置/基础配置。未见服务管理、价格维护、其他参数配置及操作日志入口；不能据此断言未实现或权限配置错误。</x:v>
      </x:c>
      <x:c r="H17" s="20" t="str">
        <x:v>W2排期01-排期周视图J列；阶段共识第9/12/17项；W02实测导航截图。</x:v>
      </x:c>
      <x:c r="I17" s="20" t="str">
        <x:v>交付对应工作包的环境/入口/可访问角色/Build清单，再逐项执行W2范围表中的检查点。对原型待确认/无入口项先确认PRD范围与承载位置。</x:v>
      </x:c>
      <x:c r="J17" s="20" t="str">
        <x:v>38个工作包均能定位角色、入口、关键操作及预期界面；未进入的页面保持未走查，不以基础配置对象替代。</x:v>
      </x:c>
      <x:c r="K17" s="20" t="str">
        <x:v>W02
首图：截图证据!A64</x:v>
      </x:c>
      <x:c r="L17" s="20" t="str">
        <x:v>—</x:v>
      </x:c>
      <x:c r="M17" s="20" t="str">
        <x:v>—</x:v>
      </x:c>
      <x:c r="N17" s="20" t="str">
        <x:v>项目/产品、开发</x:v>
      </x:c>
      <x:c r="O17" s="22"/>
      <x:c r="P17" s="22" t="str">
        <x:v>未执行</x:v>
      </x:c>
      <x:c r="Q17" s="22"/>
    </x:row>
  </x:sheetData>
  <x:conditionalFormatting sqref="B6:B17">
    <x:cfRule type="expression" dxfId="0" priority="1">
      <x:formula>B6="实测问题"</x:formula>
    </x:cfRule>
    <x:cfRule type="expression" dxfId="1" priority="2">
      <x:formula>B6="待确认设计项"</x:formula>
    </x:cfRule>
  </x:conditionalFormatting>
  <x:dataValidations count="1">
    <x:dataValidation type="list" sqref="P6:P17">
      <x:formula1>"未执行,通过,失败,受阻"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10867da2a7446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7" hidden="0" customWidth="1"/>
    <x:col min="5" max="5" width="41" hidden="0" customWidth="1"/>
    <x:col min="6" max="6" width="13" hidden="0" customWidth="1"/>
    <x:col min="7" max="7" width="20" hidden="0" customWidth="1"/>
    <x:col min="8" max="8" width="19" hidden="0" customWidth="1"/>
    <x:col min="9" max="9" width="52" hidden="0" customWidth="1"/>
    <x:col min="10" max="10" width="62" hidden="0" customWidth="1"/>
    <x:col min="11" max="11" width="49" hidden="0" customWidth="1"/>
    <x:col min="12" max="12" width="31" hidden="0" customWidth="1"/>
    <x:col min="13" max="13" width="67" hidden="0" customWidth="1"/>
    <x:col min="14" max="14" width="4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9" customHeight="1">
      <x:c r="A2" s="3" t="str">
        <x:v>W2 38个工作包的页面覆盖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5" customHeight="1">
      <x:c r="A3" s="5" t="str">
        <x:v>W2=排期J列“UI/开”。部分已走查不等于整项通过；参考Zone、货物类型字典、运输方式字典不代替价格维护Zone、可接货型及计费方式。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0" customHeight="1">
      <x:c r="A5" s="17" t="str">
        <x:v>排期序号</x:v>
      </x:c>
      <x:c r="B5" s="18" t="str">
        <x:v>原表行号</x:v>
      </x:c>
      <x:c r="C5" s="18" t="str">
        <x:v>一级目录</x:v>
      </x:c>
      <x:c r="D5" s="18" t="str">
        <x:v>二级目录</x:v>
      </x:c>
      <x:c r="E5" s="18" t="str">
        <x:v>工作包</x:v>
      </x:c>
      <x:c r="F5" s="18" t="str">
        <x:v>源优先级</x:v>
      </x:c>
      <x:c r="G5" s="18" t="str">
        <x:v>来源类型</x:v>
      </x:c>
      <x:c r="H5" s="18" t="str">
        <x:v>本轮覆盖</x:v>
      </x:c>
      <x:c r="I5" s="18" t="str">
        <x:v>实际观察</x:v>
      </x:c>
      <x:c r="J5" s="18" t="str">
        <x:v>下一步UI核查点</x:v>
      </x:c>
      <x:c r="K5" s="18" t="str">
        <x:v>规范/Review依据</x:v>
      </x:c>
      <x:c r="L5" s="18" t="str">
        <x:v>截图</x:v>
      </x:c>
      <x:c r="M5" s="18" t="str">
        <x:v>未覆盖/必要条件</x:v>
      </x:c>
      <x:c r="N5" s="19" t="str">
        <x:v>源排期人员（产品/开发/测试）</x:v>
      </x:c>
    </x:row>
    <x:row r="6" ht="52" customHeight="1">
      <x:c r="A6" s="23" t="n">
        <x:v>1</x:v>
      </x:c>
      <x:c r="B6" s="23" t="n">
        <x:v>5</x:v>
      </x:c>
      <x:c r="C6" s="20" t="str">
        <x:v>服务管理</x:v>
      </x:c>
      <x:c r="D6" s="20" t="str">
        <x:v>服务单元</x:v>
      </x:c>
      <x:c r="E6" s="20" t="str">
        <x:v>服务单元列表与筛选</x:v>
      </x:c>
      <x:c r="F6" s="20" t="str">
        <x:v>P0</x:v>
      </x:c>
      <x:c r="G6" s="20" t="str">
        <x:v>PRD</x:v>
      </x:c>
      <x:c r="H6" s="20" t="str">
        <x:v>未获得入口</x:v>
      </x:c>
      <x:c r="I6" s="20" t="str">
        <x:v>当前PCS M1账号导航仅系统配置/基础配置，未获得本工作包业务页面入口。</x:v>
      </x:c>
      <x:c r="J6" s="20" t="str">
        <x:v>筛选控件按栅格排布；查询/重置反馈；表格行高、固定列、数字对齐、分页和筛选空态。</x:v>
      </x:c>
      <x:c r="K6" s="20" t="str">
        <x:v>§5.8、§6.1、§7.1–7.3</x:v>
      </x:c>
      <x:c r="L6" s="20" t="str">
        <x:v>W02（当前导航范围）</x:v>
      </x:c>
      <x:c r="M6" s="20" t="str">
        <x:v>待明确本批部署入口、可访问角色与Build，再执行页面检查。</x:v>
      </x:c>
      <x:c r="N6" s="20" t="str">
        <x:v>人员04 / 人员03 / 人员01</x:v>
      </x:c>
    </x:row>
    <x:row r="7" ht="52" customHeight="1">
      <x:c r="A7" s="23" t="n">
        <x:v>2</x:v>
      </x:c>
      <x:c r="B7" s="23" t="n">
        <x:v>6</x:v>
      </x:c>
      <x:c r="C7" s="20" t="str">
        <x:v>服务管理</x:v>
      </x:c>
      <x:c r="D7" s="20" t="str">
        <x:v>服务单元</x:v>
      </x:c>
      <x:c r="E7" s="20" t="str">
        <x:v>服务单元批量操作</x:v>
      </x:c>
      <x:c r="F7" s="20" t="str">
        <x:v>P0</x:v>
      </x:c>
      <x:c r="G7" s="20" t="str">
        <x:v>PRD</x:v>
      </x:c>
      <x:c r="H7" s="20" t="str">
        <x:v>未获得入口</x:v>
      </x:c>
      <x:c r="I7" s="20" t="str">
        <x:v>当前PCS M1账号导航仅系统配置/基础配置，未获得本工作包业务页面入口。</x:v>
      </x:c>
      <x:c r="J7" s="20" t="str">
        <x:v>勾选后顶部批量栏、取消后恢复；选中底色覆盖固定列；数量与可操作状态一致。</x:v>
      </x:c>
      <x:c r="K7" s="20" t="str">
        <x:v>§5.5、§5.8、§6.1；Review 批量栏/固定列</x:v>
      </x:c>
      <x:c r="L7" s="20" t="str">
        <x:v>W02（当前导航范围）</x:v>
      </x:c>
      <x:c r="M7" s="20" t="str">
        <x:v>待明确本批部署入口、可访问角色与Build，再执行页面检查。</x:v>
      </x:c>
      <x:c r="N7" s="20" t="str">
        <x:v>人员04 / 人员03 / 人员01</x:v>
      </x:c>
    </x:row>
    <x:row r="8" ht="52" customHeight="1">
      <x:c r="A8" s="23" t="n">
        <x:v>3</x:v>
      </x:c>
      <x:c r="B8" s="23" t="n">
        <x:v>7</x:v>
      </x:c>
      <x:c r="C8" s="20" t="str">
        <x:v>服务管理</x:v>
      </x:c>
      <x:c r="D8" s="20" t="str">
        <x:v>服务单元</x:v>
      </x:c>
      <x:c r="E8" s="20" t="str">
        <x:v>新增/编辑服务单元（弹窗）</x:v>
      </x:c>
      <x:c r="F8" s="20" t="str">
        <x:v>P0</x:v>
      </x:c>
      <x:c r="G8" s="20" t="str">
        <x:v>PRD</x:v>
      </x:c>
      <x:c r="H8" s="20" t="str">
        <x:v>未获得入口</x:v>
      </x:c>
      <x:c r="I8" s="20" t="str">
        <x:v>当前PCS M1账号导航仅系统配置/基础配置，未获得本工作包业务页面入口。</x:v>
      </x:c>
      <x:c r="J8" s="20" t="str">
        <x:v>按采纳设计确定整页或弹窗；字段分组、必填、提示、焦点、取消和保存区可达。</x:v>
      </x:c>
      <x:c r="K8" s="20" t="str">
        <x:v>§5.7、§5.10、§6.4；Review服务单元新增</x:v>
      </x:c>
      <x:c r="L8" s="20" t="str">
        <x:v>W02（当前导航范围）</x:v>
      </x:c>
      <x:c r="M8" s="20" t="str">
        <x:v>待明确本批部署入口、可访问角色与Build，再执行页面检查。</x:v>
      </x:c>
      <x:c r="N8" s="20" t="str">
        <x:v>人员04 / 人员03 / 人员01</x:v>
      </x:c>
    </x:row>
    <x:row r="9" ht="52" customHeight="1">
      <x:c r="A9" s="23" t="n">
        <x:v>4</x:v>
      </x:c>
      <x:c r="B9" s="23" t="n">
        <x:v>8</x:v>
      </x:c>
      <x:c r="C9" s="20" t="str">
        <x:v>服务管理</x:v>
      </x:c>
      <x:c r="D9" s="20" t="str">
        <x:v>服务单元</x:v>
      </x:c>
      <x:c r="E9" s="20" t="str">
        <x:v>服务单元详情（只读）</x:v>
      </x:c>
      <x:c r="F9" s="20" t="str">
        <x:v>P1</x:v>
      </x:c>
      <x:c r="G9" s="20" t="str">
        <x:v>PRD</x:v>
      </x:c>
      <x:c r="H9" s="20" t="str">
        <x:v>未获得入口</x:v>
      </x:c>
      <x:c r="I9" s="20" t="str">
        <x:v>当前PCS M1账号导航仅系统配置/基础配置，未获得本工作包业务页面入口。</x:v>
      </x:c>
      <x:c r="J9" s="20" t="str">
        <x:v>先裁定整页/抽屉方案；分组展示、长内容滚动、只读样式、返回与列表上下文保持。</x:v>
      </x:c>
      <x:c r="K9" s="20" t="str">
        <x:v>§6.2、§6.3；Review服务单元详情两条</x:v>
      </x:c>
      <x:c r="L9" s="20" t="str">
        <x:v>W02（当前导航范围）</x:v>
      </x:c>
      <x:c r="M9" s="20" t="str">
        <x:v>待明确本批部署入口、可访问角色与Build，再执行页面检查。</x:v>
      </x:c>
      <x:c r="N9" s="20" t="str">
        <x:v>人员04 / 人员03 / 人员01</x:v>
      </x:c>
    </x:row>
    <x:row r="10" ht="52" customHeight="1">
      <x:c r="A10" s="23" t="n">
        <x:v>5</x:v>
      </x:c>
      <x:c r="B10" s="23" t="n">
        <x:v>9</x:v>
      </x:c>
      <x:c r="C10" s="20" t="str">
        <x:v>服务管理</x:v>
      </x:c>
      <x:c r="D10" s="20" t="str">
        <x:v>服务单元</x:v>
      </x:c>
      <x:c r="E10" s="20" t="str">
        <x:v>禁用编排/启用 与产品引用关系</x:v>
      </x:c>
      <x:c r="F10" s="20" t="str">
        <x:v>P0</x:v>
      </x:c>
      <x:c r="G10" s="20" t="str">
        <x:v>PRD</x:v>
      </x:c>
      <x:c r="H10" s="20" t="str">
        <x:v>未获得入口</x:v>
      </x:c>
      <x:c r="I10" s="20" t="str">
        <x:v>当前PCS M1账号导航仅系统配置/基础配置，未获得本工作包业务页面入口。</x:v>
      </x:c>
      <x:c r="J10" s="20" t="str">
        <x:v>风险图标/语义色匹配；引用关系说明清楚；确认/取消明确；不同状态操作可见性一致。</x:v>
      </x:c>
      <x:c r="K10" s="20" t="str">
        <x:v>§5.1、§5.10、§7.3；Review禁用编排</x:v>
      </x:c>
      <x:c r="L10" s="20" t="str">
        <x:v>W02（当前导航范围）</x:v>
      </x:c>
      <x:c r="M10" s="20" t="str">
        <x:v>待明确本批部署入口、可访问角色与Build，再执行页面检查。</x:v>
      </x:c>
      <x:c r="N10" s="20" t="str">
        <x:v>人员04 / 人员03 / 人员01</x:v>
      </x:c>
    </x:row>
    <x:row r="11" ht="52" customHeight="1">
      <x:c r="A11" s="23" t="n">
        <x:v>7</x:v>
      </x:c>
      <x:c r="B11" s="23" t="n">
        <x:v>11</x:v>
      </x:c>
      <x:c r="C11" s="20" t="str">
        <x:v>服务管理</x:v>
      </x:c>
      <x:c r="D11" s="20" t="str">
        <x:v>服务组合</x:v>
      </x:c>
      <x:c r="E11" s="20" t="str">
        <x:v>服务组合列表页</x:v>
      </x:c>
      <x:c r="F11" s="20" t="str">
        <x:v>P0</x:v>
      </x:c>
      <x:c r="G11" s="20" t="str">
        <x:v>PRD</x:v>
      </x:c>
      <x:c r="H11" s="20" t="str">
        <x:v>未获得入口</x:v>
      </x:c>
      <x:c r="I11" s="20" t="str">
        <x:v>当前PCS M1账号导航仅系统配置/基础配置，未获得本工作包业务页面入口。</x:v>
      </x:c>
      <x:c r="J11" s="20" t="str">
        <x:v>名称/标识固定、字段排版与操作列统一；长文本可读；筛选、分页及空态区分。</x:v>
      </x:c>
      <x:c r="K11" s="20" t="str">
        <x:v>§5.8、§6.1、§7.2</x:v>
      </x:c>
      <x:c r="L11" s="20" t="str">
        <x:v>W02（当前导航范围）</x:v>
      </x:c>
      <x:c r="M11" s="20" t="str">
        <x:v>待明确本批部署入口、可访问角色与Build，再执行页面检查。</x:v>
      </x:c>
      <x:c r="N11" s="20" t="str">
        <x:v>人员04 / 人员03 / 人员05</x:v>
      </x:c>
    </x:row>
    <x:row r="12" ht="52" customHeight="1">
      <x:c r="A12" s="23" t="n">
        <x:v>8</x:v>
      </x:c>
      <x:c r="B12" s="23" t="n">
        <x:v>12</x:v>
      </x:c>
      <x:c r="C12" s="20" t="str">
        <x:v>服务管理</x:v>
      </x:c>
      <x:c r="D12" s="20" t="str">
        <x:v>服务组合</x:v>
      </x:c>
      <x:c r="E12" s="20" t="str">
        <x:v>新增/编辑服务组合</x:v>
      </x:c>
      <x:c r="F12" s="20" t="str">
        <x:v>P0</x:v>
      </x:c>
      <x:c r="G12" s="20" t="str">
        <x:v>PRD</x:v>
      </x:c>
      <x:c r="H12" s="20" t="str">
        <x:v>未获得入口</x:v>
      </x:c>
      <x:c r="I12" s="20" t="str">
        <x:v>当前PCS M1账号导航仅系统配置/基础配置，未获得本工作包业务页面入口。</x:v>
      </x:c>
      <x:c r="J12" s="20" t="str">
        <x:v>成员选择、顺序与分组信息层级清晰；错误与对应字段关联；返回/取消/保存可达。</x:v>
      </x:c>
      <x:c r="K12" s="20" t="str">
        <x:v>§5.3、§5.7、§6.4</x:v>
      </x:c>
      <x:c r="L12" s="20" t="str">
        <x:v>W02（当前导航范围）</x:v>
      </x:c>
      <x:c r="M12" s="20" t="str">
        <x:v>待明确本批部署入口、可访问角色与Build，再执行页面检查。</x:v>
      </x:c>
      <x:c r="N12" s="20" t="str">
        <x:v>人员04 / 人员03 / 人员05</x:v>
      </x:c>
    </x:row>
    <x:row r="13" ht="52" customHeight="1">
      <x:c r="A13" s="23" t="n">
        <x:v>9</x:v>
      </x:c>
      <x:c r="B13" s="23" t="n">
        <x:v>13</x:v>
      </x:c>
      <x:c r="C13" s="20" t="str">
        <x:v>服务管理</x:v>
      </x:c>
      <x:c r="D13" s="20" t="str">
        <x:v>服务组合</x:v>
      </x:c>
      <x:c r="E13" s="20" t="str">
        <x:v>详情与历史版本（只读）</x:v>
      </x:c>
      <x:c r="F13" s="20" t="str">
        <x:v>P1</x:v>
      </x:c>
      <x:c r="G13" s="20" t="str">
        <x:v>PRD</x:v>
      </x:c>
      <x:c r="H13" s="20" t="str">
        <x:v>未获得入口</x:v>
      </x:c>
      <x:c r="I13" s="20" t="str">
        <x:v>当前PCS M1账号导航仅系统配置/基础配置，未获得本工作包业务页面入口。</x:v>
      </x:c>
      <x:c r="J13" s="20" t="str">
        <x:v>历史列表与版本详情切换有返回入口；只读分组清晰；采用批准承载稿，不直接套服务单元方案。</x:v>
      </x:c>
      <x:c r="K13" s="20" t="str">
        <x:v>§6.2、§6.3；Review review-2a5a56bb27仅为服务单元设计资料</x:v>
      </x:c>
      <x:c r="L13" s="20" t="str">
        <x:v>W02（当前导航范围）</x:v>
      </x:c>
      <x:c r="M13" s="20" t="str">
        <x:v>待明确本批部署入口、可访问角色与Build，再执行页面检查。</x:v>
      </x:c>
      <x:c r="N13" s="20" t="str">
        <x:v>人员04 / 人员03 / 人员05</x:v>
      </x:c>
    </x:row>
    <x:row r="14" ht="52" customHeight="1">
      <x:c r="A14" s="23" t="n">
        <x:v>10</x:v>
      </x:c>
      <x:c r="B14" s="23" t="n">
        <x:v>14</x:v>
      </x:c>
      <x:c r="C14" s="20" t="str">
        <x:v>服务管理</x:v>
      </x:c>
      <x:c r="D14" s="20" t="str">
        <x:v>服务组合</x:v>
      </x:c>
      <x:c r="E14" s="20" t="str">
        <x:v>删除引用校验与并发控制</x:v>
      </x:c>
      <x:c r="F14" s="20" t="str">
        <x:v>P1</x:v>
      </x:c>
      <x:c r="G14" s="20" t="str">
        <x:v>PRD</x:v>
      </x:c>
      <x:c r="H14" s="20" t="str">
        <x:v>未获得入口</x:v>
      </x:c>
      <x:c r="I14" s="20" t="str">
        <x:v>当前PCS M1账号导航仅系统配置/基础配置，未获得本工作包业务页面入口。</x:v>
      </x:c>
      <x:c r="J14" s="20" t="str">
        <x:v>删除引用阻断、冲突信息及返回刷新入口清楚；无数据丢失误导。需可控引用/并发样本。</x:v>
      </x:c>
      <x:c r="K14" s="20" t="str">
        <x:v>§5.10、§7.3；业务规则以PRD为准</x:v>
      </x:c>
      <x:c r="L14" s="20" t="str">
        <x:v>W02（当前导航范围）</x:v>
      </x:c>
      <x:c r="M14" s="20" t="str">
        <x:v>待明确本批部署入口、可访问角色与Build，再执行页面检查。</x:v>
      </x:c>
      <x:c r="N14" s="20" t="str">
        <x:v>人员04 / 人员03 / 人员05</x:v>
      </x:c>
    </x:row>
    <x:row r="15" ht="52" customHeight="1">
      <x:c r="A15" s="23" t="n">
        <x:v>11</x:v>
      </x:c>
      <x:c r="B15" s="23" t="n">
        <x:v>15</x:v>
      </x:c>
      <x:c r="C15" s="20" t="str">
        <x:v>服务管理</x:v>
      </x:c>
      <x:c r="D15" s="20" t="str">
        <x:v>策略配置</x:v>
      </x:c>
      <x:c r="E15" s="20" t="str">
        <x:v>策略列表/详情</x:v>
      </x:c>
      <x:c r="F15" s="20" t="str">
        <x:v>P0</x:v>
      </x:c>
      <x:c r="G15" s="20" t="str">
        <x:v>PRD</x:v>
      </x:c>
      <x:c r="H15" s="20" t="str">
        <x:v>未获得入口</x:v>
      </x:c>
      <x:c r="I15" s="20" t="str">
        <x:v>当前PCS M1账号导航仅系统配置/基础配置，未获得本工作包业务页面入口。</x:v>
      </x:c>
      <x:c r="J15" s="20" t="str">
        <x:v>列表/详情入口明确；状态标签与字段分组统一；只读与可编辑界面可区分。</x:v>
      </x:c>
      <x:c r="K15" s="20" t="str">
        <x:v>§5.8、§5.12、§6.2</x:v>
      </x:c>
      <x:c r="L15" s="20" t="str">
        <x:v>W02（当前导航范围）</x:v>
      </x:c>
      <x:c r="M15" s="20" t="str">
        <x:v>待明确本批部署入口、可访问角色与Build，再执行页面检查。</x:v>
      </x:c>
      <x:c r="N15" s="20" t="str">
        <x:v>人员04 / 人员03 / 人员01</x:v>
      </x:c>
    </x:row>
    <x:row r="16" ht="52" customHeight="1">
      <x:c r="A16" s="23" t="n">
        <x:v>12</x:v>
      </x:c>
      <x:c r="B16" s="23" t="n">
        <x:v>16</x:v>
      </x:c>
      <x:c r="C16" s="20" t="str">
        <x:v>价格维护</x:v>
      </x:c>
      <x:c r="D16" s="20" t="str">
        <x:v>成本价卡</x:v>
      </x:c>
      <x:c r="E16" s="20" t="str">
        <x:v>成本价卡列表页</x:v>
      </x:c>
      <x:c r="F16" s="20" t="str">
        <x:v>P0</x:v>
      </x:c>
      <x:c r="G16" s="20" t="str">
        <x:v>PRD</x:v>
      </x:c>
      <x:c r="H16" s="20" t="str">
        <x:v>未获得入口</x:v>
      </x:c>
      <x:c r="I16" s="20" t="str">
        <x:v>当前PCS M1账号导航仅系统配置/基础配置，未获得本工作包业务页面入口。</x:v>
      </x:c>
      <x:c r="J16" s="20" t="str">
        <x:v>金额列右对齐、币种/单位明确；固定关键标识/操作列；筛选、分页、空态可用。</x:v>
      </x:c>
      <x:c r="K16" s="20" t="str">
        <x:v>§5.8、§6.1、§7.2</x:v>
      </x:c>
      <x:c r="L16" s="20" t="str">
        <x:v>W02（当前导航范围）</x:v>
      </x:c>
      <x:c r="M16" s="20" t="str">
        <x:v>待明确本批部署入口、可访问角色与Build，再执行页面检查。</x:v>
      </x:c>
      <x:c r="N16" s="20" t="str">
        <x:v>人员04 / 人员02 / 人员01</x:v>
      </x:c>
    </x:row>
    <x:row r="17" ht="52" customHeight="1">
      <x:c r="A17" s="23" t="n">
        <x:v>13</x:v>
      </x:c>
      <x:c r="B17" s="23" t="n">
        <x:v>17</x:v>
      </x:c>
      <x:c r="C17" s="20" t="str">
        <x:v>价格维护</x:v>
      </x:c>
      <x:c r="D17" s="20" t="str">
        <x:v>成本价卡</x:v>
      </x:c>
      <x:c r="E17" s="20" t="str">
        <x:v>新增/编辑成本价卡-价卡头</x:v>
      </x:c>
      <x:c r="F17" s="20" t="str">
        <x:v>P0</x:v>
      </x:c>
      <x:c r="G17" s="20" t="str">
        <x:v>PRD</x:v>
      </x:c>
      <x:c r="H17" s="20" t="str">
        <x:v>未获得入口</x:v>
      </x:c>
      <x:c r="I17" s="20" t="str">
        <x:v>当前PCS M1账号导航仅系统配置/基础配置，未获得本工作包业务页面入口。</x:v>
      </x:c>
      <x:c r="J17" s="20" t="str">
        <x:v>按信息层级分组；日期/关联字段控件统一；标签、必填与错误提示对应；底部操作区可达。</x:v>
      </x:c>
      <x:c r="K17" s="20" t="str">
        <x:v>§5.2、§5.3、§5.7、§6.4</x:v>
      </x:c>
      <x:c r="L17" s="20" t="str">
        <x:v>W02（当前导航范围）</x:v>
      </x:c>
      <x:c r="M17" s="20" t="str">
        <x:v>待明确本批部署入口、可访问角色与Build，再执行页面检查。</x:v>
      </x:c>
      <x:c r="N17" s="20" t="str">
        <x:v>人员04 / 人员02 / 人员01</x:v>
      </x:c>
    </x:row>
    <x:row r="18" ht="52" customHeight="1">
      <x:c r="A18" s="23" t="n">
        <x:v>14</x:v>
      </x:c>
      <x:c r="B18" s="23" t="n">
        <x:v>18</x:v>
      </x:c>
      <x:c r="C18" s="20" t="str">
        <x:v>价格维护</x:v>
      </x:c>
      <x:c r="D18" s="20" t="str">
        <x:v>成本价卡</x:v>
      </x:c>
      <x:c r="E18" s="20" t="str">
        <x:v>价卡计费明细字段配置</x:v>
      </x:c>
      <x:c r="F18" s="20" t="str">
        <x:v>P0</x:v>
      </x:c>
      <x:c r="G18" s="20" t="str">
        <x:v>PRD</x:v>
      </x:c>
      <x:c r="H18" s="20" t="str">
        <x:v>未获得入口</x:v>
      </x:c>
      <x:c r="I18" s="20" t="str">
        <x:v>当前PCS M1账号导航仅系统配置/基础配置，未获得本工作包业务页面入口。</x:v>
      </x:c>
      <x:c r="J18" s="20" t="str">
        <x:v>字段分组和单位清楚；数字右对齐；条件字段切换后标签/错误不串位。</x:v>
      </x:c>
      <x:c r="K18" s="20" t="str">
        <x:v>§5.7、§5.8、§6.4</x:v>
      </x:c>
      <x:c r="L18" s="20" t="str">
        <x:v>W02（当前导航范围）</x:v>
      </x:c>
      <x:c r="M18" s="20" t="str">
        <x:v>待明确本批部署入口、可访问角色与Build，再执行页面检查。</x:v>
      </x:c>
      <x:c r="N18" s="20" t="str">
        <x:v>人员04 / 人员02 / 人员01</x:v>
      </x:c>
    </x:row>
    <x:row r="19" ht="52" customHeight="1">
      <x:c r="A19" s="23" t="n">
        <x:v>15</x:v>
      </x:c>
      <x:c r="B19" s="23" t="n">
        <x:v>19</x:v>
      </x:c>
      <x:c r="C19" s="20" t="str">
        <x:v>价格维护</x:v>
      </x:c>
      <x:c r="D19" s="20" t="str">
        <x:v>成本价卡</x:v>
      </x:c>
      <x:c r="E19" s="20" t="str">
        <x:v>计费明细行操作与校验</x:v>
      </x:c>
      <x:c r="F19" s="20" t="str">
        <x:v>P0</x:v>
      </x:c>
      <x:c r="G19" s="20" t="str">
        <x:v>PRD</x:v>
      </x:c>
      <x:c r="H19" s="20" t="str">
        <x:v>未获得入口</x:v>
      </x:c>
      <x:c r="I19" s="20" t="str">
        <x:v>当前PCS M1账号导航仅系统配置/基础配置，未获得本工作包业务页面入口。</x:v>
      </x:c>
      <x:c r="J19" s="20" t="str">
        <x:v>行内编辑的编辑/保存/取消/错误状态明确；按钮间距和对齐统一；待行内编辑规范定稿。</x:v>
      </x:c>
      <x:c r="K19" s="20" t="str">
        <x:v>§5.7、§5.8；Review全局行内编辑规范修改中</x:v>
      </x:c>
      <x:c r="L19" s="20" t="str">
        <x:v>W02（当前导航范围）</x:v>
      </x:c>
      <x:c r="M19" s="20" t="str">
        <x:v>待明确本批部署入口、可访问角色与Build，再执行页面检查。</x:v>
      </x:c>
      <x:c r="N19" s="20" t="str">
        <x:v>人员04 / 人员02 / 人员01</x:v>
      </x:c>
    </x:row>
    <x:row r="20" ht="52" customHeight="1">
      <x:c r="A20" s="23" t="n">
        <x:v>16</x:v>
      </x:c>
      <x:c r="B20" s="23" t="n">
        <x:v>20</x:v>
      </x:c>
      <x:c r="C20" s="20" t="str">
        <x:v>价格维护</x:v>
      </x:c>
      <x:c r="D20" s="20" t="str">
        <x:v>成本价卡</x:v>
      </x:c>
      <x:c r="E20" s="20" t="str">
        <x:v>计价范围选择器（起终点分区）</x:v>
      </x:c>
      <x:c r="F20" s="20" t="str">
        <x:v>P0</x:v>
      </x:c>
      <x:c r="G20" s="20" t="str">
        <x:v>PRD</x:v>
      </x:c>
      <x:c r="H20" s="20" t="str">
        <x:v>未获得入口</x:v>
      </x:c>
      <x:c r="I20" s="20" t="str">
        <x:v>当前PCS M1账号导航仅系统配置/基础配置，未获得本工作包业务页面入口。</x:v>
      </x:c>
      <x:c r="J20" s="20" t="str">
        <x:v>搜索结果、已选状态和起终点层级清楚；键盘可操作；不以基础配置参考Zone替代。</x:v>
      </x:c>
      <x:c r="K20" s="20" t="str">
        <x:v>§5.3、§5.5、§5.7</x:v>
      </x:c>
      <x:c r="L20" s="20" t="str">
        <x:v>W02（当前导航范围）</x:v>
      </x:c>
      <x:c r="M20" s="20" t="str">
        <x:v>待明确本批部署入口、可访问角色与Build，再执行页面检查。</x:v>
      </x:c>
      <x:c r="N20" s="20" t="str">
        <x:v>人员04 / 人员02 / 人员01</x:v>
      </x:c>
    </x:row>
    <x:row r="21" ht="52" customHeight="1">
      <x:c r="A21" s="23" t="n">
        <x:v>17</x:v>
      </x:c>
      <x:c r="B21" s="23" t="n">
        <x:v>21</x:v>
      </x:c>
      <x:c r="C21" s="20" t="str">
        <x:v>价格维护</x:v>
      </x:c>
      <x:c r="D21" s="20" t="str">
        <x:v>成本价卡</x:v>
      </x:c>
      <x:c r="E21" s="20" t="str">
        <x:v>成本价卡批量生成（计费要素模板五步）</x:v>
      </x:c>
      <x:c r="F21" s="20" t="str">
        <x:v>P1</x:v>
      </x:c>
      <x:c r="G21" s="20" t="str">
        <x:v>原型（待确认）</x:v>
      </x:c>
      <x:c r="H21" s="20" t="str">
        <x:v>未获得入口</x:v>
      </x:c>
      <x:c r="I21" s="20" t="str">
        <x:v>当前PCS M1账号导航仅系统配置/基础配置，未获得本工作包业务页面入口。</x:v>
      </x:c>
      <x:c r="J21" s="20" t="str">
        <x:v>先确认PRD范围与承载入口；若纳入，步骤导航、上一步/下一步、错误定位和结果反馈完整。</x:v>
      </x:c>
      <x:c r="K21" s="20" t="str">
        <x:v>阶段共识第2/3/12项；§6.4、§7.3</x:v>
      </x:c>
      <x:c r="L21" s="20" t="str">
        <x:v>W02（当前导航范围）</x:v>
      </x:c>
      <x:c r="M21" s="20" t="str">
        <x:v>待明确本批部署入口、可访问角色与Build，再执行页面检查。 原排期备注：⚠ 入口或归属待确认，需产品定</x:v>
      </x:c>
      <x:c r="N21" s="20" t="str">
        <x:v>人员04 / 人员02 / 人员01</x:v>
      </x:c>
    </x:row>
    <x:row r="22" ht="52" customHeight="1">
      <x:c r="A22" s="23" t="n">
        <x:v>18</x:v>
      </x:c>
      <x:c r="B22" s="23" t="n">
        <x:v>22</x:v>
      </x:c>
      <x:c r="C22" s="20" t="str">
        <x:v>价格维护</x:v>
      </x:c>
      <x:c r="D22" s="20" t="str">
        <x:v>成本价卡</x:v>
      </x:c>
      <x:c r="E22" s="20" t="str">
        <x:v>计费要素模板维护</x:v>
      </x:c>
      <x:c r="F22" s="20" t="str">
        <x:v>P1</x:v>
      </x:c>
      <x:c r="G22" s="20" t="str">
        <x:v>原型（待确认）</x:v>
      </x:c>
      <x:c r="H22" s="20" t="str">
        <x:v>未获得入口</x:v>
      </x:c>
      <x:c r="I22" s="20" t="str">
        <x:v>当前PCS M1账号导航仅系统配置/基础配置，未获得本工作包业务页面入口。</x:v>
      </x:c>
      <x:c r="J22" s="20" t="str">
        <x:v>先确认原型功能是否纳入PRD；若纳入，模板字段分组及编辑/预览/保存反馈统一。</x:v>
      </x:c>
      <x:c r="K22" s="20" t="str">
        <x:v>阶段共识第2/3/12项；§5.7、§6.4</x:v>
      </x:c>
      <x:c r="L22" s="20" t="str">
        <x:v>W02（当前导航范围）</x:v>
      </x:c>
      <x:c r="M22" s="20" t="str">
        <x:v>待明确本批部署入口、可访问角色与Build，再执行页面检查。 原排期备注：⚠ 入口或归属待确认，需产品定</x:v>
      </x:c>
      <x:c r="N22" s="20" t="str">
        <x:v>人员04 / 人员02 / 人员01</x:v>
      </x:c>
    </x:row>
    <x:row r="23" ht="52" customHeight="1">
      <x:c r="A23" s="23" t="n">
        <x:v>19</x:v>
      </x:c>
      <x:c r="B23" s="23" t="n">
        <x:v>23</x:v>
      </x:c>
      <x:c r="C23" s="20" t="str">
        <x:v>价格维护</x:v>
      </x:c>
      <x:c r="D23" s="20" t="str">
        <x:v>成本价卡</x:v>
      </x:c>
      <x:c r="E23" s="20" t="str">
        <x:v>成本价卡导入（Excel / AI 文件导入四步）</x:v>
      </x:c>
      <x:c r="F23" s="20" t="str">
        <x:v>P0</x:v>
      </x:c>
      <x:c r="G23" s="20" t="str">
        <x:v>原型</x:v>
      </x:c>
      <x:c r="H23" s="20" t="str">
        <x:v>未获得入口</x:v>
      </x:c>
      <x:c r="I23" s="20" t="str">
        <x:v>当前PCS M1账号导航仅系统配置/基础配置，未获得本工作包业务页面入口。</x:v>
      </x:c>
      <x:c r="J23" s="20" t="str">
        <x:v>上传类型/限制和错误清楚；步骤与回退、解析进度、预览和确认状态完整。未上传或触发AI。</x:v>
      </x:c>
      <x:c r="K23" s="20" t="str">
        <x:v>§5.6、§6.4、§7.1–7.3</x:v>
      </x:c>
      <x:c r="L23" s="20" t="str">
        <x:v>W02（当前导航范围）</x:v>
      </x:c>
      <x:c r="M23" s="20" t="str">
        <x:v>待明确本批部署入口、可访问角色与Build，再执行页面检查。</x:v>
      </x:c>
      <x:c r="N23" s="20" t="str">
        <x:v>人员04 / 人员02 / 人员01</x:v>
      </x:c>
    </x:row>
    <x:row r="24" ht="52" customHeight="1">
      <x:c r="A24" s="23" t="n">
        <x:v>20</x:v>
      </x:c>
      <x:c r="B24" s="23" t="n">
        <x:v>24</x:v>
      </x:c>
      <x:c r="C24" s="20" t="str">
        <x:v>价格维护</x:v>
      </x:c>
      <x:c r="D24" s="20" t="str">
        <x:v>成本价卡</x:v>
      </x:c>
      <x:c r="E24" s="20" t="str">
        <x:v>成本价卡高级复制与覆盖</x:v>
      </x:c>
      <x:c r="F24" s="20" t="str">
        <x:v>P1</x:v>
      </x:c>
      <x:c r="G24" s="20" t="str">
        <x:v>原型（无入口）</x:v>
      </x:c>
      <x:c r="H24" s="20" t="str">
        <x:v>未获得入口</x:v>
      </x:c>
      <x:c r="I24" s="20" t="str">
        <x:v>当前PCS M1账号导航仅系统配置/基础配置，未获得本工作包业务页面入口。</x:v>
      </x:c>
      <x:c r="J24" s="20" t="str">
        <x:v>先确认范围与导航入口；若纳入，复制范围、覆盖风险和确认摘要清楚，不只依赖原型说明。</x:v>
      </x:c>
      <x:c r="K24" s="20" t="str">
        <x:v>阶段共识第3/9/12项；§5.10、§6.4</x:v>
      </x:c>
      <x:c r="L24" s="20" t="str">
        <x:v>W02（当前导航范围）</x:v>
      </x:c>
      <x:c r="M24" s="20" t="str">
        <x:v>待明确本批部署入口、可访问角色与Build，再执行页面检查。 原排期备注：⚠ 需补入口：「复制范围」在无入口的分区管理页；高级复制无页面入口</x:v>
      </x:c>
      <x:c r="N24" s="20" t="str">
        <x:v>人员04 / 人员02 / 人员01</x:v>
      </x:c>
    </x:row>
    <x:row r="25" ht="52" customHeight="1">
      <x:c r="A25" s="23" t="n">
        <x:v>21</x:v>
      </x:c>
      <x:c r="B25" s="23" t="n">
        <x:v>25</x:v>
      </x:c>
      <x:c r="C25" s="20" t="str">
        <x:v>价格维护</x:v>
      </x:c>
      <x:c r="D25" s="20" t="str">
        <x:v>成本价卡</x:v>
      </x:c>
      <x:c r="E25" s="20" t="str">
        <x:v>成本价卡校验</x:v>
      </x:c>
      <x:c r="F25" s="20" t="str">
        <x:v>P1</x:v>
      </x:c>
      <x:c r="G25" s="20" t="str">
        <x:v>原型（无入口）</x:v>
      </x:c>
      <x:c r="H25" s="20" t="str">
        <x:v>未获得入口</x:v>
      </x:c>
      <x:c r="I25" s="20" t="str">
        <x:v>当前PCS M1账号导航仅系统配置/基础配置，未获得本工作包业务页面入口。</x:v>
      </x:c>
      <x:c r="J25" s="20" t="str">
        <x:v>先确认范围与入口；若纳入，错误定位到行/字段，修复/重试路径可达。</x:v>
      </x:c>
      <x:c r="K25" s="20" t="str">
        <x:v>阶段共识第3/9/12项；§5.7、§7.3</x:v>
      </x:c>
      <x:c r="L25" s="20" t="str">
        <x:v>W02（当前导航范围）</x:v>
      </x:c>
      <x:c r="M25" s="20" t="str">
        <x:v>待明确本批部署入口、可访问角色与Build，再执行页面检查。 原排期备注：⚠ 需补入口：「校验」在无入口的分区管理页</x:v>
      </x:c>
      <x:c r="N25" s="20" t="str">
        <x:v>人员04 / 人员02 / 人员01</x:v>
      </x:c>
    </x:row>
    <x:row r="26" ht="52" customHeight="1">
      <x:c r="A26" s="23" t="n">
        <x:v>22</x:v>
      </x:c>
      <x:c r="B26" s="23" t="n">
        <x:v>26</x:v>
      </x:c>
      <x:c r="C26" s="20" t="str">
        <x:v>价格维护</x:v>
      </x:c>
      <x:c r="D26" s="20" t="str">
        <x:v>地点与Zone（分区维护）</x:v>
      </x:c>
      <x:c r="E26" s="20" t="str">
        <x:v>地点与邮编页签</x:v>
      </x:c>
      <x:c r="F26" s="20" t="str">
        <x:v>P0</x:v>
      </x:c>
      <x:c r="G26" s="20" t="str">
        <x:v>PRD</x:v>
      </x:c>
      <x:c r="H26" s="20" t="str">
        <x:v>未获得入口</x:v>
      </x:c>
      <x:c r="I26" s="20" t="str">
        <x:v>当前PCS M1账号导航仅系统配置/基础配置，未获得本工作包业务页面入口。</x:v>
      </x:c>
      <x:c r="J26" s="20" t="str">
        <x:v>页签选中/键盘/ARIA一致；地点关联显示名称/编码，筛选后空态正确；核对价格维护承载。</x:v>
      </x:c>
      <x:c r="K26" s="20" t="str">
        <x:v>§5.8、§5.17、§7.2</x:v>
      </x:c>
      <x:c r="L26" s="20" t="str">
        <x:v>W02（当前导航范围）</x:v>
      </x:c>
      <x:c r="M26" s="20" t="str">
        <x:v>待明确本批部署入口、可访问角色与Build，再执行页面检查。</x:v>
      </x:c>
      <x:c r="N26" s="20" t="str">
        <x:v>人员04 / 人员02 / 人员05</x:v>
      </x:c>
    </x:row>
    <x:row r="27" ht="52" customHeight="1">
      <x:c r="A27" s="23" t="n">
        <x:v>23</x:v>
      </x:c>
      <x:c r="B27" s="23" t="n">
        <x:v>27</x:v>
      </x:c>
      <x:c r="C27" s="20" t="str">
        <x:v>价格维护</x:v>
      </x:c>
      <x:c r="D27" s="20" t="str">
        <x:v>地点与Zone（分区维护）</x:v>
      </x:c>
      <x:c r="E27" s="20" t="str">
        <x:v>Zone 清单页签</x:v>
      </x:c>
      <x:c r="F27" s="20" t="str">
        <x:v>P0</x:v>
      </x:c>
      <x:c r="G27" s="20" t="str">
        <x:v>PRD</x:v>
      </x:c>
      <x:c r="H27" s="20" t="str">
        <x:v>未获得入口</x:v>
      </x:c>
      <x:c r="I27" s="20" t="str">
        <x:v>当前PCS M1账号导航仅系统配置/基础配置，未获得本工作包业务页面入口。</x:v>
      </x:c>
      <x:c r="J27" s="20" t="str">
        <x:v>核对所属服务商/分区上下文；Zone成员可读；固定列/长文本/操作完整。基础配置参考Zone不替代。</x:v>
      </x:c>
      <x:c r="K27" s="20" t="str">
        <x:v>§5.8、§6.1、§6.3</x:v>
      </x:c>
      <x:c r="L27" s="20" t="str">
        <x:v>W02（当前导航范围）</x:v>
      </x:c>
      <x:c r="M27" s="20" t="str">
        <x:v>待明确本批部署入口、可访问角色与Build，再执行页面检查。</x:v>
      </x:c>
      <x:c r="N27" s="20" t="str">
        <x:v>人员04 / 人员02 / 人员05</x:v>
      </x:c>
    </x:row>
    <x:row r="28" ht="52" customHeight="1">
      <x:c r="A28" s="23" t="n">
        <x:v>24</x:v>
      </x:c>
      <x:c r="B28" s="23" t="n">
        <x:v>28</x:v>
      </x:c>
      <x:c r="C28" s="20" t="str">
        <x:v>价格维护</x:v>
      </x:c>
      <x:c r="D28" s="20" t="str">
        <x:v>地点与Zone（分区维护）</x:v>
      </x:c>
      <x:c r="E28" s="20" t="str">
        <x:v>导入地点与邮编（批量）</x:v>
      </x:c>
      <x:c r="F28" s="20" t="str">
        <x:v>P1</x:v>
      </x:c>
      <x:c r="G28" s="20" t="str">
        <x:v>PRD</x:v>
      </x:c>
      <x:c r="H28" s="20" t="str">
        <x:v>未获得入口</x:v>
      </x:c>
      <x:c r="I28" s="20" t="str">
        <x:v>当前PCS M1账号导航仅系统配置/基础配置，未获得本工作包业务页面入口。</x:v>
      </x:c>
      <x:c r="J28" s="20" t="str">
        <x:v>文件要求与行级错误可读；进度、取消、结果摘要清楚；需授权测试文件才能验证写入。</x:v>
      </x:c>
      <x:c r="K28" s="20" t="str">
        <x:v>§5.6、§7.1–7.3</x:v>
      </x:c>
      <x:c r="L28" s="20" t="str">
        <x:v>W02（当前导航范围）</x:v>
      </x:c>
      <x:c r="M28" s="20" t="str">
        <x:v>待明确本批部署入口、可访问角色与Build，再执行页面检查。</x:v>
      </x:c>
      <x:c r="N28" s="20" t="str">
        <x:v>人员04 / 人员02 / 人员05</x:v>
      </x:c>
    </x:row>
    <x:row r="29" ht="52" customHeight="1">
      <x:c r="A29" s="23" t="n">
        <x:v>25</x:v>
      </x:c>
      <x:c r="B29" s="23" t="n">
        <x:v>29</x:v>
      </x:c>
      <x:c r="C29" s="20" t="str">
        <x:v>价格维护</x:v>
      </x:c>
      <x:c r="D29" s="20" t="str">
        <x:v>地点与Zone（分区维护）</x:v>
      </x:c>
      <x:c r="E29" s="20" t="str">
        <x:v>可复用邮编组</x:v>
      </x:c>
      <x:c r="F29" s="20" t="str">
        <x:v>P1</x:v>
      </x:c>
      <x:c r="G29" s="20" t="str">
        <x:v>原型</x:v>
      </x:c>
      <x:c r="H29" s="20" t="str">
        <x:v>未获得入口</x:v>
      </x:c>
      <x:c r="I29" s="20" t="str">
        <x:v>当前PCS M1账号导航仅系统配置/基础配置，未获得本工作包业务页面入口。</x:v>
      </x:c>
      <x:c r="J29" s="20" t="str">
        <x:v>先确认PRD与入口；若纳入，邮编成员、搜索和已选反馈清楚；保留编辑与只读差异。</x:v>
      </x:c>
      <x:c r="K29" s="20" t="str">
        <x:v>阶段共识第3/9/12项；§5.3、§5.7</x:v>
      </x:c>
      <x:c r="L29" s="20" t="str">
        <x:v>W02（当前导航范围）</x:v>
      </x:c>
      <x:c r="M29" s="20" t="str">
        <x:v>待明确本批部署入口、可访问角色与Build，再执行页面检查。 原排期备注：⚠ 需补入口：「邮编组」在无入口的分区管理页</x:v>
      </x:c>
      <x:c r="N29" s="20" t="str">
        <x:v>人员04 / 人员02 / 人员05</x:v>
      </x:c>
    </x:row>
    <x:row r="30" ht="52" customHeight="1">
      <x:c r="A30" s="23" t="n">
        <x:v>26</x:v>
      </x:c>
      <x:c r="B30" s="23" t="n">
        <x:v>30</x:v>
      </x:c>
      <x:c r="C30" s="20" t="str">
        <x:v>价格维护</x:v>
      </x:c>
      <x:c r="D30" s="20" t="str">
        <x:v>燃油费规则</x:v>
      </x:c>
      <x:c r="E30" s="20" t="str">
        <x:v>燃油费规则列表</x:v>
      </x:c>
      <x:c r="F30" s="20" t="str">
        <x:v>P0</x:v>
      </x:c>
      <x:c r="G30" s="20" t="str">
        <x:v>PRD</x:v>
      </x:c>
      <x:c r="H30" s="20" t="str">
        <x:v>未获得入口</x:v>
      </x:c>
      <x:c r="I30" s="20" t="str">
        <x:v>当前PCS M1账号导航仅系统配置/基础配置，未获得本工作包业务页面入口。</x:v>
      </x:c>
      <x:c r="J30" s="20" t="str">
        <x:v>比例/金额右对齐；生效区间可读；筛选/状态/操作和空态一致。</x:v>
      </x:c>
      <x:c r="K30" s="20" t="str">
        <x:v>§5.8、§5.12、§6.1、§7.2</x:v>
      </x:c>
      <x:c r="L30" s="20" t="str">
        <x:v>W02（当前导航范围）</x:v>
      </x:c>
      <x:c r="M30" s="20" t="str">
        <x:v>待明确本批部署入口、可访问角色与Build，再执行页面检查。</x:v>
      </x:c>
      <x:c r="N30" s="20" t="str">
        <x:v>人员04 / 人员02 / 人员01</x:v>
      </x:c>
    </x:row>
    <x:row r="31" ht="52" customHeight="1">
      <x:c r="A31" s="23" t="n">
        <x:v>27</x:v>
      </x:c>
      <x:c r="B31" s="23" t="n">
        <x:v>31</x:v>
      </x:c>
      <x:c r="C31" s="20" t="str">
        <x:v>价格维护</x:v>
      </x:c>
      <x:c r="D31" s="20" t="str">
        <x:v>燃油费规则</x:v>
      </x:c>
      <x:c r="E31" s="20" t="str">
        <x:v>新增/编辑燃油费规则</x:v>
      </x:c>
      <x:c r="F31" s="20" t="str">
        <x:v>P0</x:v>
      </x:c>
      <x:c r="G31" s="20" t="str">
        <x:v>PRD</x:v>
      </x:c>
      <x:c r="H31" s="20" t="str">
        <x:v>未获得入口</x:v>
      </x:c>
      <x:c r="I31" s="20" t="str">
        <x:v>当前PCS M1账号导航仅系统配置/基础配置，未获得本工作包业务页面入口。</x:v>
      </x:c>
      <x:c r="J31" s="20" t="str">
        <x:v>关联对象与生效区间分组清楚；数值单位和错误就近提示；取消/保存与滚动可达。</x:v>
      </x:c>
      <x:c r="K31" s="20" t="str">
        <x:v>§5.2、§5.3、§5.7、§6.4</x:v>
      </x:c>
      <x:c r="L31" s="20" t="str">
        <x:v>W02（当前导航范围）</x:v>
      </x:c>
      <x:c r="M31" s="20" t="str">
        <x:v>待明确本批部署入口、可访问角色与Build，再执行页面检查。</x:v>
      </x:c>
      <x:c r="N31" s="20" t="str">
        <x:v>人员04 / 人员02 / 人员01</x:v>
      </x:c>
    </x:row>
    <x:row r="32" ht="52" customHeight="1">
      <x:c r="A32" s="23" t="n">
        <x:v>28</x:v>
      </x:c>
      <x:c r="B32" s="23" t="n">
        <x:v>32</x:v>
      </x:c>
      <x:c r="C32" s="20" t="str">
        <x:v>价格维护</x:v>
      </x:c>
      <x:c r="D32" s="20" t="str">
        <x:v>分区管理</x:v>
      </x:c>
      <x:c r="E32" s="20" t="str">
        <x:v>分区维护（Zone / 分区类型）</x:v>
      </x:c>
      <x:c r="F32" s="20" t="str">
        <x:v>P0</x:v>
      </x:c>
      <x:c r="G32" s="20" t="str">
        <x:v>原型</x:v>
      </x:c>
      <x:c r="H32" s="20" t="str">
        <x:v>未获得入口</x:v>
      </x:c>
      <x:c r="I32" s="20" t="str">
        <x:v>当前PCS M1账号导航仅系统配置/基础配置，未获得本工作包业务页面入口。</x:v>
      </x:c>
      <x:c r="J32" s="20" t="str">
        <x:v>先确认独立页面入口；若纳入，Zone与分区类型层级及编辑路径清楚，避免与参考Zone混同。</x:v>
      </x:c>
      <x:c r="K32" s="20" t="str">
        <x:v>阶段共识第9/12项；§5.17、§6.1</x:v>
      </x:c>
      <x:c r="L32" s="20" t="str">
        <x:v>W02（当前导航范围）</x:v>
      </x:c>
      <x:c r="M32" s="20" t="str">
        <x:v>待明确本批部署入口、可访问角色与Build，再执行页面检查。 原排期备注：⚠ 需补入口：独立页面无导航入口</x:v>
      </x:c>
      <x:c r="N32" s="20" t="str">
        <x:v>人员04 / 人员03 / 人员01</x:v>
      </x:c>
    </x:row>
    <x:row r="33" ht="52" customHeight="1">
      <x:c r="A33" s="23" t="n">
        <x:v>29</x:v>
      </x:c>
      <x:c r="B33" s="23" t="n">
        <x:v>33</x:v>
      </x:c>
      <x:c r="C33" s="20" t="str">
        <x:v>价格维护</x:v>
      </x:c>
      <x:c r="D33" s="20" t="str">
        <x:v>分区管理</x:v>
      </x:c>
      <x:c r="E33" s="20" t="str">
        <x:v>分区价格表与价卡引用</x:v>
      </x:c>
      <x:c r="F33" s="20" t="str">
        <x:v>P1</x:v>
      </x:c>
      <x:c r="G33" s="20" t="str">
        <x:v>原型</x:v>
      </x:c>
      <x:c r="H33" s="20" t="str">
        <x:v>未获得入口</x:v>
      </x:c>
      <x:c r="I33" s="20" t="str">
        <x:v>当前PCS M1账号导航仅系统配置/基础配置，未获得本工作包业务页面入口。</x:v>
      </x:c>
      <x:c r="J33" s="20" t="str">
        <x:v>先确认承载入口；若纳入，金额与单位对齐，价卡引用入口有实际跳转，返回保持上下文。</x:v>
      </x:c>
      <x:c r="K33" s="20" t="str">
        <x:v>阶段共识第9/12项；§5.8、§6.2</x:v>
      </x:c>
      <x:c r="L33" s="20" t="str">
        <x:v>W02（当前导航范围）</x:v>
      </x:c>
      <x:c r="M33" s="20" t="str">
        <x:v>待明确本批部署入口、可访问角色与Build，再执行页面检查。 原排期备注：⚠ 需补入口：在无入口的分区管理页内</x:v>
      </x:c>
      <x:c r="N33" s="20" t="str">
        <x:v>人员04 / 人员03 / 人员01</x:v>
      </x:c>
    </x:row>
    <x:row r="34" ht="52" customHeight="1">
      <x:c r="A34" s="23" t="n">
        <x:v>50</x:v>
      </x:c>
      <x:c r="B34" s="23" t="n">
        <x:v>54</x:v>
      </x:c>
      <x:c r="C34" s="20" t="str">
        <x:v>基础配置</x:v>
      </x:c>
      <x:c r="D34" s="20" t="str">
        <x:v>产品管理参数配置</x:v>
      </x:c>
      <x:c r="E34" s="20" t="str">
        <x:v>费用项</x:v>
      </x:c>
      <x:c r="F34" s="20" t="str">
        <x:v>P0</x:v>
      </x:c>
      <x:c r="G34" s="20" t="str">
        <x:v>PRD</x:v>
      </x:c>
      <x:c r="H34" s="20" t="str">
        <x:v>部分已走查</x:v>
      </x:c>
      <x:c r="I34" s="20" t="str">
        <x:v>费用项列表/编辑/新增可访问；存在搜索空态、操作组及字段标签问题。</x:v>
      </x:c>
      <x:c r="J34" s="20" t="str">
        <x:v>列表、关键词无结果与重置、编辑/新增表单、取消回显和1280/1440布局已核；提交未执行。</x:v>
      </x:c>
      <x:c r="K34" s="20" t="str">
        <x:v>§5.7、§5.8、§5.10、§7.2；UI09/20/21/25/49</x:v>
      </x:c>
      <x:c r="L34" s="20" t="str">
        <x:v>W01–W05、W20–W22</x:v>
      </x:c>
      <x:c r="M34" s="20" t="str">
        <x:v>缺多页/跨页、可控异常、提交/启停/删除及其他角色样本。</x:v>
      </x:c>
      <x:c r="N34" s="20" t="str">
        <x:v>人员04 / 人员02 / 人员01</x:v>
      </x:c>
    </x:row>
    <x:row r="35" ht="52" customHeight="1">
      <x:c r="A35" s="23" t="n">
        <x:v>51</x:v>
      </x:c>
      <x:c r="B35" s="23" t="n">
        <x:v>55</x:v>
      </x:c>
      <x:c r="C35" s="20" t="str">
        <x:v>基础配置</x:v>
      </x:c>
      <x:c r="D35" s="20" t="str">
        <x:v>产品管理参数配置</x:v>
      </x:c>
      <x:c r="E35" s="20" t="str">
        <x:v>币种与汇率</x:v>
      </x:c>
      <x:c r="F35" s="20" t="str">
        <x:v>P0</x:v>
      </x:c>
      <x:c r="G35" s="20" t="str">
        <x:v>PRD</x:v>
      </x:c>
      <x:c r="H35" s="20" t="str">
        <x:v>部分已走查</x:v>
      </x:c>
      <x:c r="I35" s="20" t="str">
        <x:v>币种/汇率列表和编辑可访问；存在数字对齐、操作组及字段标签问题。</x:v>
      </x:c>
      <x:c r="J35" s="20" t="str">
        <x:v>两个列表、币种/已生效汇率编辑、数字列、水平滚动与只读字段已核；多页/区间写入未执行。</x:v>
      </x:c>
      <x:c r="K35" s="20" t="str">
        <x:v>§5.7、§5.8、§5.10；UI20/21/29/49</x:v>
      </x:c>
      <x:c r="L35" s="20" t="str">
        <x:v>W06–W10</x:v>
      </x:c>
      <x:c r="M35" s="20" t="str">
        <x:v>缺多页/跨页、可控异常、提交/启停/删除及其他角色样本。</x:v>
      </x:c>
      <x:c r="N35" s="20" t="str">
        <x:v>人员04 / 人员02 / 人员01</x:v>
      </x:c>
    </x:row>
    <x:row r="36" ht="52" customHeight="1">
      <x:c r="A36" s="23" t="n">
        <x:v>52</x:v>
      </x:c>
      <x:c r="B36" s="23" t="n">
        <x:v>56</x:v>
      </x:c>
      <x:c r="C36" s="20" t="str">
        <x:v>基础配置</x:v>
      </x:c>
      <x:c r="D36" s="20" t="str">
        <x:v>产品管理参数配置</x:v>
      </x:c>
      <x:c r="E36" s="20" t="str">
        <x:v>服务段</x:v>
      </x:c>
      <x:c r="F36" s="20" t="str">
        <x:v>P1</x:v>
      </x:c>
      <x:c r="G36" s="20" t="str">
        <x:v>PRD</x:v>
      </x:c>
      <x:c r="H36" s="20" t="str">
        <x:v>未获得入口</x:v>
      </x:c>
      <x:c r="I36" s="20" t="str">
        <x:v>当前PCS M1账号导航仅系统配置/基础配置，未获得本工作包业务页面入口。</x:v>
      </x:c>
      <x:c r="J36" s="20" t="str">
        <x:v>服务段列表/编辑入口及引用信息清楚；不将航空/运输字典当作服务段配置。</x:v>
      </x:c>
      <x:c r="K36" s="20" t="str">
        <x:v>§5.7、§5.8、§6.1</x:v>
      </x:c>
      <x:c r="L36" s="20" t="str">
        <x:v>W02（当前导航范围）</x:v>
      </x:c>
      <x:c r="M36" s="20" t="str">
        <x:v>待明确本批部署入口、可访问角色与Build，再执行页面检查。</x:v>
      </x:c>
      <x:c r="N36" s="20" t="str">
        <x:v>人员04 / 人员02 / 人员01</x:v>
      </x:c>
    </x:row>
    <x:row r="37" ht="52" customHeight="1">
      <x:c r="A37" s="23" t="n">
        <x:v>53</x:v>
      </x:c>
      <x:c r="B37" s="23" t="n">
        <x:v>57</x:v>
      </x:c>
      <x:c r="C37" s="20" t="str">
        <x:v>基础配置</x:v>
      </x:c>
      <x:c r="D37" s="20" t="str">
        <x:v>产品管理参数配置</x:v>
      </x:c>
      <x:c r="E37" s="20" t="str">
        <x:v>计费要素</x:v>
      </x:c>
      <x:c r="F37" s="20" t="str">
        <x:v>P0</x:v>
      </x:c>
      <x:c r="G37" s="20" t="str">
        <x:v>PRD</x:v>
      </x:c>
      <x:c r="H37" s="20" t="str">
        <x:v>未获得入口</x:v>
      </x:c>
      <x:c r="I37" s="20" t="str">
        <x:v>当前PCS M1账号导航仅系统配置/基础配置，未获得本工作包业务页面入口。</x:v>
      </x:c>
      <x:c r="J37" s="20" t="str">
        <x:v>字段定义、单位、条件配置与关联关系分组清楚；不以费用项页面替代。</x:v>
      </x:c>
      <x:c r="K37" s="20" t="str">
        <x:v>§5.7、§5.8、§6.4</x:v>
      </x:c>
      <x:c r="L37" s="20" t="str">
        <x:v>W02（当前导航范围）</x:v>
      </x:c>
      <x:c r="M37" s="20" t="str">
        <x:v>待明确本批部署入口、可访问角色与Build，再执行页面检查。</x:v>
      </x:c>
      <x:c r="N37" s="20" t="str">
        <x:v>人员04 / 人员02 / 人员01</x:v>
      </x:c>
    </x:row>
    <x:row r="38" ht="52" customHeight="1">
      <x:c r="A38" s="23" t="n">
        <x:v>54</x:v>
      </x:c>
      <x:c r="B38" s="23" t="n">
        <x:v>58</x:v>
      </x:c>
      <x:c r="C38" s="20" t="str">
        <x:v>基础配置</x:v>
      </x:c>
      <x:c r="D38" s="20" t="str">
        <x:v>产品管理参数配置</x:v>
      </x:c>
      <x:c r="E38" s="20" t="str">
        <x:v>计费方式</x:v>
      </x:c>
      <x:c r="F38" s="20" t="str">
        <x:v>P0</x:v>
      </x:c>
      <x:c r="G38" s="20" t="str">
        <x:v>PRD</x:v>
      </x:c>
      <x:c r="H38" s="20" t="str">
        <x:v>未获得入口</x:v>
      </x:c>
      <x:c r="I38" s="20" t="str">
        <x:v>当前PCS M1账号导航仅系统配置/基础配置，未获得本工作包业务页面入口。</x:v>
      </x:c>
      <x:c r="J38" s="20" t="str">
        <x:v>模式枚举、提示及条件字段清楚；不以运输方式字典替代。</x:v>
      </x:c>
      <x:c r="K38" s="20" t="str">
        <x:v>§5.3、§5.7、§6.4</x:v>
      </x:c>
      <x:c r="L38" s="20" t="str">
        <x:v>W02（当前导航范围）</x:v>
      </x:c>
      <x:c r="M38" s="20" t="str">
        <x:v>待明确本批部署入口、可访问角色与Build，再执行页面检查。</x:v>
      </x:c>
      <x:c r="N38" s="20" t="str">
        <x:v>人员04 / 人员02 / 人员01</x:v>
      </x:c>
    </x:row>
    <x:row r="39" ht="52" customHeight="1">
      <x:c r="A39" s="23" t="n">
        <x:v>55</x:v>
      </x:c>
      <x:c r="B39" s="23" t="n">
        <x:v>59</x:v>
      </x:c>
      <x:c r="C39" s="20" t="str">
        <x:v>基础配置</x:v>
      </x:c>
      <x:c r="D39" s="20" t="str">
        <x:v>产品管理参数配置</x:v>
      </x:c>
      <x:c r="E39" s="20" t="str">
        <x:v>下单限制</x:v>
      </x:c>
      <x:c r="F39" s="20" t="str">
        <x:v>P0</x:v>
      </x:c>
      <x:c r="G39" s="20" t="str">
        <x:v>PRD</x:v>
      </x:c>
      <x:c r="H39" s="20" t="str">
        <x:v>未获得入口</x:v>
      </x:c>
      <x:c r="I39" s="20" t="str">
        <x:v>当前PCS M1账号导航仅系统配置/基础配置，未获得本工作包业务页面入口。</x:v>
      </x:c>
      <x:c r="J39" s="20" t="str">
        <x:v>限制条件与已选规则反馈明确；状态/错误/禁用展示统一；不假定服务单元配置即参数配置页。</x:v>
      </x:c>
      <x:c r="K39" s="20" t="str">
        <x:v>§5.3、§5.5、§5.7</x:v>
      </x:c>
      <x:c r="L39" s="20" t="str">
        <x:v>W02（当前导航范围）</x:v>
      </x:c>
      <x:c r="M39" s="20" t="str">
        <x:v>待明确本批部署入口、可访问角色与Build，再执行页面检查。</x:v>
      </x:c>
      <x:c r="N39" s="20" t="str">
        <x:v>人员04 / 人员02 / 人员05</x:v>
      </x:c>
    </x:row>
    <x:row r="40" ht="52" customHeight="1">
      <x:c r="A40" s="23" t="n">
        <x:v>56</x:v>
      </x:c>
      <x:c r="B40" s="23" t="n">
        <x:v>60</x:v>
      </x:c>
      <x:c r="C40" s="20" t="str">
        <x:v>基础配置</x:v>
      </x:c>
      <x:c r="D40" s="20" t="str">
        <x:v>产品管理参数配置</x:v>
      </x:c>
      <x:c r="E40" s="20" t="str">
        <x:v>业务字典</x:v>
      </x:c>
      <x:c r="F40" s="20" t="str">
        <x:v>P0</x:v>
      </x:c>
      <x:c r="G40" s="20" t="str">
        <x:v>原型</x:v>
      </x:c>
      <x:c r="H40" s="20" t="str">
        <x:v>部分已走查</x:v>
      </x:c>
      <x:c r="I40" s="20" t="str">
        <x:v>5类字典列表、航空/货物编辑可访问；限长与取消局部已核，存在字段标签问题。</x:v>
      </x:c>
      <x:c r="J40" s="20" t="str">
        <x:v>航空/运输/货物/包装/监管5列表已核，航空/货物编辑已开；货物501字输入截至500且取消恢复空值。</x:v>
      </x:c>
      <x:c r="K40" s="20" t="str">
        <x:v>§5.7、§5.8、§7.2；UI20/21/44/49</x:v>
      </x:c>
      <x:c r="L40" s="20" t="str">
        <x:v>W11–W19</x:v>
      </x:c>
      <x:c r="M40" s="20" t="str">
        <x:v>缺多页/跨页、可控异常、提交/启停/删除及其他角色样本。</x:v>
      </x:c>
      <x:c r="N40" s="20" t="str">
        <x:v>人员04 / 人员02 / 人员05</x:v>
      </x:c>
    </x:row>
    <x:row r="41" ht="52" customHeight="1">
      <x:c r="A41" s="23" t="n">
        <x:v>57</x:v>
      </x:c>
      <x:c r="B41" s="23" t="n">
        <x:v>61</x:v>
      </x:c>
      <x:c r="C41" s="20" t="str">
        <x:v>基础配置</x:v>
      </x:c>
      <x:c r="D41" s="20" t="str">
        <x:v>产品管理参数配置</x:v>
      </x:c>
      <x:c r="E41" s="20" t="str">
        <x:v>可接货型</x:v>
      </x:c>
      <x:c r="F41" s="20" t="str">
        <x:v>P1</x:v>
      </x:c>
      <x:c r="G41" s="20" t="str">
        <x:v>原型</x:v>
      </x:c>
      <x:c r="H41" s="20" t="str">
        <x:v>未获得入口</x:v>
      </x:c>
      <x:c r="I41" s="20" t="str">
        <x:v>当前PCS M1账号导航仅系统配置/基础配置，未获得本工作包业务页面入口。</x:v>
      </x:c>
      <x:c r="J41" s="20" t="str">
        <x:v>确认业务限制配置的独立入口与展示；货物类型字典仅是选项基础，不等同可接货型配置。</x:v>
      </x:c>
      <x:c r="K41" s="20" t="str">
        <x:v>§5.3、§5.5、§5.7</x:v>
      </x:c>
      <x:c r="L41" s="20" t="str">
        <x:v>W02（当前导航范围）</x:v>
      </x:c>
      <x:c r="M41" s="20" t="str">
        <x:v>待明确本批部署入口、可访问角色与Build，再执行页面检查。</x:v>
      </x:c>
      <x:c r="N41" s="20" t="str">
        <x:v>人员04 / 人员02 / 人员05</x:v>
      </x:c>
    </x:row>
    <x:row r="42" ht="52" customHeight="1">
      <x:c r="A42" s="23" t="n">
        <x:v>58</x:v>
      </x:c>
      <x:c r="B42" s="23" t="n">
        <x:v>62</x:v>
      </x:c>
      <x:c r="C42" s="20" t="str">
        <x:v>基础配置</x:v>
      </x:c>
      <x:c r="D42" s="20" t="str">
        <x:v>产品管理参数配置</x:v>
      </x:c>
      <x:c r="E42" s="20" t="str">
        <x:v>财务配置</x:v>
      </x:c>
      <x:c r="F42" s="20" t="str">
        <x:v>P1</x:v>
      </x:c>
      <x:c r="G42" s="20" t="str">
        <x:v>原型</x:v>
      </x:c>
      <x:c r="H42" s="20" t="str">
        <x:v>未获得入口</x:v>
      </x:c>
      <x:c r="I42" s="20" t="str">
        <x:v>当前PCS M1账号导航仅系统配置/基础配置，未获得本工作包业务页面入口。</x:v>
      </x:c>
      <x:c r="J42" s="20" t="str">
        <x:v>确认财务参数承载页面；检查单位/数字/币种样式与表单反馈，不以币种汇率页替代整项。</x:v>
      </x:c>
      <x:c r="K42" s="20" t="str">
        <x:v>§5.7、§5.8、§6.4</x:v>
      </x:c>
      <x:c r="L42" s="20" t="str">
        <x:v>W02（当前导航范围）</x:v>
      </x:c>
      <x:c r="M42" s="20" t="str">
        <x:v>待明确本批部署入口、可访问角色与Build，再执行页面检查。</x:v>
      </x:c>
      <x:c r="N42" s="20" t="str">
        <x:v>人员04 / 人员02 / 人员05</x:v>
      </x:c>
    </x:row>
    <x:row r="43" ht="52" customHeight="1">
      <x:c r="A43" s="23" t="n">
        <x:v>65</x:v>
      </x:c>
      <x:c r="B43" s="23" t="n">
        <x:v>69</x:v>
      </x:c>
      <x:c r="C43" s="20" t="str">
        <x:v>系统配置与基础数据</x:v>
      </x:c>
      <x:c r="D43" s="20" t="str">
        <x:v>操作日志</x:v>
      </x:c>
      <x:c r="E43" s="20" t="str">
        <x:v>操作日志</x:v>
      </x:c>
      <x:c r="F43" s="20" t="str">
        <x:v>P1</x:v>
      </x:c>
      <x:c r="G43" s="20" t="str">
        <x:v>原型</x:v>
      </x:c>
      <x:c r="H43" s="20" t="str">
        <x:v>未获得入口</x:v>
      </x:c>
      <x:c r="I43" s="20" t="str">
        <x:v>当前PCS M1账号导航仅系统配置/基础配置，未获得本工作包业务页面入口。</x:v>
      </x:c>
      <x:c r="J43" s="20" t="str">
        <x:v>筛选、时间格式、对象/操作人长文本、详情入口和权限态可读；需真实日志页面与角色样本。</x:v>
      </x:c>
      <x:c r="K43" s="20" t="str">
        <x:v>§5.8、§6.1、§7.2–7.3</x:v>
      </x:c>
      <x:c r="L43" s="20" t="str">
        <x:v>W02（当前导航范围）</x:v>
      </x:c>
      <x:c r="M43" s="20" t="str">
        <x:v>待明确本批部署入口、可访问角色与Build，再执行页面检查。</x:v>
      </x:c>
      <x:c r="N43" s="20" t="str">
        <x:v>人员04 / 人员03 / </x:v>
      </x:c>
    </x:row>
  </x:sheetData>
  <x:conditionalFormatting sqref="H6:H43">
    <x:cfRule type="expression" dxfId="2" priority="1">
      <x:formula>H6="未获得入口"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43b9f50ccad41c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31" hidden="0" customWidth="1"/>
    <x:col min="3" max="3" width="23" hidden="0" customWidth="1"/>
    <x:col min="4" max="4" width="13" hidden="0" customWidth="1"/>
    <x:col min="5" max="5" width="24" hidden="0" customWidth="1"/>
    <x:col min="6" max="6" width="18" hidden="0" customWidth="1"/>
    <x:col min="7" max="7" width="66" hidden="0" customWidth="1"/>
    <x:col min="8" max="8" width="80" hidden="0" customWidth="1"/>
    <x:col min="9" max="9" width="58" hidden="0" customWidth="1"/>
    <x:col min="10" max="10" width="25" hidden="0" customWidth="1"/>
    <x:col min="11" max="11" width="4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9" customHeight="1">
      <x:c r="A2" s="3" t="str">
        <x:v>UI Review原记录及审查来源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5" t="str">
        <x:v>UI Review rev680完整读取24条；原确认状态保留。“设计完毕”不表示已实现或验收通过；原型问题不等同本轮实测缺陷。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0" customHeight="1">
      <x:c r="A5" s="17" t="str">
        <x:v>资料编号</x:v>
      </x:c>
      <x:c r="B5" s="18" t="str">
        <x:v>record_id</x:v>
      </x:c>
      <x:c r="C5" s="18" t="str">
        <x:v>页面/模块</x:v>
      </x:c>
      <x:c r="D5" s="18" t="str">
        <x:v>源优先级</x:v>
      </x:c>
      <x:c r="E5" s="18" t="str">
        <x:v>源五色判断</x:v>
      </x:c>
      <x:c r="F5" s="18" t="str">
        <x:v>源确认状态</x:v>
      </x:c>
      <x:c r="G5" s="18" t="str">
        <x:v>原型问题原文</x:v>
      </x:c>
      <x:c r="H5" s="18" t="str">
        <x:v>Review建议原文</x:v>
      </x:c>
      <x:c r="I5" s="18" t="str">
        <x:v>后续处理建议原文</x:v>
      </x:c>
      <x:c r="J5" s="18" t="str">
        <x:v>源处理角色</x:v>
      </x:c>
      <x:c r="K5" s="19" t="str">
        <x:v>使用边界</x:v>
      </x:c>
    </x:row>
    <x:row r="6" ht="54" customHeight="1">
      <x:c r="A6" s="20" t="str">
        <x:v>R01</x:v>
      </x:c>
      <x:c r="B6" s="20" t="str">
        <x:v>review-67fb39add5</x:v>
      </x:c>
      <x:c r="C6" s="20" t="str">
        <x:v>基础配置</x:v>
      </x:c>
      <x:c r="D6" s="20" t="str">
        <x:v>P0</x:v>
      </x:c>
      <x:c r="E6" s="20" t="str">
        <x:v>🔴 无法覆盖</x:v>
      </x:c>
      <x:c r="F6" s="20" t="str">
        <x:v>设计完毕</x:v>
      </x:c>
      <x:c r="G6" s="20" t="str">
        <x:v>当前“基础配置”页面同时承载“主数据 / 计价底座”两类内容及其下属选项，信息层级较多，现有框架难以清晰承载该场景。</x:v>
      </x:c>
      <x:c r="H6" s="20" t="str">
        <x:v>1、新增tabs 组件用于承载分类切换（已更新至规范中）
2、将“主数据 / 计价底座”上移为页头一级 Tab，作为页面核心分类切换；对应子项独立为内容区选项切换；将“新增选项”下沉至右侧当前列表区域顶部，与列表内容建立更强关联</x:v>
      </x:c>
      <x:c r="I6" s="20" t="str">
        <x:v>UI 产出专项设计稿与规范</x:v>
      </x:c>
      <x:c r="J6" s="20" t="str">
        <x:v>UI</x:v>
      </x:c>
      <x:c r="K6" s="20" t="str">
        <x:v>原型/设计记录；不表示页面已交付或本轮实测失败。</x:v>
      </x:c>
    </x:row>
    <x:row r="7" ht="82" customHeight="1">
      <x:c r="A7" s="20" t="str">
        <x:v>R02</x:v>
      </x:c>
      <x:c r="B7" s="20" t="str">
        <x:v>review-4122ab1853</x:v>
      </x:c>
      <x:c r="C7" s="20" t="str">
        <x:v>左侧菜单</x:v>
      </x:c>
      <x:c r="D7" s="20" t="str">
        <x:v>P1</x:v>
      </x:c>
      <x:c r="E7" s="20" t="str">
        <x:v>🔴 无法覆盖</x:v>
      </x:c>
      <x:c r="F7" s="20" t="str">
        <x:v>设计完毕</x:v>
      </x:c>
      <x:c r="G7" s="20" t="str">
        <x:v>原方案将二级分类调整为不可点击的分组标题，但实际呈现中分类层级区分不够明显，且不利于多层级菜单的导航管理。</x:v>
      </x:c>
      <x:c r="H7" s="20" t="str">
        <x:v>恢复多级折叠菜单结构，保留分类的展开 / 收起交互，并优化不同分类之间的切换逻辑：
1、分类切换： 当用户点击其他一级分类下的子菜单时，自动收起此前展开的其他一级分类。
2、手动展开： 允许用户手动展开或收起任意一级分类，不强制限制同时展开的分类数量。
3、选中状态： 当前选中的子菜单保持高亮，所属一级分类保持展开，确保导航路径清晰。
4、交互原则： 跨分类选择子菜单时自动收起其他分类；手动操作时允许多个分类同时展开。</x:v>
      </x:c>
      <x:c r="I7" s="20" t="str">
        <x:v>UI 根据现有框架调整产出专项设计稿</x:v>
      </x:c>
      <x:c r="J7" s="20" t="str">
        <x:v>UI</x:v>
      </x:c>
      <x:c r="K7" s="20" t="str">
        <x:v>原型/设计记录；不表示页面已交付或本轮实测失败。</x:v>
      </x:c>
    </x:row>
    <x:row r="8" ht="52" customHeight="1">
      <x:c r="A8" s="20" t="str">
        <x:v>R03</x:v>
      </x:c>
      <x:c r="B8" s="20" t="str">
        <x:v>review-294de09d51</x:v>
      </x:c>
      <x:c r="C8" s="20" t="str">
        <x:v>全局</x:v>
      </x:c>
      <x:c r="D8" s="20" t="str">
        <x:v>P1</x:v>
      </x:c>
      <x:c r="E8" s="20" t="str">
        <x:v>🔴 无法覆盖</x:v>
      </x:c>
      <x:c r="F8" s="20" t="str">
        <x:v>修改中</x:v>
      </x:c>
      <x:c r="G8" s="20" t="str">
        <x:v>未填写</x:v>
      </x:c>
      <x:c r="H8" s="20" t="str">
        <x:v>未填写</x:v>
      </x:c>
      <x:c r="I8" s="20" t="str">
        <x:v>UI 产出行内编辑组件规范</x:v>
      </x:c>
      <x:c r="J8" s="20" t="str">
        <x:v>UI</x:v>
      </x:c>
      <x:c r="K8" s="20" t="str">
        <x:v>原型/设计记录；不表示页面已交付或本轮实测失败。</x:v>
      </x:c>
    </x:row>
    <x:row r="9" ht="52" customHeight="1">
      <x:c r="A9" s="20" t="str">
        <x:v>R04</x:v>
      </x:c>
      <x:c r="B9" s="20" t="str">
        <x:v>review-5cb0b5dcb6</x:v>
      </x:c>
      <x:c r="C9" s="20" t="str">
        <x:v>全局</x:v>
      </x:c>
      <x:c r="D9" s="20" t="str">
        <x:v>P0</x:v>
      </x:c>
      <x:c r="E9" s="20" t="str">
        <x:v>⚪业务交互、信息待明确</x:v>
      </x:c>
      <x:c r="F9" s="20" t="str">
        <x:v>待确认</x:v>
      </x:c>
      <x:c r="G9" s="20" t="str">
        <x:v>AI 原型中存在较多辅助说明、功能解释及过程性文案，部分内容更偏向原型说明，并非最终页面必须展示的信息，容易增加页面阅读负担，干扰核心操作。</x:v>
      </x:c>
      <x:c r="H9" s="20" t="str">
        <x:v>建议产品统一审查页面文案，仅保留与用户操作、业务规则及必要提示相关的内容，其余原型说明性或重复性文字删除。</x:v>
      </x:c>
      <x:c r="I9" s="20" t="str">
        <x:v>产品审核原型多余说明文字并删除</x:v>
      </x:c>
      <x:c r="J9" s="20" t="str">
        <x:v>产品</x:v>
      </x:c>
      <x:c r="K9" s="20" t="str">
        <x:v>原型/设计记录；不表示页面已交付或本轮实测失败。</x:v>
      </x:c>
    </x:row>
    <x:row r="10" ht="54" customHeight="1">
      <x:c r="A10" s="20" t="str">
        <x:v>R05</x:v>
      </x:c>
      <x:c r="B10" s="20" t="str">
        <x:v>review-24220c26b9</x:v>
      </x:c>
      <x:c r="C10" s="20" t="str">
        <x:v>服务单元</x:v>
      </x:c>
      <x:c r="D10" s="20" t="str">
        <x:v>P0</x:v>
      </x:c>
      <x:c r="E10" s="20" t="str">
        <x:v>🔵 组合复用</x:v>
      </x:c>
      <x:c r="F10" s="20" t="str">
        <x:v>待确认</x:v>
      </x:c>
      <x:c r="G10" s="20" t="str">
        <x:v>编辑服务单元-下单规则：当前勾选结果存在重复反馈：列表 Checkbox 已明确展示选中状态，搜索框下方又以标签形式重复展示已选项，右下角同时显示已选数量，造成信息冗余和视觉占用，增加用户认知负担。</x:v>
      </x:c>
      <x:c r="H10" s="20" t="str">
        <x:v>建议仅保留列表 Checkbox 作为选中状态反馈，删除顶部已选 Tag 及底部数量汇总，降低信息干扰。</x:v>
      </x:c>
      <x:c r="I10" s="20" t="str">
        <x:v>UI 补充布局设计，开发组合实现，</x:v>
      </x:c>
      <x:c r="J10" s="20" t="str">
        <x:v>UI、开发</x:v>
      </x:c>
      <x:c r="K10" s="20" t="str">
        <x:v>原型/设计记录；不表示页面已交付或本轮实测失败。</x:v>
      </x:c>
    </x:row>
    <x:row r="11" ht="54" customHeight="1">
      <x:c r="A11" s="20" t="str">
        <x:v>R06</x:v>
      </x:c>
      <x:c r="B11" s="20" t="str">
        <x:v>review-de7057751b</x:v>
      </x:c>
      <x:c r="C11" s="20" t="str">
        <x:v>服务单元</x:v>
      </x:c>
      <x:c r="D11" s="20" t="str">
        <x:v>P1</x:v>
      </x:c>
      <x:c r="E11" s="20" t="str">
        <x:v>🔵 组合复用</x:v>
      </x:c>
      <x:c r="F11" s="20" t="str">
        <x:v>修改中</x:v>
      </x:c>
      <x:c r="G11" s="20" t="str">
        <x:v>当前新建服务单元：信息量较大，包含多组基础信息、关联关系及规则配置，使用弹窗承载后纵向内容较长，内部滚动明显，且弹窗空间限制较大，不利于后续字段扩展及连续查看。</x:v>
      </x:c>
      <x:c r="H11" s="20" t="str">
        <x:v>替换为新页面承载</x:v>
      </x:c>
      <x:c r="I11" s="20" t="str">
        <x:v>UI 补充布局设计，开发组合实现，整体框架使用新建表单页模板</x:v>
      </x:c>
      <x:c r="J11" s="20" t="str">
        <x:v>开发</x:v>
      </x:c>
      <x:c r="K11" s="20" t="str">
        <x:v>原型/设计记录；不表示页面已交付或本轮实测失败。</x:v>
      </x:c>
    </x:row>
    <x:row r="12" ht="54" customHeight="1">
      <x:c r="A12" s="20" t="str">
        <x:v>R07</x:v>
      </x:c>
      <x:c r="B12" s="20" t="str">
        <x:v>review-331da30eb4</x:v>
      </x:c>
      <x:c r="C12" s="20" t="str">
        <x:v>服务单元</x:v>
      </x:c>
      <x:c r="D12" s="20" t="str">
        <x:v>P1</x:v>
      </x:c>
      <x:c r="E12" s="20" t="str">
        <x:v>🔵 组合复用</x:v>
      </x:c>
      <x:c r="F12" s="20" t="str">
        <x:v>未填写</x:v>
      </x:c>
      <x:c r="G12" s="20" t="str">
        <x:v>当前服务单元详情：信息量较大，包含多组基础信息、关联关系及规则配置，使用弹窗承载后纵向内容较长，内部滚动明显，且弹窗空间限制较大，不利于后续字段扩展及连续查看。</x:v>
      </x:c>
      <x:c r="H12" s="20" t="str">
        <x:v>替换为新页面承载</x:v>
      </x:c>
      <x:c r="I12" s="20" t="str">
        <x:v>未填写</x:v>
      </x:c>
      <x:c r="J12" s="20" t="str">
        <x:v>未填写</x:v>
      </x:c>
      <x:c r="K12" s="20" t="str">
        <x:v>原型/设计记录；不表示页面已交付或本轮实测失败。</x:v>
      </x:c>
    </x:row>
    <x:row r="13" ht="54" customHeight="1">
      <x:c r="A13" s="20" t="str">
        <x:v>R08</x:v>
      </x:c>
      <x:c r="B13" s="20" t="str">
        <x:v>review-2a5a56bb27</x:v>
      </x:c>
      <x:c r="C13" s="20" t="str">
        <x:v>服务单元</x:v>
      </x:c>
      <x:c r="D13" s="20" t="str">
        <x:v>P1</x:v>
      </x:c>
      <x:c r="E13" s="20" t="str">
        <x:v>🔵 组合复用</x:v>
      </x:c>
      <x:c r="F13" s="20" t="str">
        <x:v>设计完毕</x:v>
      </x:c>
      <x:c r="G13" s="20" t="str">
        <x:v>原历史版本列表及版本详情均采用弹窗展示，连续查看时需在不同弹窗间切换，交互连贯性不足；版本详情采用纵向表格展示，信息占用空间较大，阅读效率较低。</x:v>
      </x:c>
      <x:c r="H13" s="20" t="str">
        <x:v>将历史版本列表及版本详情统一调整为抽屉形式，通过抽屉内部视图切换实现版本查看；版本详情改为分组信息布局，并在顶部增加返回入口，优化信息层级及阅读效率。</x:v>
      </x:c>
      <x:c r="I13" s="20" t="str">
        <x:v>UI 补充布局设计，开发组合实现，页面框架使用业务抽屉模板</x:v>
      </x:c>
      <x:c r="J13" s="20" t="str">
        <x:v>UI、产品</x:v>
      </x:c>
      <x:c r="K13" s="20" t="str">
        <x:v>原型/设计记录；不表示页面已交付或本轮实测失败。</x:v>
      </x:c>
    </x:row>
    <x:row r="14" ht="52" customHeight="1">
      <x:c r="A14" s="20" t="str">
        <x:v>R09</x:v>
      </x:c>
      <x:c r="B14" s="20" t="str">
        <x:v>review-c79c73690c</x:v>
      </x:c>
      <x:c r="C14" s="20" t="str">
        <x:v>服务单元</x:v>
      </x:c>
      <x:c r="D14" s="20" t="str">
        <x:v>P1</x:v>
      </x:c>
      <x:c r="E14" s="20" t="str">
        <x:v>🟡 调整后复用</x:v>
      </x:c>
      <x:c r="F14" s="20" t="str">
        <x:v>待确认</x:v>
      </x:c>
      <x:c r="G14" s="20" t="str">
        <x:v>当前确认弹窗使用普通信息提示图标，与“禁用编排”的风险语义不一致</x:v>
      </x:c>
      <x:c r="H14" s="20" t="str">
        <x:v>建议改用 Warning 警告图标</x:v>
      </x:c>
      <x:c r="I14" s="20" t="str">
        <x:v>替换图标与语义色</x:v>
      </x:c>
      <x:c r="J14" s="20" t="str">
        <x:v>UI、产品</x:v>
      </x:c>
      <x:c r="K14" s="20" t="str">
        <x:v>原型/设计记录；不表示页面已交付或本轮实测失败。</x:v>
      </x:c>
    </x:row>
    <x:row r="15" ht="52" customHeight="1">
      <x:c r="A15" s="20" t="str">
        <x:v>R10</x:v>
      </x:c>
      <x:c r="B15" s="20" t="str">
        <x:v>review-e3abcc238c</x:v>
      </x:c>
      <x:c r="C15" s="20" t="str">
        <x:v>左侧菜单</x:v>
      </x:c>
      <x:c r="D15" s="20" t="str">
        <x:v>P2</x:v>
      </x:c>
      <x:c r="E15" s="20" t="str">
        <x:v>🟢 直接复用</x:v>
      </x:c>
      <x:c r="F15" s="20" t="str">
        <x:v>待确认</x:v>
      </x:c>
      <x:c r="G15" s="20" t="str">
        <x:v>缩进、字号字重、选中态尺寸、展开箭头及菜单间距等方面与现有前端通用框架存在较大差异。且一级菜单缺少左侧图标</x:v>
      </x:c>
      <x:c r="H15" s="20" t="str">
        <x:v>复用现有框架</x:v>
      </x:c>
      <x:c r="I15" s="20" t="str">
        <x:v>开发对齐现有框架、规范开发</x:v>
      </x:c>
      <x:c r="J15" s="20" t="str">
        <x:v>开发</x:v>
      </x:c>
      <x:c r="K15" s="20" t="str">
        <x:v>原型/设计记录；不表示页面已交付或本轮实测失败。</x:v>
      </x:c>
    </x:row>
    <x:row r="16" ht="52" customHeight="1">
      <x:c r="A16" s="20" t="str">
        <x:v>R11</x:v>
      </x:c>
      <x:c r="B16" s="20" t="str">
        <x:v>review-a2a817eb2a</x:v>
      </x:c>
      <x:c r="C16" s="20" t="str">
        <x:v>顶部导航</x:v>
      </x:c>
      <x:c r="D16" s="20" t="str">
        <x:v>P2</x:v>
      </x:c>
      <x:c r="E16" s="20" t="str">
        <x:v>🟢 直接复用</x:v>
      </x:c>
      <x:c r="F16" s="20" t="str">
        <x:v>待确认</x:v>
      </x:c>
      <x:c r="G16" s="20" t="str">
        <x:v>与规范、框架不一致，有多余的页面标题，无功能的板块可先暂时隐藏，如搜索、消息等</x:v>
      </x:c>
      <x:c r="H16" s="20" t="str">
        <x:v>复用现有框架</x:v>
      </x:c>
      <x:c r="I16" s="20" t="str">
        <x:v>开发对齐现有框架、规范开发</x:v>
      </x:c>
      <x:c r="J16" s="20" t="str">
        <x:v>开发</x:v>
      </x:c>
      <x:c r="K16" s="20" t="str">
        <x:v>原型/设计记录；不表示页面已交付或本轮实测失败。</x:v>
      </x:c>
    </x:row>
    <x:row r="17" ht="54" customHeight="1">
      <x:c r="A17" s="20" t="str">
        <x:v>R12</x:v>
      </x:c>
      <x:c r="B17" s="20" t="str">
        <x:v>review-716a17fbb6</x:v>
      </x:c>
      <x:c r="C17" s="20" t="str">
        <x:v>所有页头栏</x:v>
      </x:c>
      <x:c r="D17" s="20" t="str">
        <x:v>P1</x:v>
      </x:c>
      <x:c r="E17" s="20" t="str">
        <x:v>🟢 直接复用</x:v>
      </x:c>
      <x:c r="F17" s="20" t="str">
        <x:v>待确认</x:v>
      </x:c>
      <x:c r="G17" s="20" t="str">
        <x:v>当前将面包屑导航放置于顶部导航，与现有通用框架页面结构不一致，同时与页面标题存在重复表达。
操作按钮对齐方式与框架不一致</x:v>
      </x:c>
      <x:c r="H17" s="20" t="str">
        <x:v>1、复用现有框架，
2、着重考虑副标题的存在必要性，如无完全必要可考虑删除，带副标题的页头可见规范规定
3、说明文字最好不要出现「」</x:v>
      </x:c>
      <x:c r="I17" s="20" t="str">
        <x:v>开发对齐现有框架、规范开发</x:v>
      </x:c>
      <x:c r="J17" s="20" t="str">
        <x:v>产品、开发</x:v>
      </x:c>
      <x:c r="K17" s="20" t="str">
        <x:v>原型/设计记录；不表示页面已交付或本轮实测失败。</x:v>
      </x:c>
    </x:row>
    <x:row r="18" ht="96" customHeight="1">
      <x:c r="A18" s="20" t="str">
        <x:v>R13</x:v>
      </x:c>
      <x:c r="B18" s="20" t="str">
        <x:v>review-96579d37d7</x:v>
      </x:c>
      <x:c r="C18" s="20" t="str">
        <x:v>所有查询区</x:v>
      </x:c>
      <x:c r="D18" s="20" t="str">
        <x:v>P2</x:v>
      </x:c>
      <x:c r="E18" s="20" t="str">
        <x:v>🟢 直接复用</x:v>
      </x:c>
      <x:c r="F18" s="20" t="str">
        <x:v>待确认</x:v>
      </x:c>
      <x:c r="G18" s="20" t="str">
        <x:v>当前筛选区控件尺寸、排列、操作按钮样式、下拉样式与通用框架存在差异。</x:v>
      </x:c>
      <x:c r="H18" s="20" t="str">
        <x:v>1、筛选字段数量按实际业务需求保留，不需与框架示例强行保持相同列数；
2、整体复用通用框架筛选区的控件尺寸、栅格间距及操作方式。
3、当前 3 个筛选字段建议依次排列，右侧使用框架标准 "查询 / 重置" 操作，剩余空间无需通过拉伸字段填满。
4、下拉样式复用通用框架样式
5、点击查询与重置，列表都需要有刷新反馈</x:v>
      </x:c>
      <x:c r="I18" s="20" t="str">
        <x:v>开发对齐现有框架、规范开发</x:v>
      </x:c>
      <x:c r="J18" s="20" t="str">
        <x:v>开发</x:v>
      </x:c>
      <x:c r="K18" s="20" t="str">
        <x:v>原型/设计记录；不表示页面已交付或本轮实测失败。</x:v>
      </x:c>
    </x:row>
    <x:row r="19" ht="54" customHeight="1">
      <x:c r="A19" s="20" t="str">
        <x:v>R14</x:v>
      </x:c>
      <x:c r="B19" s="20" t="str">
        <x:v>review-92624f2e97</x:v>
      </x:c>
      <x:c r="C19" s="20" t="str">
        <x:v>所有列表区</x:v>
      </x:c>
      <x:c r="D19" s="20" t="str">
        <x:v>P2</x:v>
      </x:c>
      <x:c r="E19" s="20" t="str">
        <x:v>🟢 直接复用</x:v>
      </x:c>
      <x:c r="F19" s="20" t="str">
        <x:v>待确认</x:v>
      </x:c>
      <x:c r="G19" s="20" t="str">
        <x:v>当前原型 Table 在容器间距、表头/行高、行背景、列宽、固定列及操作区等方面与前端通用框架存在较大差异。</x:v>
      </x:c>
      <x:c r="H19" s="20" t="str">
        <x:v>1、建议整体直接复用现有 Table 框架规范，业务侧仅保留字段、数据及必要状态差异；顶部操作可按业务隐藏，但保留框架规定的容器 Padding。
2、长文本、固定列及操作项再根据实际数据情况进行适配。</x:v>
      </x:c>
      <x:c r="I19" s="20" t="str">
        <x:v>开发对齐现有框架、规范开发</x:v>
      </x:c>
      <x:c r="J19" s="20" t="str">
        <x:v>开发</x:v>
      </x:c>
      <x:c r="K19" s="20" t="str">
        <x:v>原型/设计记录；不表示页面已交付或本轮实测失败。</x:v>
      </x:c>
    </x:row>
    <x:row r="20" ht="52" customHeight="1">
      <x:c r="A20" s="20" t="str">
        <x:v>R15</x:v>
      </x:c>
      <x:c r="B20" s="20" t="str">
        <x:v>review-08ef6a1468</x:v>
      </x:c>
      <x:c r="C20" s="20" t="str">
        <x:v>所有列表区</x:v>
      </x:c>
      <x:c r="D20" s="20" t="str">
        <x:v>P1</x:v>
      </x:c>
      <x:c r="E20" s="20" t="str">
        <x:v>🟢 直接复用</x:v>
      </x:c>
      <x:c r="F20" s="20" t="str">
        <x:v>待确认</x:v>
      </x:c>
      <x:c r="G20" s="20" t="str">
        <x:v>当前原型分页组件在布局、页码样式、每页条数选择及总数信息展示方式上与前端通用框架不一致。</x:v>
      </x:c>
      <x:c r="H20" s="20" t="str">
        <x:v>1、分页区域统一复用现有框架组件及布局规则，包括总数、页码切换、每页条数等基础能力；
2、具体每页条数及是否展示页码跳转可根据实际业务需要配置，不再单独定义新的分页样式。</x:v>
      </x:c>
      <x:c r="I20" s="20" t="str">
        <x:v>开发对齐现有框架、规范开发</x:v>
      </x:c>
      <x:c r="J20" s="20" t="str">
        <x:v>开发</x:v>
      </x:c>
      <x:c r="K20" s="20" t="str">
        <x:v>原型/设计记录；不表示页面已交付或本轮实测失败。</x:v>
      </x:c>
    </x:row>
    <x:row r="21" ht="68" customHeight="1">
      <x:c r="A21" s="20" t="str">
        <x:v>R16</x:v>
      </x:c>
      <x:c r="B21" s="20" t="str">
        <x:v>review-79dfb7278b</x:v>
      </x:c>
      <x:c r="C21" s="20" t="str">
        <x:v>所有列表区</x:v>
      </x:c>
      <x:c r="D21" s="20" t="str">
        <x:v>P1</x:v>
      </x:c>
      <x:c r="E21" s="20" t="str">
        <x:v>🟢 直接复用</x:v>
      </x:c>
      <x:c r="F21" s="20" t="str">
        <x:v>待确认</x:v>
      </x:c>
      <x:c r="G21" s="20" t="str">
        <x:v>当前原型在表格横向滚动时，左侧关键操作列未明确冻结范围，勾选框等批量操作入口可能随内容滚动移出可视区域，影响连续选择和操作效率。</x:v>
      </x:c>
      <x:c r="H21" s="20" t="str">
        <x:v>横向滚动场景统一沿用框架 Fixed Column 规则：左侧至少固定 “勾选列 + 核心识别字段（如服务单元名称/编号）”；右侧“操作列”保持固定。其余业务字段随表格横向滚动。固定区域与滚动区域之间使用框架统一的分隔/阴影样式，不建议冻结过多字段，避免压缩中间有效展示空间。</x:v>
      </x:c>
      <x:c r="I21" s="20" t="str">
        <x:v>开发对齐现有框架、规范开发</x:v>
      </x:c>
      <x:c r="J21" s="20" t="str">
        <x:v>开发</x:v>
      </x:c>
      <x:c r="K21" s="20" t="str">
        <x:v>原型/设计记录；不表示页面已交付或本轮实测失败。</x:v>
      </x:c>
    </x:row>
    <x:row r="22" ht="52" customHeight="1">
      <x:c r="A22" s="20" t="str">
        <x:v>R17</x:v>
      </x:c>
      <x:c r="B22" s="20" t="str">
        <x:v>review-42f80e1fec</x:v>
      </x:c>
      <x:c r="C22" s="20" t="str">
        <x:v>所有列表区</x:v>
      </x:c>
      <x:c r="D22" s="20" t="str">
        <x:v>P1</x:v>
      </x:c>
      <x:c r="E22" s="20" t="str">
        <x:v>🟢 直接复用</x:v>
      </x:c>
      <x:c r="F22" s="20" t="str">
        <x:v>待确认</x:v>
      </x:c>
      <x:c r="G22" s="20" t="str">
        <x:v>当前原型勾选数据后，批量操作采用页面底部悬浮操作条，与现有通用框架的批量操作方式不一致；悬浮层同时会遮挡部分表格内容</x:v>
      </x:c>
      <x:c r="H22" s="20" t="str">
        <x:v>统一复用通用框架的批量操作栏：勾选数据后，在 Table 顶部展示操作按钮，取消选择后恢复默认状态；选中行同步使用框架统一选中态。不再新增底部悬浮操作条</x:v>
      </x:c>
      <x:c r="I22" s="20" t="str">
        <x:v>开发对齐现有框架、规范开发</x:v>
      </x:c>
      <x:c r="J22" s="20" t="str">
        <x:v>开发</x:v>
      </x:c>
      <x:c r="K22" s="20" t="str">
        <x:v>原型/设计记录；不表示页面已交付或本轮实测失败。</x:v>
      </x:c>
    </x:row>
    <x:row r="23" ht="54" customHeight="1">
      <x:c r="A23" s="20" t="str">
        <x:v>R18</x:v>
      </x:c>
      <x:c r="B23" s="20" t="str">
        <x:v>review-6436a27114</x:v>
      </x:c>
      <x:c r="C23" s="20" t="str">
        <x:v>所有列表区</x:v>
      </x:c>
      <x:c r="D23" s="20" t="str">
        <x:v>P2</x:v>
      </x:c>
      <x:c r="E23" s="20" t="str">
        <x:v>🟢 直接复用</x:v>
      </x:c>
      <x:c r="F23" s="20" t="str">
        <x:v>待确认</x:v>
      </x:c>
      <x:c r="G23" s="20" t="str">
        <x:v>当前原型 Table 在行高、文字使用、字号字重、Checkbox、行背景及选中态等视觉表现上与通用框架存在差异；选中行未形成完整统一的行级高亮，固定操作列与主体区域的背景状态也不一致，整体信息密度偏低。</x:v>
      </x:c>
      <x:c r="H23" s="20" t="str">
        <x:v>表格视觉统一复用通用框架规范：沿用标准行高、字体层级、Checkbox 及 Tag 样式；默认数据行保持统一背景，勾选后整行使用框架标准选中底色，并同步覆盖固定列区域，避免主体区与固定列出现状态割裂；不额外增加新的行背景、字重或选中样式。</x:v>
      </x:c>
      <x:c r="I23" s="20" t="str">
        <x:v>开发对齐现有框架、规范开发</x:v>
      </x:c>
      <x:c r="J23" s="20" t="str">
        <x:v>开发</x:v>
      </x:c>
      <x:c r="K23" s="20" t="str">
        <x:v>原型/设计记录；不表示页面已交付或本轮实测失败。</x:v>
      </x:c>
    </x:row>
    <x:row r="24" ht="54" customHeight="1">
      <x:c r="A24" s="20" t="str">
        <x:v>R19</x:v>
      </x:c>
      <x:c r="B24" s="20" t="str">
        <x:v>review-a7e8b941e2</x:v>
      </x:c>
      <x:c r="C24" s="20" t="str">
        <x:v>所有列表区</x:v>
      </x:c>
      <x:c r="D24" s="20" t="str">
        <x:v>P0</x:v>
      </x:c>
      <x:c r="E24" s="20" t="str">
        <x:v>🟢 直接复用</x:v>
      </x:c>
      <x:c r="F24" s="20" t="str">
        <x:v>待确认</x:v>
      </x:c>
      <x:c r="G24" s="20" t="str">
        <x:v>编码使用蓝色链接态但无点击能力，存在错误交互暗示</x:v>
      </x:c>
      <x:c r="H24" s="20" t="str">
        <x:v>建议无跳转能力时改为普通文本；如需作为详情入口，则补充完整点击交互。</x:v>
      </x:c>
      <x:c r="I24" s="20" t="str">
        <x:v>先确认服务单元编码是否需要承担详情入口；不需要则取消蓝色链接态，需要则补充可点击交互。&lt;at user_id=ou_d7a1e0a50bbac9f33df0d2f7dfc3246d&gt;@人员04&lt;/at&gt;</x:v>
      </x:c>
      <x:c r="J24" s="20" t="str">
        <x:v>产品</x:v>
      </x:c>
      <x:c r="K24" s="20" t="str">
        <x:v>原型/设计记录；不表示页面已交付或本轮实测失败。</x:v>
      </x:c>
    </x:row>
    <x:row r="25" ht="68" customHeight="1">
      <x:c r="A25" s="20" t="str">
        <x:v>R20</x:v>
      </x:c>
      <x:c r="B25" s="20" t="str">
        <x:v>review-f228825adf</x:v>
      </x:c>
      <x:c r="C25" s="20" t="str">
        <x:v>Ai 建档解析</x:v>
      </x:c>
      <x:c r="D25" s="20" t="str">
        <x:v>P0</x:v>
      </x:c>
      <x:c r="E25" s="20" t="str">
        <x:v>🟢 直接复用</x:v>
      </x:c>
      <x:c r="F25" s="20" t="str">
        <x:v>待确认</x:v>
      </x:c>
      <x:c r="G25" s="20" t="str">
        <x:v>当前原型使用弹窗承载，信息量较大、操作链路较长。</x:v>
      </x:c>
      <x:c r="H25" s="20" t="str">
        <x:v>1、建议调整为独立表单页面承载完整建档流程，保留清晰的步骤导航、内容区及底部操作区，便于用户持续查看上传资料、AI 解析结果及确认状态；弹窗 更适合信息量较少、单一步骤、可快速完成的操作。
2、限制页面主体内容区统一保留左右 24px Padding，作为页面级基础留白</x:v>
      </x:c>
      <x:c r="I25" s="20" t="str">
        <x:v>产品按照独立表单页框架调整原型</x:v>
      </x:c>
      <x:c r="J25" s="20" t="str">
        <x:v>产品</x:v>
      </x:c>
      <x:c r="K25" s="20" t="str">
        <x:v>原型/设计记录；不表示页面已交付或本轮实测失败。</x:v>
      </x:c>
    </x:row>
    <x:row r="26" ht="52" customHeight="1">
      <x:c r="A26" s="20" t="str">
        <x:v>R21</x:v>
      </x:c>
      <x:c r="B26" s="20" t="str">
        <x:v>review-70bd2614ce</x:v>
      </x:c>
      <x:c r="C26" s="20" t="str">
        <x:v>全局</x:v>
      </x:c>
      <x:c r="D26" s="20" t="str">
        <x:v>P1</x:v>
      </x:c>
      <x:c r="E26" s="20" t="str">
        <x:v>🟢 直接复用</x:v>
      </x:c>
      <x:c r="F26" s="20" t="str">
        <x:v>待确认</x:v>
      </x:c>
      <x:c r="G26" s="20" t="str">
        <x:v>当前页面刷新后会跳转至其他页面，未保持当前路由，导致用户操作上下文中断。</x:v>
      </x:c>
      <x:c r="H26" s="20" t="str">
        <x:v>页面刷新后应保持当前页面及必要状态，不应发生非预期跳转。</x:v>
      </x:c>
      <x:c r="I26" s="20" t="str">
        <x:v>检查当前路由及刷新逻辑，调整为刷新后保持当前页面；如有特殊跳转逻辑需产品确认</x:v>
      </x:c>
      <x:c r="J26" s="20" t="str">
        <x:v>开发</x:v>
      </x:c>
      <x:c r="K26" s="20" t="str">
        <x:v>原型/设计记录；不表示页面已交付或本轮实测失败。</x:v>
      </x:c>
    </x:row>
    <x:row r="27" ht="68" customHeight="1">
      <x:c r="A27" s="20" t="str">
        <x:v>R22</x:v>
      </x:c>
      <x:c r="B27" s="20" t="str">
        <x:v>review-f828afea0f</x:v>
      </x:c>
      <x:c r="C27" s="20" t="str">
        <x:v>服务单元</x:v>
      </x:c>
      <x:c r="D27" s="20" t="str">
        <x:v>P0</x:v>
      </x:c>
      <x:c r="E27" s="20" t="str">
        <x:v>🟢 直接复用</x:v>
      </x:c>
      <x:c r="F27" s="20" t="str">
        <x:v>待确认</x:v>
      </x:c>
      <x:c r="G27" s="20" t="str">
        <x:v>1、当前服务单元详情信息量较大，包含多组基础信息、关联关系及规则配置，使用弹窗承载后纵向内容较长，内部滚动明显，且弹窗空间限制较大，不利于后续字段扩展及连续查看。
2、严禁使用 emoji 作为图标</x:v>
      </x:c>
      <x:c r="H27" s="20" t="str">
        <x:v>建议改为右侧详情 Drawer 承载，保留当前列表上下文；详情内容按信息模块分组展示，Drawer 内容区支持纵向滚动，顶部标题及底部操作区固定。适用于用户在列表中连续查看多条服务单元详情的场景。</x:v>
      </x:c>
      <x:c r="I27" s="20" t="str">
        <x:v>按现有详情 Drawer 结构调整</x:v>
      </x:c>
      <x:c r="J27" s="20" t="str">
        <x:v>开发、产品</x:v>
      </x:c>
      <x:c r="K27" s="20" t="str">
        <x:v>原型/设计记录；不表示页面已交付或本轮实测失败。</x:v>
      </x:c>
    </x:row>
    <x:row r="28" ht="52" customHeight="1">
      <x:c r="A28" s="20" t="str">
        <x:v>R23</x:v>
      </x:c>
      <x:c r="B28" s="20" t="str">
        <x:v>review-b8b8e36a2b</x:v>
      </x:c>
      <x:c r="C28" s="20" t="str">
        <x:v>服务单元</x:v>
      </x:c>
      <x:c r="D28" s="20" t="str">
        <x:v>P0</x:v>
      </x:c>
      <x:c r="E28" s="20" t="str">
        <x:v>🟢 直接复用</x:v>
      </x:c>
      <x:c r="F28" s="20" t="str">
        <x:v>待确认</x:v>
      </x:c>
      <x:c r="G28" s="20" t="str">
        <x:v>1、AI文档建档、新建服务单元位置不合适，
2、当前列表卡片内额外设置 服务单元列表 标题</x:v>
      </x:c>
      <x:c r="H28" s="20" t="str">
        <x:v>1、参照通用框架，将两个创建入口统一调整至页头栏右侧。
2、参照通用框架，取消 服务单元列表 标题</x:v>
      </x:c>
      <x:c r="I28" s="20" t="str">
        <x:v>使用通用列表页框架开发</x:v>
      </x:c>
      <x:c r="J28" s="20" t="str">
        <x:v>开发</x:v>
      </x:c>
      <x:c r="K28" s="20" t="str">
        <x:v>原型/设计记录；不表示页面已交付或本轮实测失败。</x:v>
      </x:c>
    </x:row>
    <x:row r="29" ht="52" customHeight="1">
      <x:c r="A29" s="20" t="str">
        <x:v>R24</x:v>
      </x:c>
      <x:c r="B29" s="20" t="str">
        <x:v>review-dfa7090250</x:v>
      </x:c>
      <x:c r="C29" s="20" t="str">
        <x:v>未填写</x:v>
      </x:c>
      <x:c r="D29" s="20" t="str">
        <x:v>未填写</x:v>
      </x:c>
      <x:c r="E29" s="20" t="str">
        <x:v>🟢 直接复用</x:v>
      </x:c>
      <x:c r="F29" s="20" t="str">
        <x:v>未填写</x:v>
      </x:c>
      <x:c r="G29" s="20" t="str">
        <x:v>未填写</x:v>
      </x:c>
      <x:c r="H29" s="20" t="str">
        <x:v>未填写</x:v>
      </x:c>
      <x:c r="I29" s="20" t="str">
        <x:v>未填写</x:v>
      </x:c>
      <x:c r="J29" s="20" t="str">
        <x:v>未填写</x:v>
      </x:c>
      <x:c r="K29" s="20" t="str">
        <x:v>原型/设计记录；不表示页面已交付或本轮实测失败。</x:v>
      </x:c>
    </x:row>
    <x:row r="34">
      <x:c r="F34" s="24" t="str">
        <x:v>审查来源</x:v>
      </x:c>
    </x:row>
    <x:row r="35" ht="32" customHeight="1">
      <x:c r="F35" s="27" t="str">
        <x:v>来源</x:v>
      </x:c>
      <x:c r="G35" s="27" t="str">
        <x:v>标题/对象</x:v>
      </x:c>
      <x:c r="H35" s="27" t="str">
        <x:v>版本与用途</x:v>
      </x:c>
      <x:c r="I35" s="27" t="str">
        <x:v>入口</x:v>
      </x:c>
    </x:row>
    <x:row r="36" ht="80" customHeight="1">
      <x:c r="F36" s="20" t="str">
        <x:v>排期与阶段共识</x:v>
      </x:c>
      <x:c r="G36" s="20" t="str">
        <x:v>SN318项目-排期周视图与阶段共识-20260929-v4</x:v>
      </x:c>
      <x:c r="H36" s="20" t="str">
        <x:v>rev988；W2=2026-10-12至10-16，J列UI/开共38项</x:v>
      </x:c>
      <x:c r="I36" s="20" t="str">
        <x:v>https://example.invalid/source/7cdefbaffe</x:v>
      </x:c>
    </x:row>
    <x:row r="37" ht="80" customHeight="1">
      <x:c r="F37" s="20" t="str">
        <x:v>通用UI规范</x:v>
      </x:c>
      <x:c r="G37" s="20" t="str">
        <x:v>AI与数字化中心-通用设计规范V1.2</x:v>
      </x:c>
      <x:c r="H37" s="20" t="str">
        <x:v>rev5256；组件、页面模板和状态呈现</x:v>
      </x:c>
      <x:c r="I37" s="20" t="str">
        <x:v>https://example.invalid/source/b12a1bc700</x:v>
      </x:c>
    </x:row>
    <x:row r="38" ht="80" customHeight="1">
      <x:c r="F38" s="20" t="str">
        <x:v>UI Review</x:v>
      </x:c>
      <x:c r="G38" s="20" t="str">
        <x:v>原型审查五色判断</x:v>
      </x:c>
      <x:c r="H38" s="20" t="str">
        <x:v>rev680；完整读取24条，状态和意见在本表保留</x:v>
      </x:c>
      <x:c r="I38" s="20" t="str">
        <x:v>https://example.invalid/source/e04459bb0b</x:v>
      </x:c>
    </x:row>
    <x:row r="39" ht="80" customHeight="1">
      <x:c r="F39" s="20" t="str">
        <x:v>公共用例库</x:v>
      </x:c>
      <x:c r="G39" s="20" t="str">
        <x:v>通用公共用例基准库V1.2</x:v>
      </x:c>
      <x:c r="H39" s="20" t="str">
        <x:v>rev95；§5.3标签可读性和键盘操作</x:v>
      </x:c>
      <x:c r="I39" s="20" t="str">
        <x:v>https://example.invalid/source/92f788d9b2</x:v>
      </x:c>
    </x:row>
    <x:row r="40" ht="80" customHeight="1">
      <x:c r="F40" s="20" t="str">
        <x:v>原UI case</x:v>
      </x:c>
      <x:c r="G40" s="20" t="str">
        <x:v>已提供的冒烟/UI用例工作簿</x:v>
      </x:c>
      <x:c r="H40" s="20" t="str">
        <x:v>UI编号和DEC18仅用于对照；未改原正式执行字段</x:v>
      </x:c>
      <x:c r="I40" s="20" t="str">
        <x:v>.\outputs\smoke-ui\SN318_冒烟与UI用例_飞书五色及实际页面复核.xlsx</x:v>
      </x:c>
    </x:row>
    <x:row r="41" ht="80" customHeight="1">
      <x:c r="F41" s="20" t="str">
        <x:v>当前环境</x:v>
      </x:c>
      <x:c r="G41" s="20" t="str">
        <x:v>PCS M1全量授权</x:v>
      </x:c>
      <x:c r="H41" s="20" t="str">
        <x:v>资源index-_UhGeUBF.js；该路径不是部署Build；未提供Build号</x:v>
      </x:c>
      <x:c r="I41" s="20" t="str">
        <x:v>https://localhost/pcs/system-config/master-data</x:v>
      </x:c>
    </x:row>
    <x:row r="43" ht="45" customHeight="1">
      <x:c r="A43" t="str">
        <x:v>注意：新增“历史版本抽屉”Review记录适用于服务单元；服务组合历史版本（排期9）仍需本模块批准稿，不能据此写成已交付。</x:v>
      </x:c>
    </x:row>
  </x:sheetData>
  <x:pageMargins left="0.7" right="0.7" top="0.75" bottom="0.75" header="0.3" footer="0.3"/>
  <x:tableParts count="1">
    <x:tablePart xmlns:r="http://schemas.openxmlformats.org/officeDocument/2006/relationships" r:id="R960f9244b3b14c8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46" hidden="0" customWidth="1"/>
    <x:col min="3" max="3" width="24" hidden="0" customWidth="1"/>
    <x:col min="4" max="4" width="25" hidden="0" customWidth="1"/>
    <x:col min="5" max="5" width="22" hidden="0" customWidth="1"/>
    <x:col min="6" max="6" width="17" hidden="0" customWidth="1"/>
    <x:col min="7" max="7" width="97" hidden="0" customWidth="1"/>
    <x:col min="8" max="8" width="19" hidden="0" customWidth="1"/>
    <x:col min="9" max="9" width="47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本轮原始截图证据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 t="str">
        <x:v>22张本轮截图；时区上海。CSS视口与原图尺寸分别记录；可见区域截图不用于判断未被截入的页面内容。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0" customHeight="1">
      <x:c r="A5" s="31" t="str">
        <x:v>证据ID</x:v>
      </x:c>
      <x:c r="B5" s="31" t="str">
        <x:v>页面/场景</x:v>
      </x:c>
      <x:c r="C5" s="31" t="str">
        <x:v>取证时间（上海）</x:v>
      </x:c>
      <x:c r="D5" s="31" t="str">
        <x:v>CSS视口</x:v>
      </x:c>
      <x:c r="E5" s="31" t="str">
        <x:v>原图尺寸</x:v>
      </x:c>
      <x:c r="F5" s="31" t="str">
        <x:v>W2序号</x:v>
      </x:c>
      <x:c r="G5" s="31" t="str">
        <x:v>页面URL</x:v>
      </x:c>
      <x:c r="H5" s="31" t="str">
        <x:v>图片位置</x:v>
      </x:c>
      <x:c r="I5" s="31" t="str">
        <x:v>证据边界</x:v>
      </x:c>
      <x:c r="J5" s="2"/>
      <x:c r="K5" s="2"/>
      <x:c r="L5" s="2"/>
    </x:row>
    <x:row r="6" ht="58" customHeight="1">
      <x:c r="A6" s="20" t="str">
        <x:v>W01</x:v>
      </x:c>
      <x:c r="B6" s="20" t="str">
        <x:v>当前账号桌面导航与费用项列表</x:v>
      </x:c>
      <x:c r="C6" s="32" t="d">
        <x:v>2026-10-12T19:55:18.000Z</x:v>
      </x:c>
      <x:c r="D6" s="20" t="str">
        <x:v>1280×800 CSS px</x:v>
      </x:c>
      <x:c r="E6" s="20" t="str">
        <x:v>1265×791 px</x:v>
      </x:c>
      <x:c r="F6" s="20" t="str">
        <x:v>50</x:v>
      </x:c>
      <x:c r="G6" s="20" t="str">
        <x:v>https://localhost/pcs/system-config/master-data?group=fee&amp;resource=fee_item</x:v>
      </x:c>
      <x:c r="H6" s="20" t="str">
        <x:v>A33</x:v>
      </x:c>
      <x:c r="I6" s="20" t="str">
        <x:v>本轮可见区域截图；未提交业务数据变更</x:v>
      </x:c>
      <x:c r="J6" s="2"/>
      <x:c r="K6" s="2"/>
      <x:c r="L6" s="2"/>
    </x:row>
    <x:row r="7" ht="58" customHeight="1">
      <x:c r="A7" s="20" t="str">
        <x:v>W02</x:v>
      </x:c>
      <x:c r="B7" s="20" t="str">
        <x:v>展开侧栏后仅可见系统配置/基础配置</x:v>
      </x:c>
      <x:c r="C7" s="32" t="d">
        <x:v>2026-10-12T19:56:43.000Z</x:v>
      </x:c>
      <x:c r="D7" s="20" t="str">
        <x:v>1280×800 CSS px</x:v>
      </x:c>
      <x:c r="E7" s="20" t="str">
        <x:v>1265×791 px</x:v>
      </x:c>
      <x:c r="F7" s="20" t="str">
        <x:v>50、51、56</x:v>
      </x:c>
      <x:c r="G7" s="20" t="str">
        <x:v>https://localhost/pcs/system-config/master-data?group=fee&amp;resource=fee_item</x:v>
      </x:c>
      <x:c r="H7" s="20" t="str">
        <x:v>A64</x:v>
      </x:c>
      <x:c r="I7" s="20" t="str">
        <x:v>本轮可见区域截图；未提交业务数据变更</x:v>
      </x:c>
      <x:c r="J7" s="2"/>
      <x:c r="K7" s="2"/>
      <x:c r="L7" s="2"/>
    </x:row>
    <x:row r="8" ht="58" customHeight="1">
      <x:c r="A8" s="20" t="str">
        <x:v>W03</x:v>
      </x:c>
      <x:c r="B8" s="20" t="str">
        <x:v>费用项关键词无匹配结果误用无数据空态</x:v>
      </x:c>
      <x:c r="C8" s="32" t="d">
        <x:v>2026-10-12T19:57:59.000Z</x:v>
      </x:c>
      <x:c r="D8" s="20" t="str">
        <x:v>1280×800 CSS px</x:v>
      </x:c>
      <x:c r="E8" s="20" t="str">
        <x:v>1265×791 px</x:v>
      </x:c>
      <x:c r="F8" s="20" t="str">
        <x:v>50</x:v>
      </x:c>
      <x:c r="G8" s="20" t="str">
        <x:v>https://localhost/pcs/system-config/master-data?group=fee&amp;resource=fee_item</x:v>
      </x:c>
      <x:c r="H8" s="20" t="str">
        <x:v>A95</x:v>
      </x:c>
      <x:c r="I8" s="20" t="str">
        <x:v>本轮可见区域截图；未提交业务数据变更</x:v>
      </x:c>
      <x:c r="J8" s="2"/>
      <x:c r="K8" s="2"/>
      <x:c r="L8" s="2"/>
    </x:row>
    <x:row r="9" ht="58" customHeight="1">
      <x:c r="A9" s="20" t="str">
        <x:v>W04</x:v>
      </x:c>
      <x:c r="B9" s="20" t="str">
        <x:v>费用项编辑表单字段与取消/保存入口</x:v>
      </x:c>
      <x:c r="C9" s="32" t="d">
        <x:v>2026-10-12T19:58:31.999Z</x:v>
      </x:c>
      <x:c r="D9" s="20" t="str">
        <x:v>1280×800 CSS px</x:v>
      </x:c>
      <x:c r="E9" s="20" t="str">
        <x:v>1280×800 px</x:v>
      </x:c>
      <x:c r="F9" s="20" t="str">
        <x:v>50</x:v>
      </x:c>
      <x:c r="G9" s="20" t="str">
        <x:v>https://localhost/pcs/system-config/master-data?group=fee&amp;resource=fee_item</x:v>
      </x:c>
      <x:c r="H9" s="20" t="str">
        <x:v>A126</x:v>
      </x:c>
      <x:c r="I9" s="20" t="str">
        <x:v>本轮可见区域截图；未提交业务数据变更</x:v>
      </x:c>
      <x:c r="J9" s="2"/>
      <x:c r="K9" s="2"/>
      <x:c r="L9" s="2"/>
    </x:row>
    <x:row r="10" ht="58" customHeight="1">
      <x:c r="A10" s="20" t="str">
        <x:v>W05</x:v>
      </x:c>
      <x:c r="B10" s="20" t="str">
        <x:v>费用项临时修改取消后重新打开，名称恢复运费</x:v>
      </x:c>
      <x:c r="C10" s="32" t="d">
        <x:v>2026-10-12T19:58:55.000Z</x:v>
      </x:c>
      <x:c r="D10" s="20" t="str">
        <x:v>1280×800 CSS px</x:v>
      </x:c>
      <x:c r="E10" s="20" t="str">
        <x:v>1280×800 px</x:v>
      </x:c>
      <x:c r="F10" s="20" t="str">
        <x:v>50</x:v>
      </x:c>
      <x:c r="G10" s="20" t="str">
        <x:v>https://localhost/pcs/system-config/master-data?group=fee&amp;resource=fee_item</x:v>
      </x:c>
      <x:c r="H10" s="20" t="str">
        <x:v>A156</x:v>
      </x:c>
      <x:c r="I10" s="20" t="str">
        <x:v>本轮可见区域截图；未提交业务数据变更</x:v>
      </x:c>
      <x:c r="J10" s="2"/>
      <x:c r="K10" s="2"/>
      <x:c r="L10" s="2"/>
    </x:row>
    <x:row r="11" ht="58" customHeight="1">
      <x:c r="A11" s="20" t="str">
        <x:v>W06</x:v>
      </x:c>
      <x:c r="B11" s="20" t="str">
        <x:v>币种列表，1280桌面视口初始滚动位置</x:v>
      </x:c>
      <x:c r="C11" s="32" t="d">
        <x:v>2026-10-12T19:59:40.000Z</x:v>
      </x:c>
      <x:c r="D11" s="20" t="str">
        <x:v>1280×800 CSS px</x:v>
      </x:c>
      <x:c r="E11" s="20" t="str">
        <x:v>1265×791 px</x:v>
      </x:c>
      <x:c r="F11" s="20" t="str">
        <x:v>51</x:v>
      </x:c>
      <x:c r="G11" s="20" t="str">
        <x:v>https://localhost/pcs/system-config/master-data?group=finance&amp;resource=currency</x:v>
      </x:c>
      <x:c r="H11" s="20" t="str">
        <x:v>A186</x:v>
      </x:c>
      <x:c r="I11" s="20" t="str">
        <x:v>本轮可见区域截图；未提交业务数据变更</x:v>
      </x:c>
      <x:c r="J11" s="2"/>
      <x:c r="K11" s="2"/>
      <x:c r="L11" s="2"/>
    </x:row>
    <x:row r="12" ht="58" customHeight="1">
      <x:c r="A12" s="20" t="str">
        <x:v>W07</x:v>
      </x:c>
      <x:c r="B12" s="20" t="str">
        <x:v>币种列表横向滚动后数字列与固定操作列</x:v>
      </x:c>
      <x:c r="C12" s="32" t="d">
        <x:v>2026-10-12T20:00:00.000Z</x:v>
      </x:c>
      <x:c r="D12" s="20" t="str">
        <x:v>1280×800 CSS px</x:v>
      </x:c>
      <x:c r="E12" s="20" t="str">
        <x:v>1265×791 px</x:v>
      </x:c>
      <x:c r="F12" s="20" t="str">
        <x:v>51</x:v>
      </x:c>
      <x:c r="G12" s="20" t="str">
        <x:v>https://localhost/pcs/system-config/master-data?group=finance&amp;resource=currency</x:v>
      </x:c>
      <x:c r="H12" s="20" t="str">
        <x:v>A217</x:v>
      </x:c>
      <x:c r="I12" s="20" t="str">
        <x:v>本轮可见区域截图；未提交业务数据变更</x:v>
      </x:c>
      <x:c r="J12" s="2"/>
      <x:c r="K12" s="2"/>
      <x:c r="L12" s="2"/>
    </x:row>
    <x:row r="13" ht="58" customHeight="1">
      <x:c r="A13" s="20" t="str">
        <x:v>W08</x:v>
      </x:c>
      <x:c r="B13" s="20" t="str">
        <x:v>币种编辑表单，单列滚动和底部操作</x:v>
      </x:c>
      <x:c r="C13" s="32" t="d">
        <x:v>2026-10-12T20:00:15.000Z</x:v>
      </x:c>
      <x:c r="D13" s="20" t="str">
        <x:v>1280×800 CSS px</x:v>
      </x:c>
      <x:c r="E13" s="20" t="str">
        <x:v>1280×800 px</x:v>
      </x:c>
      <x:c r="F13" s="20" t="str">
        <x:v>51</x:v>
      </x:c>
      <x:c r="G13" s="20" t="str">
        <x:v>https://localhost/pcs/system-config/master-data?group=finance&amp;resource=currency</x:v>
      </x:c>
      <x:c r="H13" s="20" t="str">
        <x:v>A248</x:v>
      </x:c>
      <x:c r="I13" s="20" t="str">
        <x:v>本轮可见区域截图；未提交业务数据变更</x:v>
      </x:c>
      <x:c r="J13" s="2"/>
      <x:c r="K13" s="2"/>
      <x:c r="L13" s="2"/>
    </x:row>
    <x:row r="14" ht="58" customHeight="1">
      <x:c r="A14" s="20" t="str">
        <x:v>W09</x:v>
      </x:c>
      <x:c r="B14" s="20" t="str">
        <x:v>汇率列表及已生效区间说明</x:v>
      </x:c>
      <x:c r="C14" s="32" t="d">
        <x:v>2026-10-12T20:00:44.000Z</x:v>
      </x:c>
      <x:c r="D14" s="20" t="str">
        <x:v>1280×800 CSS px</x:v>
      </x:c>
      <x:c r="E14" s="20" t="str">
        <x:v>1265×791 px</x:v>
      </x:c>
      <x:c r="F14" s="20" t="str">
        <x:v>51</x:v>
      </x:c>
      <x:c r="G14" s="20" t="str">
        <x:v>https://localhost/pcs/system-config/master-data?group=finance&amp;resource=exchange_rate</x:v>
      </x:c>
      <x:c r="H14" s="20" t="str">
        <x:v>A278</x:v>
      </x:c>
      <x:c r="I14" s="20" t="str">
        <x:v>本轮可见区域截图；未提交业务数据变更</x:v>
      </x:c>
      <x:c r="J14" s="2"/>
      <x:c r="K14" s="2"/>
      <x:c r="L14" s="2"/>
    </x:row>
    <x:row r="15" ht="58" customHeight="1">
      <x:c r="A15" s="20" t="str">
        <x:v>W10</x:v>
      </x:c>
      <x:c r="B15" s="20" t="str">
        <x:v>已生效汇率编辑表单的只读字段与区间调整入口</x:v>
      </x:c>
      <x:c r="C15" s="32" t="d">
        <x:v>2026-10-12T20:01:04.999Z</x:v>
      </x:c>
      <x:c r="D15" s="20" t="str">
        <x:v>1280×800 CSS px</x:v>
      </x:c>
      <x:c r="E15" s="20" t="str">
        <x:v>1280×800 px</x:v>
      </x:c>
      <x:c r="F15" s="20" t="str">
        <x:v>51</x:v>
      </x:c>
      <x:c r="G15" s="20" t="str">
        <x:v>https://localhost/pcs/system-config/master-data?group=finance&amp;resource=exchange_rate</x:v>
      </x:c>
      <x:c r="H15" s="20" t="str">
        <x:v>A309</x:v>
      </x:c>
      <x:c r="I15" s="20" t="str">
        <x:v>本轮可见区域截图；未提交业务数据变更</x:v>
      </x:c>
      <x:c r="J15" s="2"/>
      <x:c r="K15" s="2"/>
      <x:c r="L15" s="2"/>
    </x:row>
    <x:row r="16" ht="58" customHeight="1">
      <x:c r="A16" s="20" t="str">
        <x:v>W11</x:v>
      </x:c>
      <x:c r="B16" s="20" t="str">
        <x:v>业务字典航空公司列表</x:v>
      </x:c>
      <x:c r="C16" s="32" t="d">
        <x:v>2026-10-12T20:02:01.000Z</x:v>
      </x:c>
      <x:c r="D16" s="20" t="str">
        <x:v>1280×800 CSS px</x:v>
      </x:c>
      <x:c r="E16" s="20" t="str">
        <x:v>1265×791 px</x:v>
      </x:c>
      <x:c r="F16" s="20" t="str">
        <x:v>56</x:v>
      </x:c>
      <x:c r="G16" s="20" t="str">
        <x:v>https://localhost/pcs/system-config/master-data?group=dictionary&amp;resource=airline</x:v>
      </x:c>
      <x:c r="H16" s="20" t="str">
        <x:v>A339</x:v>
      </x:c>
      <x:c r="I16" s="20" t="str">
        <x:v>本轮可见区域截图；未提交业务数据变更</x:v>
      </x:c>
      <x:c r="J16" s="2"/>
      <x:c r="K16" s="2"/>
      <x:c r="L16" s="2"/>
    </x:row>
    <x:row r="17" ht="58" customHeight="1">
      <x:c r="A17" s="20" t="str">
        <x:v>W12</x:v>
      </x:c>
      <x:c r="B17" s="20" t="str">
        <x:v>航空公司编辑表单</x:v>
      </x:c>
      <x:c r="C17" s="32" t="d">
        <x:v>2026-10-12T20:02:17.000Z</x:v>
      </x:c>
      <x:c r="D17" s="20" t="str">
        <x:v>1280×800 CSS px</x:v>
      </x:c>
      <x:c r="E17" s="20" t="str">
        <x:v>1280×800 px</x:v>
      </x:c>
      <x:c r="F17" s="20" t="str">
        <x:v>56</x:v>
      </x:c>
      <x:c r="G17" s="20" t="str">
        <x:v>https://localhost/pcs/system-config/master-data?group=dictionary&amp;resource=airline</x:v>
      </x:c>
      <x:c r="H17" s="20" t="str">
        <x:v>A370</x:v>
      </x:c>
      <x:c r="I17" s="20" t="str">
        <x:v>本轮可见区域截图；未提交业务数据变更</x:v>
      </x:c>
      <x:c r="J17" s="2"/>
      <x:c r="K17" s="2"/>
      <x:c r="L17" s="2"/>
    </x:row>
    <x:row r="18" ht="58" customHeight="1">
      <x:c r="A18" s="20" t="str">
        <x:v>W13</x:v>
      </x:c>
      <x:c r="B18" s="20" t="str">
        <x:v>运输方式列表</x:v>
      </x:c>
      <x:c r="C18" s="32" t="d">
        <x:v>2026-10-12T20:02:41.000Z</x:v>
      </x:c>
      <x:c r="D18" s="20" t="str">
        <x:v>1280×800 CSS px</x:v>
      </x:c>
      <x:c r="E18" s="20" t="str">
        <x:v>1265×791 px</x:v>
      </x:c>
      <x:c r="F18" s="20" t="str">
        <x:v>56</x:v>
      </x:c>
      <x:c r="G18" s="20" t="str">
        <x:v>https://localhost/pcs/system-config/master-data?group=dictionary&amp;resource=transport_mode</x:v>
      </x:c>
      <x:c r="H18" s="20" t="str">
        <x:v>A400</x:v>
      </x:c>
      <x:c r="I18" s="20" t="str">
        <x:v>本轮可见区域截图；未提交业务数据变更</x:v>
      </x:c>
      <x:c r="J18" s="2"/>
      <x:c r="K18" s="2"/>
      <x:c r="L18" s="2"/>
    </x:row>
    <x:row r="19" ht="58" customHeight="1">
      <x:c r="A19" s="20" t="str">
        <x:v>W14</x:v>
      </x:c>
      <x:c r="B19" s="20" t="str">
        <x:v>货物类型列表与空说明展示</x:v>
      </x:c>
      <x:c r="C19" s="32" t="d">
        <x:v>2026-10-12T20:02:44.000Z</x:v>
      </x:c>
      <x:c r="D19" s="20" t="str">
        <x:v>1280×800 CSS px</x:v>
      </x:c>
      <x:c r="E19" s="20" t="str">
        <x:v>1265×791 px</x:v>
      </x:c>
      <x:c r="F19" s="20" t="str">
        <x:v>56</x:v>
      </x:c>
      <x:c r="G19" s="20" t="str">
        <x:v>https://localhost/pcs/system-config/master-data?group=dictionary&amp;resource=cargo_type</x:v>
      </x:c>
      <x:c r="H19" s="20" t="str">
        <x:v>A431</x:v>
      </x:c>
      <x:c r="I19" s="20" t="str">
        <x:v>本轮可见区域截图；未提交业务数据变更</x:v>
      </x:c>
      <x:c r="J19" s="2"/>
      <x:c r="K19" s="2"/>
      <x:c r="L19" s="2"/>
    </x:row>
    <x:row r="20" ht="58" customHeight="1">
      <x:c r="A20" s="20" t="str">
        <x:v>W15</x:v>
      </x:c>
      <x:c r="B20" s="20" t="str">
        <x:v>货物类型说明输入框与0/500计数</x:v>
      </x:c>
      <x:c r="C20" s="32" t="d">
        <x:v>2026-10-12T20:03:07.000Z</x:v>
      </x:c>
      <x:c r="D20" s="20" t="str">
        <x:v>1280×800 CSS px</x:v>
      </x:c>
      <x:c r="E20" s="20" t="str">
        <x:v>1280×800 px</x:v>
      </x:c>
      <x:c r="F20" s="20" t="str">
        <x:v>56</x:v>
      </x:c>
      <x:c r="G20" s="20" t="str">
        <x:v>https://localhost/pcs/system-config/master-data?group=dictionary&amp;resource=cargo_type</x:v>
      </x:c>
      <x:c r="H20" s="20" t="str">
        <x:v>A462</x:v>
      </x:c>
      <x:c r="I20" s="20" t="str">
        <x:v>本轮可见区域截图；未提交业务数据变更</x:v>
      </x:c>
      <x:c r="J20" s="2"/>
      <x:c r="K20" s="2"/>
      <x:c r="L20" s="2"/>
    </x:row>
    <x:row r="21" ht="58" customHeight="1">
      <x:c r="A21" s="20" t="str">
        <x:v>W16</x:v>
      </x:c>
      <x:c r="B21" s="20" t="str">
        <x:v>501字输入后前端保留500并显示500/500，随后取消</x:v>
      </x:c>
      <x:c r="C21" s="32" t="d">
        <x:v>2026-10-12T20:03:07.000Z</x:v>
      </x:c>
      <x:c r="D21" s="20" t="str">
        <x:v>1280×800 CSS px</x:v>
      </x:c>
      <x:c r="E21" s="20" t="str">
        <x:v>1280×800 px</x:v>
      </x:c>
      <x:c r="F21" s="20" t="str">
        <x:v>56</x:v>
      </x:c>
      <x:c r="G21" s="20" t="str">
        <x:v>https://localhost/pcs/system-config/master-data?group=dictionary&amp;resource=cargo_type</x:v>
      </x:c>
      <x:c r="H21" s="20" t="str">
        <x:v>A492</x:v>
      </x:c>
      <x:c r="I21" s="20" t="str">
        <x:v>本轮可见区域截图；未提交业务数据变更</x:v>
      </x:c>
      <x:c r="J21" s="2"/>
      <x:c r="K21" s="2"/>
      <x:c r="L21" s="2"/>
    </x:row>
    <x:row r="22" ht="58" customHeight="1">
      <x:c r="A22" s="20" t="str">
        <x:v>W17</x:v>
      </x:c>
      <x:c r="B22" s="20" t="str">
        <x:v>取消长文本输入后重新打开，说明恢复空值</x:v>
      </x:c>
      <x:c r="C22" s="32" t="d">
        <x:v>2026-10-12T20:03:08.000Z</x:v>
      </x:c>
      <x:c r="D22" s="20" t="str">
        <x:v>1280×800 CSS px</x:v>
      </x:c>
      <x:c r="E22" s="20" t="str">
        <x:v>1280×800 px</x:v>
      </x:c>
      <x:c r="F22" s="20" t="str">
        <x:v>56</x:v>
      </x:c>
      <x:c r="G22" s="20" t="str">
        <x:v>https://localhost/pcs/system-config/master-data?group=dictionary&amp;resource=cargo_type</x:v>
      </x:c>
      <x:c r="H22" s="20" t="str">
        <x:v>A522</x:v>
      </x:c>
      <x:c r="I22" s="20" t="str">
        <x:v>本轮可见区域截图；未提交业务数据变更</x:v>
      </x:c>
      <x:c r="J22" s="2"/>
      <x:c r="K22" s="2"/>
      <x:c r="L22" s="2"/>
    </x:row>
    <x:row r="23" ht="58" customHeight="1">
      <x:c r="A23" s="20" t="str">
        <x:v>W18</x:v>
      </x:c>
      <x:c r="B23" s="20" t="str">
        <x:v>包装类型列表</x:v>
      </x:c>
      <x:c r="C23" s="32" t="d">
        <x:v>2026-10-12T20:03:29.000Z</x:v>
      </x:c>
      <x:c r="D23" s="20" t="str">
        <x:v>1280×800 CSS px</x:v>
      </x:c>
      <x:c r="E23" s="20" t="str">
        <x:v>1265×791 px</x:v>
      </x:c>
      <x:c r="F23" s="20" t="str">
        <x:v>56</x:v>
      </x:c>
      <x:c r="G23" s="20" t="str">
        <x:v>https://localhost/pcs/system-config/master-data?group=dictionary&amp;resource=packaging_type</x:v>
      </x:c>
      <x:c r="H23" s="20" t="str">
        <x:v>A552</x:v>
      </x:c>
      <x:c r="I23" s="20" t="str">
        <x:v>本轮可见区域截图；未提交业务数据变更</x:v>
      </x:c>
      <x:c r="J23" s="2"/>
      <x:c r="K23" s="2"/>
      <x:c r="L23" s="2"/>
    </x:row>
    <x:row r="24" ht="58" customHeight="1">
      <x:c r="A24" s="20" t="str">
        <x:v>W19</x:v>
      </x:c>
      <x:c r="B24" s="20" t="str">
        <x:v>监管方式列表，0110一般贸易已加载</x:v>
      </x:c>
      <x:c r="C24" s="32" t="d">
        <x:v>2026-10-12T20:04:14.000Z</x:v>
      </x:c>
      <x:c r="D24" s="20" t="str">
        <x:v>1280×800 CSS px</x:v>
      </x:c>
      <x:c r="E24" s="20" t="str">
        <x:v>1265×791 px</x:v>
      </x:c>
      <x:c r="F24" s="20" t="str">
        <x:v>56</x:v>
      </x:c>
      <x:c r="G24" s="20" t="str">
        <x:v>https://localhost/pcs/system-config/master-data?group=dictionary&amp;resource=supervision_mode</x:v>
      </x:c>
      <x:c r="H24" s="20" t="str">
        <x:v>A583</x:v>
      </x:c>
      <x:c r="I24" s="20" t="str">
        <x:v>本轮可见区域截图；未提交业务数据变更</x:v>
      </x:c>
      <x:c r="J24" s="2"/>
      <x:c r="K24" s="2"/>
      <x:c r="L24" s="2"/>
    </x:row>
    <x:row r="25" ht="58" customHeight="1">
      <x:c r="A25" s="20" t="str">
        <x:v>W20</x:v>
      </x:c>
      <x:c r="B25" s="20" t="str">
        <x:v>新增费用项表单，仅打开未输入/保存</x:v>
      </x:c>
      <x:c r="C25" s="32" t="d">
        <x:v>2026-10-12T20:04:20.000Z</x:v>
      </x:c>
      <x:c r="D25" s="20" t="str">
        <x:v>1280×800 CSS px</x:v>
      </x:c>
      <x:c r="E25" s="20" t="str">
        <x:v>1280×800 px</x:v>
      </x:c>
      <x:c r="F25" s="20" t="str">
        <x:v>50</x:v>
      </x:c>
      <x:c r="G25" s="20" t="str">
        <x:v>https://localhost/pcs/system-config/master-data?group=fee&amp;resource=fee_item&amp;create=1</x:v>
      </x:c>
      <x:c r="H25" s="20" t="str">
        <x:v>A614</x:v>
      </x:c>
      <x:c r="I25" s="20" t="str">
        <x:v>本轮可见区域截图；未提交业务数据变更</x:v>
      </x:c>
      <x:c r="J25" s="2"/>
      <x:c r="K25" s="2"/>
      <x:c r="L25" s="2"/>
    </x:row>
    <x:row r="26" ht="58" customHeight="1">
      <x:c r="A26" s="20" t="str">
        <x:v>W21</x:v>
      </x:c>
      <x:c r="B26" s="20" t="str">
        <x:v>费用项列表，1440桌面视口及页面结构</x:v>
      </x:c>
      <x:c r="C26" s="32" t="d">
        <x:v>2026-10-12T20:04:55.000Z</x:v>
      </x:c>
      <x:c r="D26" s="20" t="str">
        <x:v>1440×1000 CSS px</x:v>
      </x:c>
      <x:c r="E26" s="20" t="str">
        <x:v>1440×896 px</x:v>
      </x:c>
      <x:c r="F26" s="20" t="str">
        <x:v>50</x:v>
      </x:c>
      <x:c r="G26" s="20" t="str">
        <x:v>https://localhost/pcs/system-config/master-data?group=fee&amp;resource=fee_item</x:v>
      </x:c>
      <x:c r="H26" s="20" t="str">
        <x:v>A644</x:v>
      </x:c>
      <x:c r="I26" s="20" t="str">
        <x:v>本轮可见区域截图；未提交业务数据变更</x:v>
      </x:c>
      <x:c r="J26" s="2"/>
      <x:c r="K26" s="2"/>
      <x:c r="L26" s="2"/>
    </x:row>
    <x:row r="27" ht="58" customHeight="1">
      <x:c r="A27" s="20" t="str">
        <x:v>W22</x:v>
      </x:c>
      <x:c r="B27" s="20" t="str">
        <x:v>费用项编辑表单，1440桌面双列布局</x:v>
      </x:c>
      <x:c r="C27" s="32" t="d">
        <x:v>2026-10-12T20:04:56.000Z</x:v>
      </x:c>
      <x:c r="D27" s="20" t="str">
        <x:v>1440×1000 CSS px</x:v>
      </x:c>
      <x:c r="E27" s="20" t="str">
        <x:v>1440×896 px</x:v>
      </x:c>
      <x:c r="F27" s="20" t="str">
        <x:v>50</x:v>
      </x:c>
      <x:c r="G27" s="20" t="str">
        <x:v>https://localhost/pcs/system-config/master-data?group=fee&amp;resource=fee_item</x:v>
      </x:c>
      <x:c r="H27" s="20" t="str">
        <x:v>A674</x:v>
      </x:c>
      <x:c r="I27" s="20" t="str">
        <x:v>本轮可见区域截图；未提交业务数据变更</x:v>
      </x:c>
      <x:c r="J27" s="2"/>
      <x:c r="K27" s="2"/>
      <x:c r="L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30" customHeight="1">
      <x:c r="A33" s="21" t="str">
        <x:v>W01  当前账号桌面导航与费用项列表（W2序号50）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4" customHeight="1">
      <x:c r="A34" s="2" t="str">
        <x:v>2026-10-12 19:55:18 上海时间  |  CSS视口1280×800 CSS px  |  原图1265×791 px</x:v>
      </x:c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30" customHeight="1">
      <x:c r="A64" s="21" t="str">
        <x:v>W02  展开侧栏后仅可见系统配置/基础配置（W2序号50、51、56）</x:v>
      </x:c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4" customHeight="1">
      <x:c r="A65" s="2" t="str">
        <x:v>2026-10-12 19:56:43 上海时间  |  CSS视口1280×800 CSS px  |  原图1265×791 px</x:v>
      </x:c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  <x:row r="91" ht="24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</x:row>
    <x:row r="92" ht="24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</x:row>
    <x:row r="93" ht="24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</x:row>
    <x:row r="94" ht="24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</x:row>
    <x:row r="95" ht="30" customHeight="1">
      <x:c r="A95" s="21" t="str">
        <x:v>W03  费用项关键词无匹配结果误用无数据空态（W2序号50）</x:v>
      </x:c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</x:row>
    <x:row r="96" ht="24" customHeight="1">
      <x:c r="A96" s="2" t="str">
        <x:v>2026-10-12 19:57:59 上海时间  |  CSS视口1280×800 CSS px  |  原图1265×791 px</x:v>
      </x:c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</x:row>
    <x:row r="97" ht="24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</x:row>
    <x:row r="98" ht="24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</x:row>
    <x:row r="99" ht="24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</x:row>
    <x:row r="100" ht="24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</x:row>
    <x:row r="101" ht="24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</x:row>
    <x:row r="102" ht="24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</x:row>
    <x:row r="103" ht="24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</x:row>
    <x:row r="104" ht="24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</x:row>
    <x:row r="105" ht="24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</x:row>
    <x:row r="106" ht="24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</x:row>
    <x:row r="107" ht="24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</x:row>
    <x:row r="108" ht="24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</x:row>
    <x:row r="109" ht="24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</x:row>
    <x:row r="110" ht="24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</x:row>
    <x:row r="111" ht="24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</x:row>
    <x:row r="112" ht="24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</x:row>
    <x:row r="113" ht="24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</x:row>
    <x:row r="114" ht="24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</x:row>
    <x:row r="115" ht="24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</x:row>
    <x:row r="116" ht="24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</x:row>
    <x:row r="117" ht="24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</x:row>
    <x:row r="118" ht="24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</x:row>
    <x:row r="119" ht="24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</x:row>
    <x:row r="120" ht="24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</x:row>
    <x:row r="121" ht="24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</x:row>
    <x:row r="122" ht="24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</x:row>
    <x:row r="123" ht="24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</x:row>
    <x:row r="124" ht="24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</x:row>
    <x:row r="125" ht="24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</x:row>
    <x:row r="126" ht="30" customHeight="1">
      <x:c r="A126" s="21" t="str">
        <x:v>W04  费用项编辑表单字段与取消/保存入口（W2序号50）</x:v>
      </x:c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</x:row>
    <x:row r="127" ht="24" customHeight="1">
      <x:c r="A127" s="2" t="str">
        <x:v>2026-10-12 19:58:32 上海时间  |  CSS视口1280×800 CSS px  |  原图1280×800 px</x:v>
      </x:c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</x:row>
    <x:row r="128" ht="24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</x:row>
    <x:row r="129" ht="24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</x:row>
    <x:row r="130" ht="24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</x:row>
    <x:row r="131" ht="24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</x:row>
    <x:row r="132" ht="24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</x:row>
    <x:row r="133" ht="24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</x:row>
    <x:row r="134" ht="24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</x:row>
    <x:row r="135" ht="24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</x:row>
    <x:row r="136" ht="24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</x:row>
    <x:row r="137" ht="24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</x:row>
    <x:row r="138" ht="24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</x:row>
    <x:row r="139" ht="24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</x:row>
    <x:row r="140" ht="24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</x:row>
    <x:row r="141" ht="24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</x:row>
    <x:row r="142" ht="24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</x:row>
    <x:row r="143" ht="24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</x:row>
    <x:row r="144" ht="24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</x:row>
    <x:row r="145" ht="24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</x:row>
    <x:row r="146" ht="24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</x:row>
    <x:row r="147" ht="24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</x:row>
    <x:row r="148" ht="24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</x:row>
    <x:row r="149" ht="24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</x:row>
    <x:row r="150" ht="24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</x:row>
    <x:row r="151" ht="24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</x:row>
    <x:row r="152" ht="24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</x:row>
    <x:row r="153" ht="24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</x:row>
    <x:row r="154" ht="24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</x:row>
    <x:row r="155" ht="24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</x:row>
    <x:row r="156" ht="30" customHeight="1">
      <x:c r="A156" s="21" t="str">
        <x:v>W05  费用项临时修改取消后重新打开，名称恢复运费（W2序号50）</x:v>
      </x:c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</x:row>
    <x:row r="157" ht="24" customHeight="1">
      <x:c r="A157" s="2" t="str">
        <x:v>2026-10-12 19:58:55 上海时间  |  CSS视口1280×800 CSS px  |  原图1280×800 px</x:v>
      </x:c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</x:row>
    <x:row r="158" ht="24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</x:row>
    <x:row r="159" ht="24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</x:row>
    <x:row r="160" ht="24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</x:row>
    <x:row r="161" ht="24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</x:row>
    <x:row r="162" ht="24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</x:row>
    <x:row r="163" ht="24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</x:row>
    <x:row r="164" ht="24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</x:row>
    <x:row r="165" ht="24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</x:row>
    <x:row r="166" ht="24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</x:row>
    <x:row r="167" ht="24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</x:row>
    <x:row r="168" ht="24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</x:row>
    <x:row r="169" ht="24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</x:row>
    <x:row r="170" ht="24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</x:row>
    <x:row r="171" ht="24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</x:row>
    <x:row r="172" ht="24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</x:row>
    <x:row r="173" ht="24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</x:row>
    <x:row r="174" ht="24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</x:row>
    <x:row r="175" ht="24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</x:row>
    <x:row r="176" ht="24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</x:row>
    <x:row r="177" ht="24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</x:row>
    <x:row r="178" ht="24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</x:row>
    <x:row r="179" ht="24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</x:row>
    <x:row r="180" ht="24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</x:row>
    <x:row r="181" ht="24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</x:row>
    <x:row r="182" ht="24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</x:row>
    <x:row r="183" ht="24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</x:row>
    <x:row r="184" ht="24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</x:row>
    <x:row r="185" ht="24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</x:row>
    <x:row r="186" ht="30" customHeight="1">
      <x:c r="A186" s="21" t="str">
        <x:v>W06  币种列表，1280桌面视口初始滚动位置（W2序号51）</x:v>
      </x:c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</x:row>
    <x:row r="187" ht="24" customHeight="1">
      <x:c r="A187" s="2" t="str">
        <x:v>2026-10-12 19:59:40 上海时间  |  CSS视口1280×800 CSS px  |  原图1265×791 px</x:v>
      </x:c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</x:row>
    <x:row r="188" ht="24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</x:row>
    <x:row r="189" ht="24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</x:row>
    <x:row r="190" ht="24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</x:row>
    <x:row r="191" ht="24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</x:row>
    <x:row r="192" ht="24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</x:row>
    <x:row r="193" ht="24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</x:row>
    <x:row r="194" ht="24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</x:row>
    <x:row r="195" ht="24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</x:row>
    <x:row r="196" ht="24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</x:row>
    <x:row r="197" ht="24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</x:row>
    <x:row r="198" ht="24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</x:row>
    <x:row r="199" ht="24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</x:row>
    <x:row r="200" ht="24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</x:row>
    <x:row r="201" ht="24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</x:row>
    <x:row r="202" ht="24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</x:row>
    <x:row r="203" ht="24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</x:row>
    <x:row r="204" ht="24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</x:row>
    <x:row r="205" ht="24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</x:row>
    <x:row r="206" ht="24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</x:row>
    <x:row r="207" ht="24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</x:row>
    <x:row r="208" ht="24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</x:row>
    <x:row r="209" ht="24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</x:row>
    <x:row r="210" ht="24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</x:row>
    <x:row r="211" ht="24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</x:row>
    <x:row r="212" ht="24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</x:row>
    <x:row r="213" ht="24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</x:row>
    <x:row r="214" ht="24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</x:row>
    <x:row r="215" ht="24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</x:row>
    <x:row r="216" ht="24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</x:row>
    <x:row r="217" ht="30" customHeight="1">
      <x:c r="A217" s="21" t="str">
        <x:v>W07  币种列表横向滚动后数字列与固定操作列（W2序号51）</x:v>
      </x:c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</x:row>
    <x:row r="218" ht="24" customHeight="1">
      <x:c r="A218" s="2" t="str">
        <x:v>2026-10-12 20:00:00 上海时间  |  CSS视口1280×800 CSS px  |  原图1265×791 px</x:v>
      </x:c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</x:row>
    <x:row r="219" ht="24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</x:row>
    <x:row r="220" ht="24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</x:row>
    <x:row r="221" ht="24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</x:row>
    <x:row r="222" ht="24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</x:row>
    <x:row r="223" ht="24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</x:row>
    <x:row r="224" ht="24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</x:row>
    <x:row r="225" ht="24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</x:row>
    <x:row r="226" ht="24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</x:row>
    <x:row r="227" ht="24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</x:row>
    <x:row r="228" ht="24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</x:row>
    <x:row r="229" ht="24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</x:row>
    <x:row r="230" ht="24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</x:row>
    <x:row r="231" ht="24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</x:row>
    <x:row r="232" ht="24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</x:row>
    <x:row r="233" ht="24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</x:row>
    <x:row r="234" ht="24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</x:row>
    <x:row r="235" ht="24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</x:row>
    <x:row r="236" ht="24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</x:row>
    <x:row r="237" ht="24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</x:row>
    <x:row r="238" ht="24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</x:row>
    <x:row r="239" ht="24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</x:row>
    <x:row r="240" ht="24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</x:row>
    <x:row r="241" ht="24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</x:row>
    <x:row r="242" ht="24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</x:row>
    <x:row r="243" ht="24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</x:row>
    <x:row r="244" ht="24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</x:row>
    <x:row r="245" ht="24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</x:row>
    <x:row r="246" ht="24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</x:row>
    <x:row r="247" ht="24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</x:row>
    <x:row r="248" ht="30" customHeight="1">
      <x:c r="A248" s="21" t="str">
        <x:v>W08  币种编辑表单，单列滚动和底部操作（W2序号51）</x:v>
      </x:c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</x:row>
    <x:row r="249" ht="24" customHeight="1">
      <x:c r="A249" s="2" t="str">
        <x:v>2026-10-12 20:00:15 上海时间  |  CSS视口1280×800 CSS px  |  原图1280×800 px</x:v>
      </x:c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</x:row>
    <x:row r="250" ht="24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</x:row>
    <x:row r="251" ht="24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</x:row>
    <x:row r="252" ht="24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</x:row>
    <x:row r="253" ht="24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</x:row>
    <x:row r="254" ht="24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</x:row>
    <x:row r="255" ht="24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</x:row>
    <x:row r="256" ht="24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</x:row>
    <x:row r="257" ht="24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</x:row>
    <x:row r="258" ht="24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</x:row>
    <x:row r="259" ht="24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</x:row>
    <x:row r="260" ht="24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</x:row>
    <x:row r="261" ht="24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</x:row>
    <x:row r="262" ht="24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</x:row>
    <x:row r="263" ht="24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</x:row>
    <x:row r="264" ht="24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</x:row>
    <x:row r="265" ht="24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</x:row>
    <x:row r="266" ht="24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</x:row>
    <x:row r="267" ht="24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</x:row>
    <x:row r="268" ht="24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</x:row>
    <x:row r="269" ht="24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</x:row>
    <x:row r="270" ht="24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</x:row>
    <x:row r="271" ht="24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</x:row>
    <x:row r="272" ht="24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</x:row>
    <x:row r="273" ht="24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</x:row>
    <x:row r="274" ht="24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</x:row>
    <x:row r="275" ht="24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</x:row>
    <x:row r="276" ht="24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</x:row>
    <x:row r="277" ht="24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</x:row>
    <x:row r="278" ht="30" customHeight="1">
      <x:c r="A278" s="21" t="str">
        <x:v>W09  汇率列表及已生效区间说明（W2序号51）</x:v>
      </x:c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</x:row>
    <x:row r="279" ht="24" customHeight="1">
      <x:c r="A279" s="2" t="str">
        <x:v>2026-10-12 20:00:44 上海时间  |  CSS视口1280×800 CSS px  |  原图1265×791 px</x:v>
      </x:c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</x:row>
    <x:row r="280" ht="24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</x:row>
    <x:row r="281" ht="24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</x:row>
    <x:row r="282" ht="24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</x:row>
    <x:row r="283" ht="24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</x:row>
    <x:row r="284" ht="24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</x:row>
    <x:row r="285" ht="24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</x:row>
    <x:row r="286" ht="24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</x:row>
    <x:row r="287" ht="24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</x:row>
    <x:row r="288" ht="24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</x:row>
    <x:row r="289" ht="24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</x:row>
    <x:row r="290" ht="24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</x:row>
    <x:row r="291" ht="24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</x:row>
    <x:row r="292" ht="24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</x:row>
    <x:row r="293" ht="24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</x:row>
    <x:row r="294" ht="24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</x:row>
    <x:row r="295" ht="24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</x:row>
    <x:row r="296" ht="24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</x:row>
    <x:row r="297" ht="24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</x:row>
    <x:row r="298" ht="24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</x:row>
    <x:row r="299" ht="24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</x:row>
    <x:row r="300" ht="24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</x:row>
    <x:row r="301" ht="24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</x:row>
    <x:row r="302" ht="24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</x:row>
    <x:row r="303" ht="24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</x:row>
    <x:row r="304" ht="24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</x:row>
    <x:row r="305" ht="24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</x:row>
    <x:row r="306" ht="24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</x:row>
    <x:row r="307" ht="24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</x:row>
    <x:row r="308" ht="24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</x:row>
    <x:row r="309" ht="30" customHeight="1">
      <x:c r="A309" s="21" t="str">
        <x:v>W10  已生效汇率编辑表单的只读字段与区间调整入口（W2序号51）</x:v>
      </x:c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</x:row>
    <x:row r="310" ht="24" customHeight="1">
      <x:c r="A310" s="2" t="str">
        <x:v>2026-10-12 20:01:05 上海时间  |  CSS视口1280×800 CSS px  |  原图1280×800 px</x:v>
      </x:c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</x:row>
    <x:row r="311" ht="24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</x:row>
    <x:row r="312" ht="24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</x:row>
    <x:row r="313" ht="24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</x:row>
    <x:row r="314" ht="24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</x:row>
    <x:row r="315" ht="24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</x:row>
    <x:row r="316" ht="24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</x:row>
    <x:row r="317" ht="24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</x:row>
    <x:row r="318" ht="24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</x:row>
    <x:row r="319" ht="24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</x:row>
    <x:row r="320" ht="24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</x:row>
    <x:row r="321" ht="24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</x:row>
    <x:row r="322" ht="24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</x:row>
    <x:row r="323" ht="24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</x:row>
    <x:row r="324" ht="24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</x:row>
    <x:row r="325" ht="24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</x:row>
    <x:row r="326" ht="24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</x:row>
    <x:row r="327" ht="24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</x:row>
    <x:row r="328" ht="24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</x:row>
    <x:row r="329" ht="24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</x:row>
    <x:row r="330" ht="24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</x:row>
    <x:row r="331" ht="24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</x:row>
    <x:row r="332" ht="24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</x:row>
    <x:row r="333" ht="24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</x:row>
    <x:row r="334" ht="24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</x:row>
    <x:row r="335" ht="24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</x:row>
    <x:row r="336" ht="24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</x:row>
    <x:row r="337" ht="24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</x:row>
    <x:row r="338" ht="24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</x:row>
    <x:row r="339" ht="30" customHeight="1">
      <x:c r="A339" s="21" t="str">
        <x:v>W11  业务字典航空公司列表（W2序号56）</x:v>
      </x:c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</x:row>
    <x:row r="340" ht="24" customHeight="1">
      <x:c r="A340" s="2" t="str">
        <x:v>2026-10-12 20:02:01 上海时间  |  CSS视口1280×800 CSS px  |  原图1265×791 px</x:v>
      </x:c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</x:row>
    <x:row r="341" ht="24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</x:row>
    <x:row r="342" ht="24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</x:row>
    <x:row r="343" ht="24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</x:row>
    <x:row r="344" ht="24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</x:row>
    <x:row r="345" ht="24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</x:row>
    <x:row r="346" ht="24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</x:row>
    <x:row r="347" ht="24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</x:row>
    <x:row r="348" ht="24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</x:row>
    <x:row r="349" ht="24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</x:row>
    <x:row r="350" ht="24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</x:row>
    <x:row r="351" ht="24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</x:row>
    <x:row r="352" ht="24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</x:row>
    <x:row r="353" ht="24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</x:row>
    <x:row r="354" ht="24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</x:row>
    <x:row r="355" ht="24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</x:row>
    <x:row r="356" ht="24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</x:row>
    <x:row r="357" ht="24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</x:row>
    <x:row r="358" ht="24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</x:row>
    <x:row r="359" ht="24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</x:row>
    <x:row r="360" ht="24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</x:row>
    <x:row r="361" ht="24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</x:row>
    <x:row r="362" ht="24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</x:row>
    <x:row r="363" ht="24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</x:row>
    <x:row r="364" ht="24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</x:row>
    <x:row r="365" ht="24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</x:row>
    <x:row r="366" ht="24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</x:row>
    <x:row r="367" ht="24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</x:row>
    <x:row r="368" ht="24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</x:row>
    <x:row r="369" ht="24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</x:row>
    <x:row r="370" ht="30" customHeight="1">
      <x:c r="A370" s="21" t="str">
        <x:v>W12  航空公司编辑表单（W2序号56）</x:v>
      </x:c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</x:row>
    <x:row r="371" ht="24" customHeight="1">
      <x:c r="A371" s="2" t="str">
        <x:v>2026-10-12 20:02:17 上海时间  |  CSS视口1280×800 CSS px  |  原图1280×800 px</x:v>
      </x:c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</x:row>
    <x:row r="372" ht="24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</x:row>
    <x:row r="373" ht="24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</x:row>
    <x:row r="374" ht="24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</x:row>
    <x:row r="375" ht="24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</x:row>
    <x:row r="376" ht="24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</x:row>
    <x:row r="377" ht="24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</x:row>
    <x:row r="378" ht="24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</x:row>
    <x:row r="379" ht="24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</x:row>
    <x:row r="380" ht="24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</x:row>
    <x:row r="381" ht="24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</x:row>
    <x:row r="382" ht="24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</x:row>
    <x:row r="383" ht="24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</x:row>
    <x:row r="384" ht="24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</x:row>
    <x:row r="385" ht="24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</x:row>
    <x:row r="386" ht="24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</x:row>
    <x:row r="387" ht="24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</x:row>
    <x:row r="388" ht="24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</x:row>
    <x:row r="389" ht="24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</x:row>
    <x:row r="390" ht="24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</x:row>
    <x:row r="391" ht="24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</x:row>
    <x:row r="392" ht="24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</x:row>
    <x:row r="393" ht="24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</x:row>
    <x:row r="394" ht="24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</x:row>
    <x:row r="395" ht="24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</x:row>
    <x:row r="396" ht="24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</x:row>
    <x:row r="397" ht="24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</x:row>
    <x:row r="398" ht="24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</x:row>
    <x:row r="399" ht="24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</x:row>
    <x:row r="400" ht="30" customHeight="1">
      <x:c r="A400" s="21" t="str">
        <x:v>W13  运输方式列表（W2序号56）</x:v>
      </x:c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</x:row>
    <x:row r="401" ht="24" customHeight="1">
      <x:c r="A401" s="2" t="str">
        <x:v>2026-10-12 20:02:41 上海时间  |  CSS视口1280×800 CSS px  |  原图1265×791 px</x:v>
      </x:c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</x:row>
    <x:row r="402" ht="24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</x:row>
    <x:row r="403" ht="24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</x:row>
    <x:row r="404" ht="24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</x:row>
    <x:row r="405" ht="24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</x:row>
    <x:row r="406" ht="24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</x:row>
    <x:row r="407" ht="24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</x:row>
    <x:row r="408" ht="24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</x:row>
    <x:row r="409" ht="24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</x:row>
    <x:row r="410" ht="24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</x:row>
    <x:row r="411" ht="24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</x:row>
    <x:row r="412" ht="24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</x:row>
    <x:row r="413" ht="24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</x:row>
    <x:row r="414" ht="24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</x:row>
    <x:row r="415" ht="24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</x:row>
    <x:row r="416" ht="24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</x:row>
    <x:row r="417" ht="24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</x:row>
    <x:row r="418" ht="24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</x:row>
    <x:row r="419" ht="24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</x:row>
    <x:row r="420" ht="24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</x:row>
    <x:row r="421" ht="24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</x:row>
    <x:row r="422" ht="24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</x:row>
    <x:row r="423" ht="24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</x:row>
    <x:row r="424" ht="24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</x:row>
    <x:row r="425" ht="24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</x:row>
    <x:row r="426" ht="24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</x:row>
    <x:row r="427" ht="24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</x:row>
    <x:row r="428" ht="24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</x:row>
    <x:row r="429" ht="24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</x:row>
    <x:row r="430" ht="24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</x:row>
    <x:row r="431" ht="30" customHeight="1">
      <x:c r="A431" s="21" t="str">
        <x:v>W14  货物类型列表与空说明展示（W2序号56）</x:v>
      </x:c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</x:row>
    <x:row r="432" ht="24" customHeight="1">
      <x:c r="A432" s="2" t="str">
        <x:v>2026-10-12 20:02:44 上海时间  |  CSS视口1280×800 CSS px  |  原图1265×791 px</x:v>
      </x:c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</x:row>
    <x:row r="433" ht="24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</x:row>
    <x:row r="434" ht="24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</x:row>
    <x:row r="435" ht="24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</x:row>
    <x:row r="436" ht="24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</x:row>
    <x:row r="437" ht="24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</x:row>
    <x:row r="438" ht="24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</x:row>
    <x:row r="439" ht="24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</x:row>
    <x:row r="440" ht="24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</x:row>
    <x:row r="441" ht="24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</x:row>
    <x:row r="442" ht="24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</x:row>
    <x:row r="443" ht="24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</x:row>
    <x:row r="444" ht="24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</x:row>
    <x:row r="445" ht="24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</x:row>
    <x:row r="446" ht="24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</x:row>
    <x:row r="447" ht="24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</x:row>
    <x:row r="448" ht="24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</x:row>
    <x:row r="449" ht="24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</x:row>
    <x:row r="450" ht="24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</x:row>
    <x:row r="451" ht="24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</x:row>
    <x:row r="452" ht="24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</x:row>
    <x:row r="453" ht="24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</x:row>
    <x:row r="454" ht="24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</x:row>
    <x:row r="455" ht="24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</x:row>
    <x:row r="456" ht="24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</x:row>
    <x:row r="457" ht="24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</x:row>
    <x:row r="458" ht="24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</x:row>
    <x:row r="459" ht="24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</x:row>
    <x:row r="460" ht="24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</x:row>
    <x:row r="461" ht="24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</x:row>
    <x:row r="462" ht="30" customHeight="1">
      <x:c r="A462" s="21" t="str">
        <x:v>W15  货物类型说明输入框与0/500计数（W2序号56）</x:v>
      </x:c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</x:row>
    <x:row r="463" ht="24" customHeight="1">
      <x:c r="A463" s="2" t="str">
        <x:v>2026-10-12 20:03:07 上海时间  |  CSS视口1280×800 CSS px  |  原图1280×800 px</x:v>
      </x:c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</x:row>
    <x:row r="464" ht="24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</x:row>
    <x:row r="465" ht="24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</x:row>
    <x:row r="466" ht="24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</x:row>
    <x:row r="467" ht="24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</x:row>
    <x:row r="468" ht="24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</x:row>
    <x:row r="469" ht="24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</x:row>
    <x:row r="470" ht="24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</x:row>
    <x:row r="471" ht="24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</x:row>
    <x:row r="472" ht="24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</x:row>
    <x:row r="473" ht="24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</x:row>
    <x:row r="474" ht="24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</x:row>
    <x:row r="475" ht="24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</x:row>
    <x:row r="476" ht="24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</x:row>
    <x:row r="477" ht="24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</x:row>
    <x:row r="478" ht="24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</x:row>
    <x:row r="479" ht="24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</x:row>
    <x:row r="480" ht="24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</x:row>
    <x:row r="481" ht="24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</x:row>
    <x:row r="482" ht="24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</x:row>
    <x:row r="483" ht="24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</x:row>
    <x:row r="484" ht="24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</x:row>
    <x:row r="485" ht="24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</x:row>
    <x:row r="486" ht="24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</x:row>
    <x:row r="487" ht="24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</x:row>
    <x:row r="488" ht="24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</x:row>
    <x:row r="489" ht="24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</x:row>
    <x:row r="490" ht="24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</x:row>
    <x:row r="491" ht="24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</x:row>
    <x:row r="492" ht="30" customHeight="1">
      <x:c r="A492" s="21" t="str">
        <x:v>W16  501字输入后前端保留500并显示500/500，随后取消（W2序号56）</x:v>
      </x:c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</x:row>
    <x:row r="493" ht="24" customHeight="1">
      <x:c r="A493" s="2" t="str">
        <x:v>2026-10-12 20:03:07 上海时间  |  CSS视口1280×800 CSS px  |  原图1280×800 px</x:v>
      </x:c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</x:row>
    <x:row r="494" ht="24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</x:row>
    <x:row r="495" ht="24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</x:row>
    <x:row r="496" ht="24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</x:row>
    <x:row r="497" ht="24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</x:row>
    <x:row r="498" ht="24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</x:row>
    <x:row r="499" ht="24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</x:row>
    <x:row r="500" ht="24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</x:row>
    <x:row r="501" ht="24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</x:row>
    <x:row r="502" ht="24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</x:row>
    <x:row r="503" ht="24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</x:row>
    <x:row r="504" ht="24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</x:row>
    <x:row r="505" ht="24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</x:row>
    <x:row r="506" ht="24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</x:row>
    <x:row r="507" ht="24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</x:row>
    <x:row r="508" ht="24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</x:row>
    <x:row r="509" ht="24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</x:row>
    <x:row r="510" ht="24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</x:row>
    <x:row r="511" ht="24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</x:row>
    <x:row r="512" ht="24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</x:row>
    <x:row r="513" ht="24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</x:row>
    <x:row r="514" ht="24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</x:row>
    <x:row r="515" ht="24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</x:row>
    <x:row r="516" ht="24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</x:row>
    <x:row r="517" ht="24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</x:row>
    <x:row r="518" ht="24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</x:row>
    <x:row r="519" ht="24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</x:row>
    <x:row r="520" ht="24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</x:row>
    <x:row r="521" ht="24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</x:row>
    <x:row r="522" ht="30" customHeight="1">
      <x:c r="A522" s="21" t="str">
        <x:v>W17  取消长文本输入后重新打开，说明恢复空值（W2序号56）</x:v>
      </x:c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</x:row>
    <x:row r="523" ht="24" customHeight="1">
      <x:c r="A523" s="2" t="str">
        <x:v>2026-10-12 20:03:08 上海时间  |  CSS视口1280×800 CSS px  |  原图1280×800 px</x:v>
      </x:c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</x:row>
    <x:row r="524" ht="24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</x:row>
    <x:row r="525" ht="24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</x:row>
    <x:row r="526" ht="24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</x:row>
    <x:row r="527" ht="24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</x:row>
    <x:row r="528" ht="24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</x:row>
    <x:row r="529" ht="24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</x:row>
    <x:row r="530" ht="24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</x:row>
    <x:row r="531" ht="24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</x:row>
    <x:row r="532" ht="24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</x:row>
    <x:row r="533" ht="24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</x:row>
    <x:row r="534" ht="24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</x:row>
    <x:row r="535" ht="24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</x:row>
    <x:row r="536" ht="24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</x:row>
    <x:row r="537" ht="24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</x:row>
    <x:row r="538" ht="24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</x:row>
    <x:row r="539" ht="24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</x:row>
    <x:row r="540" ht="24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</x:row>
    <x:row r="541" ht="24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</x:row>
    <x:row r="542" ht="24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</x:row>
    <x:row r="543" ht="24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</x:row>
    <x:row r="544" ht="24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</x:row>
    <x:row r="545" ht="24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</x:row>
    <x:row r="546" ht="24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</x:row>
    <x:row r="547" ht="24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</x:row>
    <x:row r="548" ht="24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</x:row>
    <x:row r="549" ht="24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</x:row>
    <x:row r="550" ht="24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</x:row>
    <x:row r="551" ht="24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</x:row>
    <x:row r="552" ht="30" customHeight="1">
      <x:c r="A552" s="21" t="str">
        <x:v>W18  包装类型列表（W2序号56）</x:v>
      </x:c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</x:row>
    <x:row r="553" ht="24" customHeight="1">
      <x:c r="A553" s="2" t="str">
        <x:v>2026-10-12 20:03:29 上海时间  |  CSS视口1280×800 CSS px  |  原图1265×791 px</x:v>
      </x:c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</x:row>
    <x:row r="554" ht="24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</x:row>
    <x:row r="555" ht="24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</x:row>
    <x:row r="556" ht="24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</x:row>
    <x:row r="557" ht="24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</x:row>
    <x:row r="558" ht="24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</x:row>
    <x:row r="559" ht="24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</x:row>
    <x:row r="560" ht="24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</x:row>
    <x:row r="561" ht="24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</x:row>
    <x:row r="562" ht="24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</x:row>
    <x:row r="563" ht="24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</x:row>
    <x:row r="564" ht="24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</x:row>
    <x:row r="565" ht="24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</x:row>
    <x:row r="566" ht="24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</x:row>
    <x:row r="567" ht="24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</x:row>
    <x:row r="568" ht="24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</x:row>
    <x:row r="569" ht="24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</x:row>
    <x:row r="570" ht="24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</x:row>
    <x:row r="571" ht="24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</x:row>
    <x:row r="572" ht="24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</x:row>
    <x:row r="573" ht="24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</x:row>
    <x:row r="574" ht="24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</x:row>
    <x:row r="575" ht="24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</x:row>
    <x:row r="576" ht="24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</x:row>
    <x:row r="577" ht="24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</x:row>
    <x:row r="578" ht="24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</x:row>
    <x:row r="579" ht="24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</x:row>
    <x:row r="580" ht="24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</x:row>
    <x:row r="581" ht="24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</x:row>
    <x:row r="582" ht="24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</x:row>
    <x:row r="583" ht="30" customHeight="1">
      <x:c r="A583" s="21" t="str">
        <x:v>W19  监管方式列表，0110一般贸易已加载（W2序号56）</x:v>
      </x:c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</x:row>
    <x:row r="584" ht="24" customHeight="1">
      <x:c r="A584" s="2" t="str">
        <x:v>2026-10-12 20:04:14 上海时间  |  CSS视口1280×800 CSS px  |  原图1265×791 px</x:v>
      </x:c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</x:row>
    <x:row r="585" ht="24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</x:row>
    <x:row r="586" ht="24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</x:row>
    <x:row r="587" ht="24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</x:row>
    <x:row r="588" ht="24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</x:row>
    <x:row r="589" ht="24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</x:row>
    <x:row r="590" ht="24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</x:row>
    <x:row r="591" ht="24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</x:row>
    <x:row r="592" ht="24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</x:row>
    <x:row r="593" ht="24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</x:row>
    <x:row r="594" ht="24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</x:row>
    <x:row r="595" ht="24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</x:row>
    <x:row r="596" ht="24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</x:row>
    <x:row r="597" ht="24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</x:row>
    <x:row r="598" ht="24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</x:row>
    <x:row r="599" ht="24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</x:row>
    <x:row r="600" ht="24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</x:row>
    <x:row r="601" ht="24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</x:row>
    <x:row r="602" ht="24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</x:row>
    <x:row r="603" ht="24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</x:row>
    <x:row r="604" ht="24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</x:row>
    <x:row r="605" ht="24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</x:row>
    <x:row r="606" ht="24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</x:row>
    <x:row r="607" ht="24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</x:row>
    <x:row r="608" ht="24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</x:row>
    <x:row r="609" ht="24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</x:row>
    <x:row r="610" ht="24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</x:row>
    <x:row r="611" ht="24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</x:row>
    <x:row r="612" ht="24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</x:row>
    <x:row r="613" ht="24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</x:row>
    <x:row r="614" ht="30" customHeight="1">
      <x:c r="A614" s="21" t="str">
        <x:v>W20  新增费用项表单，仅打开未输入/保存（W2序号50）</x:v>
      </x:c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</x:row>
    <x:row r="615" ht="24" customHeight="1">
      <x:c r="A615" s="2" t="str">
        <x:v>2026-10-12 20:04:20 上海时间  |  CSS视口1280×800 CSS px  |  原图1280×800 px</x:v>
      </x:c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</x:row>
    <x:row r="616" ht="24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</x:row>
    <x:row r="617" ht="24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</x:row>
    <x:row r="618" ht="24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</x:row>
    <x:row r="619" ht="24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</x:row>
    <x:row r="620" ht="24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</x:row>
    <x:row r="621" ht="24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</x:row>
    <x:row r="622" ht="24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</x:row>
    <x:row r="623" ht="24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</x:row>
    <x:row r="624" ht="24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</x:row>
    <x:row r="625" ht="24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</x:row>
    <x:row r="626" ht="24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</x:row>
    <x:row r="627" ht="24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</x:row>
    <x:row r="628" ht="24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</x:row>
    <x:row r="629" ht="24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</x:row>
    <x:row r="630" ht="24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</x:row>
    <x:row r="631" ht="24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</x:row>
    <x:row r="632" ht="24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</x:row>
    <x:row r="633" ht="24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</x:row>
    <x:row r="634" ht="24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</x:row>
    <x:row r="635" ht="24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</x:row>
    <x:row r="636" ht="24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</x:row>
    <x:row r="637" ht="24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</x:row>
    <x:row r="638" ht="24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</x:row>
    <x:row r="639" ht="24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</x:row>
    <x:row r="640" ht="24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</x:row>
    <x:row r="641" ht="24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</x:row>
    <x:row r="642" ht="24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</x:row>
    <x:row r="643" ht="24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</x:row>
    <x:row r="644" ht="30" customHeight="1">
      <x:c r="A644" s="21" t="str">
        <x:v>W21  费用项列表，1440桌面视口及页面结构（W2序号50）</x:v>
      </x:c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</x:row>
    <x:row r="645" ht="24" customHeight="1">
      <x:c r="A645" s="2" t="str">
        <x:v>2026-10-12 20:04:55 上海时间  |  CSS视口1440×1000 CSS px  |  原图1440×896 px</x:v>
      </x:c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</x:row>
    <x:row r="646" ht="24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</x:row>
    <x:row r="647" ht="24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</x:row>
    <x:row r="648" ht="24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</x:row>
    <x:row r="649" ht="24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</x:row>
    <x:row r="650" ht="24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</x:row>
    <x:row r="651" ht="24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</x:row>
    <x:row r="652" ht="24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</x:row>
    <x:row r="653" ht="24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</x:row>
    <x:row r="654" ht="24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</x:row>
    <x:row r="655" ht="24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</x:row>
    <x:row r="656" ht="24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</x:row>
    <x:row r="657" ht="24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</x:row>
    <x:row r="658" ht="24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</x:row>
    <x:row r="659" ht="24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</x:row>
    <x:row r="660" ht="24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</x:row>
    <x:row r="661" ht="24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</x:row>
    <x:row r="662" ht="24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</x:row>
    <x:row r="663" ht="24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</x:row>
    <x:row r="664" ht="24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</x:row>
    <x:row r="665" ht="24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</x:row>
    <x:row r="666" ht="24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</x:row>
    <x:row r="667" ht="24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</x:row>
    <x:row r="668" ht="24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</x:row>
    <x:row r="669" ht="24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</x:row>
    <x:row r="670" ht="24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</x:row>
    <x:row r="671" ht="24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</x:row>
    <x:row r="672" ht="24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</x:row>
    <x:row r="673" ht="24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</x:row>
    <x:row r="674" ht="30" customHeight="1">
      <x:c r="A674" s="21" t="str">
        <x:v>W22  费用项编辑表单，1440桌面双列布局（W2序号50）</x:v>
      </x:c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</x:row>
    <x:row r="675" ht="24" customHeight="1">
      <x:c r="A675" s="2" t="str">
        <x:v>2026-10-12 20:04:56 上海时间  |  CSS视口1440×1000 CSS px  |  原图1440×896 px</x:v>
      </x:c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</x:row>
    <x:row r="676" ht="24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</x:row>
    <x:row r="677" ht="24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</x:row>
    <x:row r="678" ht="24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</x:row>
    <x:row r="679" ht="24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</x:row>
    <x:row r="680" ht="24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</x:row>
    <x:row r="681" ht="24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</x:row>
    <x:row r="682" ht="24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</x:row>
    <x:row r="683" ht="24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</x:row>
    <x:row r="684" ht="24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</x:row>
    <x:row r="685" ht="24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</x:row>
    <x:row r="686" ht="24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</x:row>
    <x:row r="687" ht="24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</x:row>
    <x:row r="688" ht="24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</x:row>
    <x:row r="689" ht="24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</x:row>
    <x:row r="690" ht="24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</x:row>
    <x:row r="691" ht="24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</x:row>
    <x:row r="692" ht="24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</x:row>
    <x:row r="693" ht="24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</x:row>
    <x:row r="694" ht="24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</x:row>
    <x:row r="695" ht="24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</x:row>
    <x:row r="696" ht="24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</x:row>
    <x:row r="697" ht="24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</x:row>
    <x:row r="698" ht="24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</x:row>
    <x:row r="699" ht="24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</x:row>
    <x:row r="700" ht="24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</x:row>
    <x:row r="701" ht="24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</x:row>
    <x:row r="702" ht="24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</x:row>
    <x:row r="703" ht="24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</x:row>
    <x:row r="704" ht="24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</x:row>
  </x:sheetData>
  <x:pageMargins left="0.7" right="0.7" top="0.75" bottom="0.75" header="0.3" footer="0.3"/>
</x:worksheet>
</file>