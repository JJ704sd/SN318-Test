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51dee21c645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测试建议" sheetId="1" r:id="R092df729d7cf4cc0"/>
    <x:sheet xmlns:r="http://schemas.openxmlformats.org/officeDocument/2006/relationships" name="补充交互case" sheetId="2" r:id="R9057050facc44bb9"/>
    <x:sheet xmlns:r="http://schemas.openxmlformats.org/officeDocument/2006/relationships" name="修改清单" sheetId="3" r:id="R88655a8b3ba24918"/>
    <x:sheet xmlns:r="http://schemas.openxmlformats.org/officeDocument/2006/relationships" name="走查口径" sheetId="4" r:id="R3c0ff0c8557b4a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43247"/>
      <x:name val="Microsoft YaHei"/>
    </x:font>
    <x:font>
      <x:b/>
      <x:sz val="15"/>
      <x:color rgb="FF243247"/>
      <x:name val="Microsoft YaHei"/>
    </x:font>
    <x:font>
      <x:sz val="10"/>
      <x:color rgb="FF58697B"/>
      <x:name val="Microsoft YaHei"/>
    </x:font>
    <x:font>
      <x:b/>
      <x:sz val="10"/>
      <x:color rgb="FFFFFFFF"/>
      <x:name val="Microsoft YaHei"/>
    </x:font>
    <x:font>
      <x:b/>
      <x:sz val="10"/>
      <x:color rgb="FF24324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74B73"/>
      </x:patternFill>
    </x:fill>
    <x:fill>
      <x:patternFill patternType="solid">
        <x:fgColor rgb="FFFFF3D6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0" fontId="4" fillId="2" borderId="2" xfId="0" applyNumberFormat="1" applyFont="1" applyFill="1" applyBorder="1" applyAlignment="1">
      <x:alignment vertical="top"/>
    </x:xf>
    <x:xf numFmtId="0" fontId="4" fillId="2" borderId="3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2">
    <x:dxf>
      <x:font>
        <x:b/>
        <x:color rgb="FFB53E37"/>
      </x:font>
      <x:fill>
        <x:patternFill patternType="solid">
          <x:bgColor rgb="FFFDE9E7"/>
        </x:patternFill>
      </x:fill>
    </x:dxf>
    <x:dxf>
      <x:font>
        <x:color rgb="FF805615"/>
      </x:font>
      <x:fill>
        <x:patternFill patternType="solid">
          <x:bgColor rgb="FFFFF0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33145d9908432e" /><Relationship Type="http://schemas.openxmlformats.org/officeDocument/2006/relationships/theme" Target="/xl/theme/theme1.xml" Id="R3e29332321ba4ce3" /><Relationship Type="http://schemas.openxmlformats.org/officeDocument/2006/relationships/sharedStrings" Target="/xl/sharedStrings.xml" Id="R10f1aef07f80411c" /><Relationship Type="http://schemas.openxmlformats.org/officeDocument/2006/relationships/worksheet" Target="/xl/worksheets/sheet1.xml" Id="R092df729d7cf4cc0" /><Relationship Type="http://schemas.openxmlformats.org/officeDocument/2006/relationships/worksheet" Target="/xl/worksheets/sheet2.xml" Id="R9057050facc44bb9" /><Relationship Type="http://schemas.openxmlformats.org/officeDocument/2006/relationships/worksheet" Target="/xl/worksheets/sheet3.xml" Id="R88655a8b3ba24918" /><Relationship Type="http://schemas.openxmlformats.org/officeDocument/2006/relationships/worksheet" Target="/xl/worksheets/sheet4.xml" Id="R3c0ff0c8557b4a7f" /></Relationships>
</file>

<file path=xl/tables/table1.xml><?xml version="1.0" encoding="utf-8"?>
<x:table xmlns:x="http://schemas.openxmlformats.org/spreadsheetml/2006/main" id="1" name="UiTestAdvice" displayName="UiTestAdvice" ref="A5:L47" headerRowCount="1" totalsRowCount="0" totalsRowShown="0">
  <x:tableColumns count="12">
    <x:tableColumn id="1" name="case"/>
    <x:tableColumn id="2" name="页面/模块"/>
    <x:tableColumn id="3" name="检查点"/>
    <x:tableColumn id="4" name="公共库章节"/>
    <x:tableColumn id="5" name="验证步骤建议"/>
    <x:tableColumn id="6" name="预期表现与判定"/>
    <x:tableColumn id="7" name="取证建议"/>
    <x:tableColumn id="8" name="确认偏差后的修改建议"/>
    <x:tableColumn id="9" name="验收前待明确"/>
    <x:tableColumn id="10" name="框架适配方式"/>
    <x:tableColumn id="11" name="来源确认状态"/>
    <x:tableColumn id="12" name="验收依据索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actionCases" displayName="InteractionCases" ref="A5:J15" headerRowCount="1" totalsRowCount="0" totalsRowShown="0">
  <x:tableColumns count="10">
    <x:tableColumn id="1" name="建议case"/>
    <x:tableColumn id="2" name="关联原case"/>
    <x:tableColumn id="3" name="验证场景"/>
    <x:tableColumn id="4" name="公共库章节"/>
    <x:tableColumn id="5" name="前置条件"/>
    <x:tableColumn id="6" name="步骤与测试数据"/>
    <x:tableColumn id="7" name="预期表现"/>
    <x:tableColumn id="8" name="取证建议"/>
    <x:tableColumn id="9" name="确认偏差后的修改建议"/>
    <x:tableColumn id="10" name="当前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ontendChanges" displayName="FrontendChanges" ref="A5:T26" headerRowCount="1" totalsRowCount="0" totalsRowShown="0">
  <x:tableColumns count="20">
    <x:tableColumn id="1" name="清单ID"/>
    <x:tableColumn id="2" name="关联case"/>
    <x:tableColumn id="3" name="页面/模块"/>
    <x:tableColumn id="4" name="Review关注点（待实测）"/>
    <x:tableColumn id="5" name="Review记录ID"/>
    <x:tableColumn id="6" name="批准依据/待决事项"/>
    <x:tableColumn id="7" name="修改建议"/>
    <x:tableColumn id="8" name="复测验收标准"/>
    <x:tableColumn id="9" name="来源优先级"/>
    <x:tableColumn id="10" name="建议处理角色"/>
    <x:tableColumn id="11" name="来源确认状态"/>
    <x:tableColumn id="12" name="走查结论"/>
    <x:tableColumn id="13" name="实际表现/不适用原因"/>
    <x:tableColumn id="14" name="证据链接/定位"/>
    <x:tableColumn id="15" name="本批批准基线"/>
    <x:tableColumn id="16" name="责任人"/>
    <x:tableColumn id="17" name="实测级别"/>
    <x:tableColumn id="18" name="处理状态"/>
    <x:tableColumn id="19" name="复测结论"/>
    <x:tableColumn id="20" name="记录完整性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viewScope" displayName="ReviewScope" ref="A5:E30" headerRowCount="1" totalsRowCount="0" totalsRowShown="0">
  <x:tableColumns count="5">
    <x:tableColumn id="1" name="类别"/>
    <x:tableColumn id="2" name="项目"/>
    <x:tableColumn id="3" name="执行口径"/>
    <x:tableColumn id="4" name="执行输入/当前边界"/>
    <x:tableColumn id="5" name="依据/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af2f3086ac4d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713214a3c642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27602d7c9f24a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6b5803f60a4d7c" /></Relationships>
</file>

<file path=xl/worksheets/sheet1.xml><?xml version="1.0" encoding="utf-8"?>
<x:worksheet xmlns:x="http://schemas.openxmlformats.org/spreadsheetml/2006/main">
  <x:sheetPr>
    <x:tabColor rgb="FF274B73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9" hidden="0" customWidth="1"/>
    <x:col min="3" max="3" width="27" hidden="0" customWidth="1"/>
    <x:col min="4" max="4" width="15" hidden="0" customWidth="1"/>
    <x:col min="5" max="5" width="43" hidden="0" customWidth="1"/>
    <x:col min="6" max="6" width="46" hidden="0" customWidth="1"/>
    <x:col min="7" max="7" width="33" hidden="0" customWidth="1"/>
    <x:col min="8" max="8" width="37" hidden="0" customWidth="1"/>
    <x:col min="9" max="9" width="36" hidden="0" customWidth="1"/>
    <x:col min="10" max="10" width="24" hidden="0" customWidth="1"/>
    <x:col min="11" max="11" width="18" hidden="0" customWidth="1"/>
    <x:col min="12" max="12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9" customHeight="1">
      <x:c r="A2" s="3" t="str">
        <x:v>SN318 UI 规范审查：对应测试建议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5" t="str">
        <x:v>42条现有UI case逐条对应；以下为测试设计建议，本次未执行网站测试。原始用例表保持不变。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17" t="str">
        <x:v>case</x:v>
      </x:c>
      <x:c r="B5" s="18" t="str">
        <x:v>页面/模块</x:v>
      </x:c>
      <x:c r="C5" s="18" t="str">
        <x:v>检查点</x:v>
      </x:c>
      <x:c r="D5" s="18" t="str">
        <x:v>公共库章节</x:v>
      </x:c>
      <x:c r="E5" s="18" t="str">
        <x:v>验证步骤建议</x:v>
      </x:c>
      <x:c r="F5" s="18" t="str">
        <x:v>预期表现与判定</x:v>
      </x:c>
      <x:c r="G5" s="18" t="str">
        <x:v>取证建议</x:v>
      </x:c>
      <x:c r="H5" s="18" t="str">
        <x:v>确认偏差后的修改建议</x:v>
      </x:c>
      <x:c r="I5" s="18" t="str">
        <x:v>验收前待明确</x:v>
      </x:c>
      <x:c r="J5" s="18" t="str">
        <x:v>框架适配方式</x:v>
      </x:c>
      <x:c r="K5" s="18" t="str">
        <x:v>来源确认状态</x:v>
      </x:c>
      <x:c r="L5" s="19" t="str">
        <x:v>验收依据索引</x:v>
      </x:c>
    </x:row>
    <x:row r="6" ht="68" customHeight="1">
      <x:c r="A6" s="20" t="str">
        <x:v>UI01</x:v>
      </x:c>
      <x:c r="B6" s="20" t="str">
        <x:v>基础配置</x:v>
      </x:c>
      <x:c r="C6" s="20" t="str">
        <x:v>分类层级与新增入口</x:v>
      </x:c>
      <x:c r="D6" s="20" t="str">
        <x:v>5.1；5.4</x:v>
      </x:c>
      <x:c r="E6" s="20" t="str">
        <x:v>从基础配置入口切换主数据/计价底座及各子对象；核对选中态、标题、列表对象，再打开当前对象的新增入口并取消。对照批准专项稿逐区检查层级和位置。</x:v>
      </x:c>
      <x:c r="F6" s="20" t="str">
        <x:v>一级分类、子项与列表所属对象一致；新增作用于当前对象。是否采用页头 Tabs、列表右上新增，以批准专项稿为准；能切换对象不足以证明布局合规。</x:v>
      </x:c>
      <x:c r="G6" s="20" t="str">
        <x:v>全页截图；分类切换录屏；group/resource 与对象名称；批准稿同区域对照。</x:v>
      </x:c>
      <x:c r="H6" s="20" t="str">
        <x:v>按批准方案调整分类组件、层级和新增入口；修正切换后标题/列表/新增目标不同步。</x:v>
      </x:c>
      <x:c r="I6" s="20" t="str">
        <x:v>DEC01：获取专项稿、采纳结论和版本；UI01 来源已设计完毕，但尚需本批批准依据。</x:v>
      </x:c>
      <x:c r="J6" s="20" t="str">
        <x:v>🔴 无法覆盖</x:v>
      </x:c>
      <x:c r="K6" s="20" t="str">
        <x:v>设计完毕</x:v>
      </x:c>
      <x:c r="L6" s="20" t="str">
        <x:v>REVIEW review-67fb39add5；本次读取rev642；采纳范围和决策见验收前待明确。</x:v>
      </x:c>
    </x:row>
    <x:row r="7" ht="55" customHeight="1">
      <x:c r="A7" s="20" t="str">
        <x:v>UI02</x:v>
      </x:c>
      <x:c r="B7" s="20" t="str">
        <x:v>左侧菜单</x:v>
      </x:c>
      <x:c r="C7" s="20" t="str">
        <x:v>跨分类与手动展开</x:v>
      </x:c>
      <x:c r="D7" s="20" t="str">
        <x:v>5.1；5.4</x:v>
      </x:c>
      <x:c r="E7" s="20" t="str">
        <x:v>依次点击不同分类下的子菜单，再手动展开两个分类并收起；记录当前子菜单高亮、父分类展开及其他分类状态。刷新后复核导航路径。</x:v>
      </x:c>
      <x:c r="F7" s="20" t="str">
        <x:v>跨分类选择子菜单时自动收起其他分类；手动操作允许多个分类同时展开；当前子菜单高亮且父分类展开。不得仅用默认手风琴行为代替。</x:v>
      </x:c>
      <x:c r="G7" s="20" t="str">
        <x:v>跨分类/手动展开两段录屏；路由与菜单截图。</x:v>
      </x:c>
      <x:c r="H7" s="20" t="str">
        <x:v>分别修正选中导航与手动展开的状态逻辑，保留当前路径高亮。</x:v>
      </x:c>
      <x:c r="I7" s="20" t="str">
        <x:v>批准导航专项稿及例外；当前来源已设计完毕不代表系统完成。</x:v>
      </x:c>
      <x:c r="J7" s="20" t="str">
        <x:v>🔴 无法覆盖</x:v>
      </x:c>
      <x:c r="K7" s="20" t="str">
        <x:v>设计完毕</x:v>
      </x:c>
      <x:c r="L7" s="20" t="str">
        <x:v>REVIEW review-4122ab1853；本次读取rev642；采纳范围和决策见验收前待明确。</x:v>
      </x:c>
    </x:row>
    <x:row r="8" ht="55" customHeight="1">
      <x:c r="A8" s="20" t="str">
        <x:v>UI03</x:v>
      </x:c>
      <x:c r="B8" s="20" t="str">
        <x:v>服务单元</x:v>
      </x:c>
      <x:c r="C8" s="20" t="str">
        <x:v>下单规则选择反馈</x:v>
      </x:c>
      <x:c r="D8" s="20" t="str">
        <x:v>1.2；2.5；5.4</x:v>
      </x:c>
      <x:c r="E8" s="20" t="str">
        <x:v>在下单限制中依次测试零选、单选、多选、取消、筛选后选择及跨页返回；确认选中对象，再取消表单。保存与读回仅在批准测试数据中执行。</x:v>
      </x:c>
      <x:c r="F8" s="20" t="str">
        <x:v>Checkbox 与实际选择集合一致，布局按批准组合稿。顶部已选 Tag、底部数量汇总是否移除须先解决 DEC22；跨页选择规则不能从静态图推断。</x:v>
      </x:c>
      <x:c r="G8" s="20" t="str">
        <x:v>选择前后截图/录屏；所选 ID 集合；批准规则；保存时增加请求与读回。</x:v>
      </x:c>
      <x:c r="H8" s="20" t="str">
        <x:v>按批准口径收敛反馈位置；修正筛选/翻页导致丢选、错选或数量不同步。</x:v>
      </x:c>
      <x:c r="I8" s="20" t="str">
        <x:v>DEC22：数量反馈与业务要求冲突；确认跨页、取消及保存语义。</x:v>
      </x:c>
      <x:c r="J8" s="20" t="str">
        <x:v>🔵 组合复用</x:v>
      </x:c>
      <x:c r="K8" s="20" t="str">
        <x:v>待确认</x:v>
      </x:c>
      <x:c r="L8" s="20" t="str">
        <x:v>REVIEW review-24220c26b9；本次读取rev642；采纳范围和决策见验收前待明确。</x:v>
      </x:c>
    </x:row>
    <x:row r="9" ht="55" customHeight="1">
      <x:c r="A9" s="20" t="str">
        <x:v>UI04</x:v>
      </x:c>
      <x:c r="B9" s="20" t="str">
        <x:v>服务单元</x:v>
      </x:c>
      <x:c r="C9" s="20" t="str">
        <x:v>禁用编排风险提示</x:v>
      </x:c>
      <x:c r="D9" s="20" t="str">
        <x:v>5.2；5.5</x:v>
      </x:c>
      <x:c r="E9" s="20" t="str">
        <x:v>打开禁用编排相关说明；逐项比对 Warning 图标、语义色、风险文案及影响对象。需要触发操作时使用本批允许的测试对象。</x:v>
      </x:c>
      <x:c r="F9" s="20" t="str">
        <x:v>警告的图标、颜色和文字一致，能看懂影响与下一步。业务禁用是否成功另核读回；不用单一颜色表达风险。</x:v>
      </x:c>
      <x:c r="G9" s="20" t="str">
        <x:v>警告组件截图；computed style；触发条件和影响范围。</x:v>
      </x:c>
      <x:c r="H9" s="20" t="str">
        <x:v>替换误用图标/语义色，补清晰的风险与恢复文案。</x:v>
      </x:c>
      <x:c r="I9" s="20" t="str">
        <x:v>批准风险文案、Warning 组件及本批操作范围。</x:v>
      </x:c>
      <x:c r="J9" s="20" t="str">
        <x:v>🟡 调整后复用</x:v>
      </x:c>
      <x:c r="K9" s="20" t="str">
        <x:v>待确认</x:v>
      </x:c>
      <x:c r="L9" s="20" t="str">
        <x:v>REVIEW review-c79c73690c；本次读取rev642；采纳范围和决策见验收前待明确。</x:v>
      </x:c>
    </x:row>
    <x:row r="10" ht="55" customHeight="1">
      <x:c r="A10" s="20" t="str">
        <x:v>UI05</x:v>
      </x:c>
      <x:c r="B10" s="20" t="str">
        <x:v>全局</x:v>
      </x:c>
      <x:c r="C10" s="20" t="str">
        <x:v>原型说明文案清理</x:v>
      </x:c>
      <x:c r="D10" s="20" t="str">
        <x:v>5.2；5.4；5.5</x:v>
      </x:c>
      <x:c r="E10" s="20" t="str">
        <x:v>按产品确认的文案清单逐页检查页头、卡片、空态和操作提示；区分原型说明、重复文字与必要业务规则，再逐项记录删留建议。</x:v>
      </x:c>
      <x:c r="F10" s="20" t="str">
        <x:v>仅保留操作、业务规则和必要帮助信息；删除原型说明时不丢失规则、限制和异常恢复提示。</x:v>
      </x:c>
      <x:c r="G10" s="20" t="str">
        <x:v>同区域前后对照；文案清单版本；待删原文与保留理由。</x:v>
      </x:c>
      <x:c r="H10" s="20" t="str">
        <x:v>按产品清单删改说明性、重复性文案；补回误删的必要规则。</x:v>
      </x:c>
      <x:c r="I10" s="20" t="str">
        <x:v>产品确认删留清单；白灰层级的业务交互与文案仍需明确。</x:v>
      </x:c>
      <x:c r="J10" s="20" t="str">
        <x:v>⚪业务交互、信息待明确</x:v>
      </x:c>
      <x:c r="K10" s="20" t="str">
        <x:v>待确认</x:v>
      </x:c>
      <x:c r="L10" s="20" t="str">
        <x:v>REVIEW review-5cb0b5dcb6；本次读取rev642；采纳范围和决策见验收前待明确。</x:v>
      </x:c>
    </x:row>
    <x:row r="11" ht="55" customHeight="1">
      <x:c r="A11" s="20" t="str">
        <x:v>UI06</x:v>
      </x:c>
      <x:c r="B11" s="20" t="str">
        <x:v>左侧菜单</x:v>
      </x:c>
      <x:c r="C11" s="20" t="str">
        <x:v>菜单视觉与图标</x:v>
      </x:c>
      <x:c r="D11" s="20" t="str">
        <x:v>5.1；5.5</x:v>
      </x:c>
      <x:c r="E11" s="20" t="str">
        <x:v>对照框架菜单组件检查默认、hover、选中、展开与折叠；核对一级图标、字号、选中区域尺寸及长菜单名。</x:v>
      </x:c>
      <x:c r="F11" s="20" t="str">
        <x:v>各状态使用批准框架样式；图标、字号与选中区域一致，菜单名称可辨识，状态变化不造成跳动。</x:v>
      </x:c>
      <x:c r="G11" s="20" t="str">
        <x:v>各状态截图；字体、尺寸、图标库与 computed style。</x:v>
      </x:c>
      <x:c r="H11" s="20" t="str">
        <x:v>统一菜单组件及 token；补一级图标并修正选中态尺寸和字号。</x:v>
      </x:c>
      <x:c r="I11" s="20" t="str">
        <x:v>批准框架菜单版本与桌面支持范围。</x:v>
      </x:c>
      <x:c r="J11" s="20" t="str">
        <x:v>🟢 直接复用</x:v>
      </x:c>
      <x:c r="K11" s="20" t="str">
        <x:v>待确认</x:v>
      </x:c>
      <x:c r="L11" s="20" t="str">
        <x:v>REVIEW review-e3abcc238c；本次读取rev642；采纳范围和决策见验收前待明确。</x:v>
      </x:c>
    </x:row>
    <x:row r="12" ht="55" customHeight="1">
      <x:c r="A12" s="20" t="str">
        <x:v>UI07</x:v>
      </x:c>
      <x:c r="B12" s="20" t="str">
        <x:v>顶部导航</x:v>
      </x:c>
      <x:c r="C12" s="20" t="str">
        <x:v>导航结构与无功能入口</x:v>
      </x:c>
      <x:c r="D12" s="20" t="str">
        <x:v>5.1；5.4</x:v>
      </x:c>
      <x:c r="E12" s="20" t="str">
        <x:v>核对顶部导航结构，再逐一检查可见搜索、消息等入口的真实去向；记录无功能入口和暂时隐藏的范围。</x:v>
      </x:c>
      <x:c r="F12" s="20" t="str">
        <x:v>已交付入口有可理解的行为；暂未实现的入口按确认方案隐藏或明确不可用，不误导为可点击功能。</x:v>
      </x:c>
      <x:c r="G12" s="20" t="str">
        <x:v>导航截图；逐入口行为录屏；交付清单。</x:v>
      </x:c>
      <x:c r="H12" s="20" t="str">
        <x:v>修正无功能入口的展示与反馈；保留已实现入口及正确去向。</x:v>
      </x:c>
      <x:c r="I12" s="20" t="str">
        <x:v>产品确认未实现入口的处理；不能把所有搜索/消息入口统一隐藏。</x:v>
      </x:c>
      <x:c r="J12" s="20" t="str">
        <x:v>🟢 直接复用</x:v>
      </x:c>
      <x:c r="K12" s="20" t="str">
        <x:v>待确认</x:v>
      </x:c>
      <x:c r="L12" s="20" t="str">
        <x:v>REVIEW review-a2a817eb2a；本次读取rev642；采纳范围和决策见验收前待明确。</x:v>
      </x:c>
    </x:row>
    <x:row r="13" ht="55" customHeight="1">
      <x:c r="A13" s="20" t="str">
        <x:v>UI08</x:v>
      </x:c>
      <x:c r="B13" s="20" t="str">
        <x:v>所有页头栏</x:v>
      </x:c>
      <x:c r="C13" s="20" t="str">
        <x:v>面包屑与操作对齐</x:v>
      </x:c>
      <x:c r="D13" s="20" t="str">
        <x:v>5.1；5.5</x:v>
      </x:c>
      <x:c r="E13" s="20" t="str">
        <x:v>在列表、详情及表单各选一页，核对面包屑路径与落位、标题/副标题必要性、页头操作对齐；点击可返回层级验证目标。</x:v>
      </x:c>
      <x:c r="F13" s="20" t="str">
        <x:v>路径、标题与所在页面一致；页头遵循相应模板。副标题按必要性保留；说明中的「」属于建议审查项，不能自动判缺陷。</x:v>
      </x:c>
      <x:c r="G13" s="20" t="str">
        <x:v>三类页头截图；路径返回录屏；副标题确认记录。</x:v>
      </x:c>
      <x:c r="H13" s="20" t="str">
        <x:v>对齐面包屑与按钮布局；修正返回目标；按产品结论整理副标题和说明。</x:v>
      </x:c>
      <x:c r="I13" s="20" t="str">
        <x:v>对应页头模板及文案确认；不强制所有页头同高。</x:v>
      </x:c>
      <x:c r="J13" s="20" t="str">
        <x:v>🟢 直接复用</x:v>
      </x:c>
      <x:c r="K13" s="20" t="str">
        <x:v>待确认</x:v>
      </x:c>
      <x:c r="L13" s="20" t="str">
        <x:v>REVIEW review-716a17fbb6；本次读取rev642；采纳范围和决策见验收前待明确。</x:v>
      </x:c>
    </x:row>
    <x:row r="14" ht="55" customHeight="1">
      <x:c r="A14" s="20" t="str">
        <x:v>UI09</x:v>
      </x:c>
      <x:c r="B14" s="20" t="str">
        <x:v>所有查询区</x:v>
      </x:c>
      <x:c r="C14" s="20" t="str">
        <x:v>筛选布局与刷新反馈</x:v>
      </x:c>
      <x:c r="D14" s="20" t="str">
        <x:v>2.2；3.2；5.4</x:v>
      </x:c>
      <x:c r="E14" s="20" t="str">
        <x:v>逐对象检查实际筛选字段，执行单条件、组合条件、查询、重置；在详情子列表重复查询时注明区域。查看每次刷新反馈、条件及结果。</x:v>
      </x:c>
      <x:c r="F14" s="20" t="str">
        <x:v>字段按业务保留，不为凑示例列数拉伸；使用标准查询/重置。操作有区域刷新反馈，作用域与条件正确；筛选保持/默认恢复按确认规则。</x:v>
      </x:c>
      <x:c r="G14" s="20" t="str">
        <x:v>条件与结果同屏截图；查询/重置录屏；主/子列表标记；必要时请求参数。</x:v>
      </x:c>
      <x:c r="H14" s="20" t="str">
        <x:v>复用筛选布局与控件尺寸；补刷新反馈；修正条件未清空、查错列表或竞态覆盖。</x:v>
      </x:c>
      <x:c r="I14" s="20" t="str">
        <x:v>确认默认条件、组合逻辑与筛选作用域；补测 INT03。</x:v>
      </x:c>
      <x:c r="J14" s="20" t="str">
        <x:v>🟢 直接复用</x:v>
      </x:c>
      <x:c r="K14" s="20" t="str">
        <x:v>待确认</x:v>
      </x:c>
      <x:c r="L14" s="20" t="str">
        <x:v>REVIEW review-96579d37d7；本次读取rev642；采纳范围和决策见验收前待明确。</x:v>
      </x:c>
    </x:row>
    <x:row r="15" ht="55" customHeight="1">
      <x:c r="A15" s="20" t="str">
        <x:v>UI10</x:v>
      </x:c>
      <x:c r="B15" s="20" t="str">
        <x:v>所有列表区</x:v>
      </x:c>
      <x:c r="C15" s="20" t="str">
        <x:v>列表容器与列适配</x:v>
      </x:c>
      <x:c r="D15" s="20" t="str">
        <x:v>3.1；5.1；5.5</x:v>
      </x:c>
      <x:c r="E15" s="20" t="str">
        <x:v>在有数据/无数据列表及隐藏顶部操作的页面比较容器；用长名称、多列数据检查宽度、操作项和溢出。</x:v>
      </x:c>
      <x:c r="F15" s="20" t="str">
        <x:v>表格使用批准框架，隐藏顶部按钮仍保留容器 Padding；长文本、列宽与必要操作按业务适配。</x:v>
      </x:c>
      <x:c r="G15" s="20" t="str">
        <x:v>同模板列表截图；padding/列宽量测；长数据样本。</x:v>
      </x:c>
      <x:c r="H15" s="20" t="str">
        <x:v>统一 Table 容器与 padding，修正列挤压、溢出和操作不可达。</x:v>
      </x:c>
      <x:c r="I15" s="20" t="str">
        <x:v>批准 Table 组件；本批字段与操作清单。</x:v>
      </x:c>
      <x:c r="J15" s="20" t="str">
        <x:v>🟢 直接复用</x:v>
      </x:c>
      <x:c r="K15" s="20" t="str">
        <x:v>待确认</x:v>
      </x:c>
      <x:c r="L15" s="20" t="str">
        <x:v>REVIEW review-92624f2e97；本次读取rev642；采纳范围和决策见验收前待明确。</x:v>
      </x:c>
    </x:row>
    <x:row r="16" ht="55" customHeight="1">
      <x:c r="A16" s="20" t="str">
        <x:v>UI11</x:v>
      </x:c>
      <x:c r="B16" s="20" t="str">
        <x:v>所有列表区</x:v>
      </x:c>
      <x:c r="C16" s="20" t="str">
        <x:v>分页组件与能力</x:v>
      </x:c>
      <x:c r="D16" s="20" t="str">
        <x:v>3.1；3.2</x:v>
      </x:c>
      <x:c r="E16" s="20" t="str">
        <x:v>准备零条、一页、超过一页和非整页尾页数据；检查总数、页码、条数切换、首页/尾页及禁用态；存在跳页输入时测试非法值。</x:v>
      </x:c>
      <x:c r="F16" s="20" t="str">
        <x:v>分页组件与能力遵循框架；页码、总数和数据一致。当前网站曾显示20条/页，仅作为样本；默认值与跳页能力以本批配置确认。</x:v>
      </x:c>
      <x:c r="G16" s="20" t="str">
        <x:v>数据集条数；各页截图；条数切换录屏；非法跳页结果。</x:v>
      </x:c>
      <x:c r="H16" s="20" t="str">
        <x:v>复用分页组件；修正总数、边界禁用、非法输入及切换后空白页。</x:v>
      </x:c>
      <x:c r="I16" s="20" t="str">
        <x:v>确认每页配置、跳页能力及零记录表现；补测 INT01。</x:v>
      </x:c>
      <x:c r="J16" s="20" t="str">
        <x:v>🟢 直接复用</x:v>
      </x:c>
      <x:c r="K16" s="20" t="str">
        <x:v>待确认</x:v>
      </x:c>
      <x:c r="L16" s="20" t="str">
        <x:v>REVIEW review-08ef6a1468；本次读取rev642；采纳范围和决策见验收前待明确。</x:v>
      </x:c>
    </x:row>
    <x:row r="17" ht="55" customHeight="1">
      <x:c r="A17" s="20" t="str">
        <x:v>UI12</x:v>
      </x:c>
      <x:c r="B17" s="20" t="str">
        <x:v>所有列表区</x:v>
      </x:c>
      <x:c r="C17" s="20" t="str">
        <x:v>横向滚动固定列</x:v>
      </x:c>
      <x:c r="D17" s="20" t="str">
        <x:v>5.1；5.4；5.5</x:v>
      </x:c>
      <x:c r="E17" s="20" t="str">
        <x:v>仅对可横向滚动列表执行左右滚动；分别记录勾选列、核心标识、操作列及中间字段的位置，检查固定区分隔和点击目标。</x:v>
      </x:c>
      <x:c r="F17" s="20" t="str">
        <x:v>存在勾选列时与核心识别字段固定在左侧，操作列固定在右侧；其他字段滚动。无勾选列页面不凭此新增业务选择能力。</x:v>
      </x:c>
      <x:c r="G17" s="20" t="str">
        <x:v>左右端截图/录屏；固定列 DOM 与宽度；控件点击反馈。</x:v>
      </x:c>
      <x:c r="H17" s="20" t="str">
        <x:v>修正 fixed 列、分隔/阴影和叠层；减少过多固定字段对内容的挤压。</x:v>
      </x:c>
      <x:c r="I17" s="20" t="str">
        <x:v>确认该页选择能力与核心识别字段。</x:v>
      </x:c>
      <x:c r="J17" s="20" t="str">
        <x:v>🟢 直接复用</x:v>
      </x:c>
      <x:c r="K17" s="20" t="str">
        <x:v>待确认</x:v>
      </x:c>
      <x:c r="L17" s="20" t="str">
        <x:v>REVIEW review-79dfb7278b；本次读取rev642；采纳范围和决策见验收前待明确。</x:v>
      </x:c>
    </x:row>
    <x:row r="18" ht="55" customHeight="1">
      <x:c r="A18" s="20" t="str">
        <x:v>UI13</x:v>
      </x:c>
      <x:c r="B18" s="20" t="str">
        <x:v>所有列表区</x:v>
      </x:c>
      <x:c r="C18" s="20" t="str">
        <x:v>批量操作栏位置</x:v>
      </x:c>
      <x:c r="D18" s="20" t="str">
        <x:v>1.2；2.5；5.4</x:v>
      </x:c>
      <x:c r="E18" s="20" t="str">
        <x:v>在支持批量操作的列表执行零选→单选→多选→取消全部；检查顶部工具栏、行选中态和批量动作对象。</x:v>
      </x:c>
      <x:c r="F18" s="20" t="str">
        <x:v>勾选后 Table 顶部显示批量操作，清空后恢复默认工具栏；不新增底部悬浮条；动作范围与实际选择一致。</x:v>
      </x:c>
      <x:c r="G18" s="20" t="str">
        <x:v>完整状态链录屏；选中 ID 与操作对象；默认/批量工具栏截图。</x:v>
      </x:c>
      <x:c r="H18" s="20" t="str">
        <x:v>统一顶部批量操作栏；修正清空后未恢复或作用范围误导。</x:v>
      </x:c>
      <x:c r="I18" s="20" t="str">
        <x:v>确认本页批量动作及跨页选择范围。</x:v>
      </x:c>
      <x:c r="J18" s="20" t="str">
        <x:v>🟢 直接复用</x:v>
      </x:c>
      <x:c r="K18" s="20" t="str">
        <x:v>待确认</x:v>
      </x:c>
      <x:c r="L18" s="20" t="str">
        <x:v>REVIEW review-42f80e1fec；本次读取rev642；采纳范围和决策见验收前待明确。</x:v>
      </x:c>
    </x:row>
    <x:row r="19" ht="55" customHeight="1">
      <x:c r="A19" s="20" t="str">
        <x:v>UI14</x:v>
      </x:c>
      <x:c r="B19" s="20" t="str">
        <x:v>所有列表区</x:v>
      </x:c>
      <x:c r="C19" s="20" t="str">
        <x:v>行级选中态与固定区</x:v>
      </x:c>
      <x:c r="D19" s="20" t="str">
        <x:v>1.2；5.5</x:v>
      </x:c>
      <x:c r="E19" s="20" t="str">
        <x:v>检查默认、hover、勾选和取消后的同一行；横向滚动时同步比较主体与两侧固定区，并核 Checkbox、Tag 和字重。</x:v>
      </x:c>
      <x:c r="F19" s="20" t="str">
        <x:v>使用统一行高、字体和状态；选中底色覆盖整行及固定列，取消恢复默认；不增加无依据的新背景或字重。</x:v>
      </x:c>
      <x:c r="G19" s="20" t="str">
        <x:v>四态截图；主体/固定区颜色量测；选中对象。</x:v>
      </x:c>
      <x:c r="H19" s="20" t="str">
        <x:v>统一行状态样式并同步固定区，修正取消后的残留样式。</x:v>
      </x:c>
      <x:c r="I19" s="20" t="str">
        <x:v>批准行状态 token；表头色冲突另见 DEC18。</x:v>
      </x:c>
      <x:c r="J19" s="20" t="str">
        <x:v>🟢 直接复用</x:v>
      </x:c>
      <x:c r="K19" s="20" t="str">
        <x:v>待确认</x:v>
      </x:c>
      <x:c r="L19" s="20" t="str">
        <x:v>REVIEW review-6436a27114；本次读取rev642；采纳范围和决策见验收前待明确。</x:v>
      </x:c>
    </x:row>
    <x:row r="20" ht="55" customHeight="1">
      <x:c r="A20" s="20" t="str">
        <x:v>UI15</x:v>
      </x:c>
      <x:c r="B20" s="20" t="str">
        <x:v>所有列表区</x:v>
      </x:c>
      <x:c r="C20" s="20" t="str">
        <x:v>编码链接的真实行为</x:v>
      </x:c>
      <x:c r="D20" s="20" t="str">
        <x:v>5.4；5.5</x:v>
      </x:c>
      <x:c r="E20" s="20" t="str">
        <x:v>逐页区分编码普通文本、编码链接与独立详情按钮；对具有链接态的编码执行点击和键盘激活，检查对象及返回上下文。</x:v>
      </x:c>
      <x:c r="F20" s="20" t="str">
        <x:v>有点击能力才使用对应链接态；无详情入口职责时展示普通文本；详情对象准确，返回保留必要上下文。</x:v>
      </x:c>
      <x:c r="G20" s="20" t="str">
        <x:v>编码样式与行为录屏；详情对象 ID；产品入口决定。</x:v>
      </x:c>
      <x:c r="H20" s="20" t="str">
        <x:v>无入口职责的编码取消链接态；需要详情时补完整点击和键盘交互。</x:v>
      </x:c>
      <x:c r="I20" s="20" t="str">
        <x:v>产品确认编码是否承担详情入口；独立详情按钮不自动证明编码链接已实现。</x:v>
      </x:c>
      <x:c r="J20" s="20" t="str">
        <x:v>🟢 直接复用</x:v>
      </x:c>
      <x:c r="K20" s="20" t="str">
        <x:v>待确认</x:v>
      </x:c>
      <x:c r="L20" s="20" t="str">
        <x:v>REVIEW review-a7e8b941e2；本次读取rev642；采纳范围和决策见验收前待明确。</x:v>
      </x:c>
    </x:row>
    <x:row r="21" ht="55" customHeight="1">
      <x:c r="A21" s="20" t="str">
        <x:v>UI16</x:v>
      </x:c>
      <x:c r="B21" s="20" t="str">
        <x:v>Ai 建档解析</x:v>
      </x:c>
      <x:c r="C21" s="20" t="str">
        <x:v>建档页面承载</x:v>
      </x:c>
      <x:c r="D21" s="20" t="str">
        <x:v>1.3；5.1；5.4</x:v>
      </x:c>
      <x:c r="E21" s="20" t="str">
        <x:v>按上传→解析→确认流程走查 AI 建档页面，检查步骤导航、材料/解析结果/确认状态和底部操作是否持续可达。</x:v>
      </x:c>
      <x:c r="F21" s="20" t="str">
        <x:v>按批准方案使用独立表单页承载完整流程；页面主体左右24px留白；单步弹窗与完整建档不得混为一类。</x:v>
      </x:c>
      <x:c r="G21" s="20" t="str">
        <x:v>全流程录屏；各阶段截图；主体 padding 与操作区位置。</x:v>
      </x:c>
      <x:c r="H21" s="20" t="str">
        <x:v>调整流程承载模板和布局；修正材料/结果不可达及底部操作被遮挡。</x:v>
      </x:c>
      <x:c r="I21" s="20" t="str">
        <x:v>本批 AI 建档范围、批准页面方案及 DEC17。</x:v>
      </x:c>
      <x:c r="J21" s="20" t="str">
        <x:v>🟢 直接复用</x:v>
      </x:c>
      <x:c r="K21" s="20" t="str">
        <x:v>待确认</x:v>
      </x:c>
      <x:c r="L21" s="20" t="str">
        <x:v>REVIEW review-f228825adf；本次读取rev642；采纳范围和决策见验收前待明确。</x:v>
      </x:c>
    </x:row>
    <x:row r="22" ht="55" customHeight="1">
      <x:c r="A22" s="20" t="str">
        <x:v>UI17</x:v>
      </x:c>
      <x:c r="B22" s="20" t="str">
        <x:v>全局</x:v>
      </x:c>
      <x:c r="C22" s="20" t="str">
        <x:v>刷新保持页面</x:v>
      </x:c>
      <x:c r="D22" s="20" t="str">
        <x:v>5.4</x:v>
      </x:c>
      <x:c r="E22" s="20" t="str">
        <x:v>在不同 group/resource、筛选列表及详情状态刷新，再前进/后退；分别记录页面、对象和需要保持的状态。</x:v>
      </x:c>
      <x:c r="F22" s="20" t="str">
        <x:v>刷新保持当前页面及必要状态，无非预期跳转；是否恢复筛选、弹层或未保存输入由批准范围决定，不默认自动保存。</x:v>
      </x:c>
      <x:c r="G22" s="20" t="str">
        <x:v>刷新前后 URL、截图；前进/后退录屏；状态保持规则。</x:v>
      </x:c>
      <x:c r="H22" s="20" t="str">
        <x:v>修正路由恢复和上下文映射；明确特殊跳转及丢失状态的提示。</x:v>
      </x:c>
      <x:c r="I22" s="20" t="str">
        <x:v>产品确认必要状态范围与特殊跳转；补测 INT04。</x:v>
      </x:c>
      <x:c r="J22" s="20" t="str">
        <x:v>🟢 直接复用</x:v>
      </x:c>
      <x:c r="K22" s="20" t="str">
        <x:v>待确认</x:v>
      </x:c>
      <x:c r="L22" s="20" t="str">
        <x:v>REVIEW review-70bd2614ce；本次读取rev642；采纳范围和决策见验收前待明确。</x:v>
      </x:c>
    </x:row>
    <x:row r="23" ht="55" customHeight="1">
      <x:c r="A23" s="20" t="str">
        <x:v>UI18</x:v>
      </x:c>
      <x:c r="B23" s="20" t="str">
        <x:v>服务单元</x:v>
      </x:c>
      <x:c r="C23" s="20" t="str">
        <x:v>详情 Drawer 与滚动</x:v>
      </x:c>
      <x:c r="D23" s="20" t="str">
        <x:v>5.1；5.4；5.5</x:v>
      </x:c>
      <x:c r="E23" s="20" t="str">
        <x:v>从列表打开不同服务单元详情，滚动长内容并连续查看两条；核对右侧 Drawer 分组、固定标题/底部操作，再关闭。</x:v>
      </x:c>
      <x:c r="F23" s="20" t="str">
        <x:v>使用批准右侧详情 Drawer；内容可纵向滚动，标题/底部操作固定；对象不串行，关闭后保留列表上下文。</x:v>
      </x:c>
      <x:c r="G23" s="20" t="str">
        <x:v>长详情与连续切换录屏；对象 ID；滚动区域截图。</x:v>
      </x:c>
      <x:c r="H23" s="20" t="str">
        <x:v>按 Drawer 模板调整分组、固定区及滚动容器；修正关闭后丢上下文。</x:v>
      </x:c>
      <x:c r="I23" s="20" t="str">
        <x:v>批准详情模板及列表状态保持范围；不从此条扩展编辑入口要求。</x:v>
      </x:c>
      <x:c r="J23" s="20" t="str">
        <x:v>🟢 直接复用</x:v>
      </x:c>
      <x:c r="K23" s="20" t="str">
        <x:v>待确认</x:v>
      </x:c>
      <x:c r="L23" s="20" t="str">
        <x:v>REVIEW review-f828afea0f；本次读取rev642；采纳范围和决策见验收前待明确。</x:v>
      </x:c>
    </x:row>
    <x:row r="24" ht="55" customHeight="1">
      <x:c r="A24" s="20" t="str">
        <x:v>UI19</x:v>
      </x:c>
      <x:c r="B24" s="20" t="str">
        <x:v>通用字体</x:v>
      </x:c>
      <x:c r="C24" s="20" t="str">
        <x:v>字体数值与字重</x:v>
      </x:c>
      <x:c r="D24" s="20" t="str">
        <x:v>5.1；5.5</x:v>
      </x:c>
      <x:c r="E24" s="20" t="str">
        <x:v>按 H1/H2/H3、正文、辅助和标签抽取实际元素；记录系统字体、font-size、font-weight、line-height，并与对应规范表比较。</x:v>
      </x:c>
      <x:c r="F24" s="20" t="str">
        <x:v>采用系统字体及规范字体层级；正文14px/400、其他层级按§3.2逐项核对；不使用无依据的600/700字重。</x:v>
      </x:c>
      <x:c r="G24" s="20" t="str">
        <x:v>元素定位；computed style；对应层级截图和基线数值。</x:v>
      </x:c>
      <x:c r="H24" s="20" t="str">
        <x:v>统一字体 token、字重和行高；修正错误的标题层级。</x:v>
      </x:c>
      <x:c r="I24" s="20" t="str">
        <x:v>SPEC §3.2 内嵌表与本批系统环境。</x:v>
      </x:c>
      <x:c r="J24" s="20" t="str">
        <x:v>通用规范补充</x:v>
      </x:c>
      <x:c r="K24" s="20" t="str">
        <x:v>—</x:v>
      </x:c>
      <x:c r="L24" s="20" t="str">
        <x:v>SPEC §3.2；数值来自规范表</x:v>
      </x:c>
    </x:row>
    <x:row r="25" ht="55" customHeight="1">
      <x:c r="A25" s="20" t="str">
        <x:v>UI20</x:v>
      </x:c>
      <x:c r="B25" s="20" t="str">
        <x:v>桌面表格</x:v>
      </x:c>
      <x:c r="C25" s="20" t="str">
        <x:v>表格基础规格</x:v>
      </x:c>
      <x:c r="D25" s="20" t="str">
        <x:v>5.1；5.5</x:v>
      </x:c>
      <x:c r="E25" s="20" t="str">
        <x:v>抽取桌面表格的表头/数据行/数字列/状态列；量测行高、底线及对齐，比较默认、hover、选中及固定区。</x:v>
      </x:c>
      <x:c r="F25" s="20" t="str">
        <x:v>桌面行高48px、底线1px #EBEBEB；文本/时间/操作左对齐，数字/金额/重量右对齐。表头#F7F8FA与#F7F7F7源内冲突先确认 DEC18。</x:v>
      </x:c>
      <x:c r="G25" s="20" t="str">
        <x:v>行高及 computed style；各列对齐截图；表头采用值记录。</x:v>
      </x:c>
      <x:c r="H25" s="20" t="str">
        <x:v>对齐 Table 规格和列语义；按批准值修正表头色及行状态。</x:v>
      </x:c>
      <x:c r="I25" s="20" t="str">
        <x:v>DEC18：确认表头采用值与框架组件版本。</x:v>
      </x:c>
      <x:c r="J25" s="20" t="str">
        <x:v>通用规范补充</x:v>
      </x:c>
      <x:c r="K25" s="20" t="str">
        <x:v>—</x:v>
      </x:c>
      <x:c r="L25" s="20" t="str">
        <x:v>SPEC §5.8基础规格／列对齐／行状态；金额位数仍见DEC10</x:v>
      </x:c>
    </x:row>
    <x:row r="26" ht="55" customHeight="1">
      <x:c r="A26" s="20" t="str">
        <x:v>UI21</x:v>
      </x:c>
      <x:c r="B26" s="20" t="str">
        <x:v>表格操作</x:v>
      </x:c>
      <x:c r="C26" s="20" t="str">
        <x:v>操作位置与间距</x:v>
      </x:c>
      <x:c r="D26" s="20" t="str">
        <x:v>5.1；5.4</x:v>
      </x:c>
      <x:c r="E26" s="20" t="str">
        <x:v>检查带操作列的列表，横向滚动至两端并对比相邻操作按钮；确认文字按钮、最右固定位置及16px间距。</x:v>
      </x:c>
      <x:c r="F26" s="20" t="str">
        <x:v>操作列位于最右并固定；行内为文字按钮，操作间距16px；点击不会误命中相邻动作。</x:v>
      </x:c>
      <x:c r="G26" s="20" t="str">
        <x:v>左右端截图；按钮间距量测；操作定位。</x:v>
      </x:c>
      <x:c r="H26" s="20" t="str">
        <x:v>统一操作列固定位置、文字按钮及间距，修正遮挡和误触。</x:v>
      </x:c>
      <x:c r="I26" s="20" t="str">
        <x:v>SPEC §5.8 与本批操作清单。</x:v>
      </x:c>
      <x:c r="J26" s="20" t="str">
        <x:v>通用规范补充</x:v>
      </x:c>
      <x:c r="K26" s="20" t="str">
        <x:v>—</x:v>
      </x:c>
      <x:c r="L26" s="20" t="str">
        <x:v>SPEC §5.8；数值来自规范表</x:v>
      </x:c>
    </x:row>
    <x:row r="27" ht="55" customHeight="1">
      <x:c r="A27" s="20" t="str">
        <x:v>UI22</x:v>
      </x:c>
      <x:c r="B27" s="20" t="str">
        <x:v>金额字段</x:v>
      </x:c>
      <x:c r="C27" s="20" t="str">
        <x:v>金额右对齐与精度</x:v>
      </x:c>
      <x:c r="D27" s="20" t="str">
        <x:v>5.5</x:v>
      </x:c>
      <x:c r="E27" s="20" t="str">
        <x:v>在列表、详情及模拟结果挑选零金额、大金额、带小数与不同币种样本；分别比较对齐、千分位、符号与位数。</x:v>
      </x:c>
      <x:c r="F27" s="20" t="str">
        <x:v>金额右对齐；项目两位与通用规范四位精度存在冲突，先按 DEC10 批准口径验收；展示精度不替代计算精度。</x:v>
      </x:c>
      <x:c r="G27" s="20" t="str">
        <x:v>原始数值与界面截图；币种；DEC10批准记录。</x:v>
      </x:c>
      <x:c r="H27" s="20" t="str">
        <x:v>统一金额格式化组件和币种显示；按批准位数修正展示。</x:v>
      </x:c>
      <x:c r="I27" s="20" t="str">
        <x:v>DEC10：确认金额展示精度及项目例外。</x:v>
      </x:c>
      <x:c r="J27" s="20" t="str">
        <x:v>通用规范补充</x:v>
      </x:c>
      <x:c r="K27" s="20" t="str">
        <x:v>—</x:v>
      </x:c>
      <x:c r="L27" s="20" t="str">
        <x:v>REQ 七第7项已解决／§6.2最低成本；SPEC §5.8、§9.2 冲突，见 DEC10</x:v>
      </x:c>
    </x:row>
    <x:row r="28" ht="55" customHeight="1">
      <x:c r="A28" s="20" t="str">
        <x:v>UI23</x:v>
      </x:c>
      <x:c r="B28" s="20" t="str">
        <x:v>状态反馈</x:v>
      </x:c>
      <x:c r="C28" s="20" t="str">
        <x:v>默认、加载、空态与错误</x:v>
      </x:c>
      <x:c r="D28" s="20" t="str">
        <x:v>2.2；4.2；5.2；5.5</x:v>
      </x:c>
      <x:c r="E28" s="20" t="str">
        <x:v>分别触发首屏加载、局部刷新、按钮处理中、无数据、无搜索结果和可控失败；观察出现、结束及重试后的状态。</x:v>
      </x:c>
      <x:c r="F28" s="20" t="str">
        <x:v>首屏 Skeleton、局部 Spin、按钮 loading/禁用按规范；无数据与无结果可区分；整页异常与局部失败有适用恢复入口。</x:v>
      </x:c>
      <x:c r="G28" s="20" t="str">
        <x:v>完整状态录屏；请求时序；空态原因；异常与恢复截图。</x:v>
      </x:c>
      <x:c r="H28" s="20" t="str">
        <x:v>补足状态组件和结束逻辑；避免空白、假成功及错误后按钮永久禁用。</x:v>
      </x:c>
      <x:c r="I28" s="20" t="str">
        <x:v>批准异常/空态文案及恢复动作；补测 INT07。</x:v>
      </x:c>
      <x:c r="J28" s="20" t="str">
        <x:v>通用规范补充</x:v>
      </x:c>
      <x:c r="K28" s="20" t="str">
        <x:v>—</x:v>
      </x:c>
      <x:c r="L28" s="20" t="str">
        <x:v>SPEC §7.1—7.3 已核对；场景触发矩阵为测试建议</x:v>
      </x:c>
    </x:row>
    <x:row r="29" ht="55" customHeight="1">
      <x:c r="A29" s="20" t="str">
        <x:v>UI24</x:v>
      </x:c>
      <x:c r="B29" s="20" t="str">
        <x:v>响应式</x:v>
      </x:c>
      <x:c r="C29" s="20" t="str">
        <x:v>本批支持视口</x:v>
      </x:c>
      <x:c r="D29" s="20" t="str">
        <x:v>5.1；5.5；八</x:v>
      </x:c>
      <x:c r="E29" s="20" t="str">
        <x:v>在本批支持的视口及边界附近走查列表、表单、Drawer；检查溢出、重叠、滚动和关键按钮可达。记录浏览器缩放。</x:v>
      </x:c>
      <x:c r="F29" s="20" t="str">
        <x:v>支持范围内内容不重叠，关键动作可达；桌面基准1440px、规范桌面≥1280px。平板/手机是否纳入按本批范围确认。</x:v>
      </x:c>
      <x:c r="G29" s="20" t="str">
        <x:v>视口尺寸与缩放；各模板截图；横纵滚动录屏。</x:v>
      </x:c>
      <x:c r="H29" s="20" t="str">
        <x:v>按断点调整布局和滚动容器，修正被裁切的操作及表单。</x:v>
      </x:c>
      <x:c r="I29" s="20" t="str">
        <x:v>明确本批支持浏览器/设备；移动端不默认增加。</x:v>
      </x:c>
      <x:c r="J29" s="20" t="str">
        <x:v>通用规范补充</x:v>
      </x:c>
      <x:c r="K29" s="20" t="str">
        <x:v>—</x:v>
      </x:c>
      <x:c r="L29" s="20" t="str">
        <x:v>SPEC §4.5；移动支持按项目确认</x:v>
      </x:c>
    </x:row>
    <x:row r="30" ht="55" customHeight="1">
      <x:c r="A30" s="20" t="str">
        <x:v>UI25</x:v>
      </x:c>
      <x:c r="B30" s="20" t="str">
        <x:v>表单交互</x:v>
      </x:c>
      <x:c r="C30" s="20" t="str">
        <x:v>可操作的控件状态</x:v>
      </x:c>
      <x:c r="D30" s="20" t="str">
        <x:v>1.1；1.2；5.2；5.4</x:v>
      </x:c>
      <x:c r="E30" s="20" t="str">
        <x:v>对输入、选择器和按钮检查默认、焦点、禁用、错误；用空值/空格/合法值验证错误出现与修正消失，检查必填和只读。</x:v>
      </x:c>
      <x:c r="F30" s="20" t="str">
        <x:v>控件状态与可操作性一致；错误定位到字段并可修正；只读字段不可误编辑。验证触发时机按批准交互规则。</x:v>
      </x:c>
      <x:c r="G30" s="20" t="str">
        <x:v>字段状态矩阵；失焦/保存录屏；错误前后截图。</x:v>
      </x:c>
      <x:c r="H30" s="20" t="str">
        <x:v>统一状态样式与字段校验；修正只读失效、错误错位或修正后残留。</x:v>
      </x:c>
      <x:c r="I30" s="20" t="str">
        <x:v>具体字段规则和验证触发时机；补测 INT05。</x:v>
      </x:c>
      <x:c r="J30" s="20" t="str">
        <x:v>通用规范补充</x:v>
      </x:c>
      <x:c r="K30" s="20" t="str">
        <x:v>—</x:v>
      </x:c>
      <x:c r="L30" s="20" t="str">
        <x:v>SPEC §5.7、§7；操作矩阵为建议补充</x:v>
      </x:c>
    </x:row>
    <x:row r="31" ht="55" customHeight="1">
      <x:c r="A31" s="20" t="str">
        <x:v>UI26</x:v>
      </x:c>
      <x:c r="B31" s="20" t="str">
        <x:v>长内容</x:v>
      </x:c>
      <x:c r="C31" s="20" t="str">
        <x:v>长文本与内容滚动</x:v>
      </x:c>
      <x:c r="D31" s="20" t="str">
        <x:v>1.1；5.5</x:v>
      </x:c>
      <x:c r="E31" s="20" t="str">
        <x:v>准备长中文/英文、无空格连续文本、长编号及多行备注；分别放在列表、详情普通字段和描述，检查 Tooltip/折叠展开及滚动。</x:v>
      </x:c>
      <x:c r="F31" s="20" t="str">
        <x:v>列表单行省略、hover可查看完整；详情普通字段最多3行，备注/描述最多2行再折叠展开。输入长度限制与展示行数分别验收。</x:v>
      </x:c>
      <x:c r="G31" s="20" t="str">
        <x:v>三种容器截图；完整原值；展开/滚动录屏。</x:v>
      </x:c>
      <x:c r="H31" s="20" t="str">
        <x:v>按字段类型修正截断与展开；避免统一裁成同一行数及关键操作遮挡。</x:v>
      </x:c>
      <x:c r="I31" s="20" t="str">
        <x:v>SPEC §9.4；支持 hover 的端才使用对应Tooltip规则。</x:v>
      </x:c>
      <x:c r="J31" s="20" t="str">
        <x:v>通用规范补充</x:v>
      </x:c>
      <x:c r="K31" s="20" t="str">
        <x:v>—</x:v>
      </x:c>
      <x:c r="L31" s="20" t="str">
        <x:v>SPEC §9.4；REVIEW 第10、18项；长内容数据为测试建议</x:v>
      </x:c>
    </x:row>
    <x:row r="32" ht="55" customHeight="1">
      <x:c r="A32" s="20" t="str">
        <x:v>UI27</x:v>
      </x:c>
      <x:c r="B32" s="20" t="str">
        <x:v>通用间距</x:v>
      </x:c>
      <x:c r="C32" s="20" t="str">
        <x:v>间距Token与页面留白</x:v>
      </x:c>
      <x:c r="D32" s="20" t="str">
        <x:v>5.1；5.5</x:v>
      </x:c>
      <x:c r="E32" s="20" t="str">
        <x:v>用对应模板标记页面内容、模块、表单项和图标文字间距；逐项量测，并核对组件专用规则。</x:v>
      </x:c>
      <x:c r="F32" s="20" t="str">
        <x:v>通用间距采用4/8/16/24/32/48px token；页面/模块24px、图标文字4px；组件专用值优先。</x:v>
      </x:c>
      <x:c r="G32" s="20" t="str">
        <x:v>标注截图；bounding box/computed style；token 对应项。</x:v>
      </x:c>
      <x:c r="H32" s="20" t="str">
        <x:v>替换散落的自定义间距，按对应模板/token修正。</x:v>
      </x:c>
      <x:c r="I32" s="20" t="str">
        <x:v>对应组件章节及项目已批准例外。</x:v>
      </x:c>
      <x:c r="J32" s="20" t="str">
        <x:v>通用规范补充</x:v>
      </x:c>
      <x:c r="K32" s="20" t="str">
        <x:v>—</x:v>
      </x:c>
      <x:c r="L32" s="20" t="str">
        <x:v>SPEC §3.3；项目例外须确认</x:v>
      </x:c>
    </x:row>
    <x:row r="33" ht="55" customHeight="1">
      <x:c r="A33" s="20" t="str">
        <x:v>UI28</x:v>
      </x:c>
      <x:c r="B33" s="20" t="str">
        <x:v>按钮</x:v>
      </x:c>
      <x:c r="C33" s="20" t="str">
        <x:v>主次、危险和状态语义</x:v>
      </x:c>
      <x:c r="D33" s="20" t="str">
        <x:v>4.3；5.1；5.4；5.5</x:v>
      </x:c>
      <x:c r="E33" s="20" t="str">
        <x:v>按区域核主次和危险按钮，再检查 hover、禁用、处理中；在可控测试操作中快速点击并核请求/最终记录。</x:v>
      </x:c>
      <x:c r="F33" s="20" t="str">
        <x:v>区域最多1主按钮；主色#046EFC、危险#E24B4A按对应状态色阶；处理中禁用防重复。UI防连点与后端幂等分别取证。</x:v>
      </x:c>
      <x:c r="G33" s="20" t="str">
        <x:v>按钮状态截图；请求次数；同操作记录读回。</x:v>
      </x:c>
      <x:c r="H33" s="20" t="str">
        <x:v>统一按钮语义、层级及状态；修正处理中仍可触发和重复成功反馈。</x:v>
      </x:c>
      <x:c r="I33" s="20" t="str">
        <x:v>批准动作及测试对象；补测 INT06。</x:v>
      </x:c>
      <x:c r="J33" s="20" t="str">
        <x:v>通用规范补充</x:v>
      </x:c>
      <x:c r="K33" s="20" t="str">
        <x:v>—</x:v>
      </x:c>
      <x:c r="L33" s="20" t="str">
        <x:v>SPEC §5.1.1／§7.1；业务成功须读回</x:v>
      </x:c>
    </x:row>
    <x:row r="34" ht="55" customHeight="1">
      <x:c r="A34" s="20" t="str">
        <x:v>UI29</x:v>
      </x:c>
      <x:c r="B34" s="20" t="str">
        <x:v>数据展示</x:v>
      </x:c>
      <x:c r="C34" s="20" t="str">
        <x:v>缺失值与真实零值</x:v>
      </x:c>
      <x:c r="D34" s="20" t="str">
        <x:v>5.5</x:v>
      </x:c>
      <x:c r="E34" s="20" t="str">
        <x:v>用缺失、真实0、负值/大数（若适用）、百分比、重量、体积与件数样本逐列核格式、单位和千分位。</x:v>
      </x:c>
      <x:c r="F34" s="20" t="str">
        <x:v>无值统一—，真实0保留；重量3位、体积4位、百分比2位并带单位，件数整数。金额沿用DEC10；不新增业务计算精度限制。</x:v>
      </x:c>
      <x:c r="G34" s="20" t="str">
        <x:v>接口/测试数据原值；对应显示截图；字段单位定义。</x:v>
      </x:c>
      <x:c r="H34" s="20" t="str">
        <x:v>统一空值与数字格式化；修正把缺失填0或单位/位数不一致。</x:v>
      </x:c>
      <x:c r="I34" s="20" t="str">
        <x:v>仅本批实际字段；金额例外见DEC10。</x:v>
      </x:c>
      <x:c r="J34" s="20" t="str">
        <x:v>通用规范补充</x:v>
      </x:c>
      <x:c r="K34" s="20" t="str">
        <x:v>—</x:v>
      </x:c>
      <x:c r="L34" s="20" t="str">
        <x:v>SPEC §9.1—9.2；REQ §6.2 服务组合列表</x:v>
      </x:c>
    </x:row>
    <x:row r="35" ht="55" customHeight="1">
      <x:c r="A35" s="20" t="str">
        <x:v>UI30</x:v>
      </x:c>
      <x:c r="B35" s="20" t="str">
        <x:v>时间展示</x:v>
      </x:c>
      <x:c r="C35" s="20" t="str">
        <x:v>日期、分钟与秒格式</x:v>
      </x:c>
      <x:c r="D35" s="20" t="str">
        <x:v>1.1；5.5</x:v>
      </x:c>
      <x:c r="E35" s="20" t="str">
        <x:v>在同一字段对比列表/详情/表单的日期、时间样本；分别核分钟/秒场景和跨日样本，记录批准时区。</x:v>
      </x:c>
      <x:c r="F35" s="20" t="str">
        <x:v>日期YYYY-MM-DD，默认时间YYYY-MM-DD HH:mm，需要秒时HH:mm:ss；同列一致，不用斜线或12小时制；时区按业务基线。</x:v>
      </x:c>
      <x:c r="G35" s="20" t="str">
        <x:v>原始时间、时区；跨视图截图；字段场景定义。</x:v>
      </x:c>
      <x:c r="H35" s="20" t="str">
        <x:v>统一时间格式化及场景精度，修正时区或跨日展示。</x:v>
      </x:c>
      <x:c r="I35" s="20" t="str">
        <x:v>确认字段时区与是否需要秒，不凭本机时区推定。</x:v>
      </x:c>
      <x:c r="J35" s="20" t="str">
        <x:v>通用规范补充</x:v>
      </x:c>
      <x:c r="K35" s="20" t="str">
        <x:v>—</x:v>
      </x:c>
      <x:c r="L35" s="20" t="str">
        <x:v>SPEC §9.3；时区不能凭截图猜测</x:v>
      </x:c>
    </x:row>
    <x:row r="36" ht="55" customHeight="1">
      <x:c r="A36" s="20" t="str">
        <x:v>UI31</x:v>
      </x:c>
      <x:c r="B36" s="20" t="str">
        <x:v>表单布局</x:v>
      </x:c>
      <x:c r="C36" s="20" t="str">
        <x:v>字段上下排与宽度</x:v>
      </x:c>
      <x:c r="D36" s="20" t="str">
        <x:v>5.1；5.5</x:v>
      </x:c>
      <x:c r="E36" s="20" t="str">
        <x:v>在新建/编辑表单量测上下排、最大宽度、label间距及表单项间距；在≥1440px双列和长字段跨列场景复核。</x:v>
      </x:c>
      <x:c r="F36" s="20" t="str">
        <x:v>字段名在上，输入在下；表单最大720px；label到输入8px、表单项24px；双列仍上下排且列间24px。</x:v>
      </x:c>
      <x:c r="G36" s="20" t="str">
        <x:v>表单两种宽度截图；宽度/间距量测；长字段样本。</x:v>
      </x:c>
      <x:c r="H36" s="20" t="str">
        <x:v>按表单模板重排字段及宽度；修正双列内错用左右排。</x:v>
      </x:c>
      <x:c r="I36" s="20" t="str">
        <x:v>本批采用表单模板与项目例外。</x:v>
      </x:c>
      <x:c r="J36" s="20" t="str">
        <x:v>通用规范补充</x:v>
      </x:c>
      <x:c r="K36" s="20" t="str">
        <x:v>—</x:v>
      </x:c>
      <x:c r="L36" s="20" t="str">
        <x:v>SPEC §5.7；仅适用所选表单模板</x:v>
      </x:c>
    </x:row>
    <x:row r="37" ht="55" customHeight="1">
      <x:c r="A37" s="20" t="str">
        <x:v>UI32</x:v>
      </x:c>
      <x:c r="B37" s="20" t="str">
        <x:v>比对方法</x:v>
      </x:c>
      <x:c r="C37" s="20" t="str">
        <x:v>可复现的UI证据</x:v>
      </x:c>
      <x:c r="D37" s="20" t="str">
        <x:v>测试方法补充</x:v>
      </x:c>
      <x:c r="E37" s="20" t="str">
        <x:v>每次取证先记录Build、页面URL、对象/状态、批准基线、视口和缩放；样式量测与交互录屏分别留存，记录复现步骤。</x:v>
      </x:c>
      <x:c r="F37" s="20" t="str">
        <x:v>证据可复现、能定位条款及偏差。未批准像素容差或整页差异阈值时，不用截图相似百分比作为合格门槛。</x:v>
      </x:c>
      <x:c r="G37" s="20" t="str">
        <x:v>Build、基线版本；带状态的截图；量测表；交互录屏。</x:v>
      </x:c>
      <x:c r="H37" s="20" t="str">
        <x:v>补齐证据和复现条件；用具体不符合项替代笼统拟合度描述。</x:v>
      </x:c>
      <x:c r="I37" s="20" t="str">
        <x:v>确认比较环境、遮罩及容差；DEC18；本条是方法建议。</x:v>
      </x:c>
      <x:c r="J37" s="20" t="str">
        <x:v>通用规范补充</x:v>
      </x:c>
      <x:c r="K37" s="20" t="str">
        <x:v>—</x:v>
      </x:c>
      <x:c r="L37" s="20" t="str">
        <x:v>测试方法建议；规范无统一整页拟合百分比，见 DEC18</x:v>
      </x:c>
    </x:row>
    <x:row r="38" ht="55" customHeight="1">
      <x:c r="A38" s="20" t="str">
        <x:v>UI33</x:v>
      </x:c>
      <x:c r="B38" s="20" t="str">
        <x:v>页签Tabs</x:v>
      </x:c>
      <x:c r="C38" s="20" t="str">
        <x:v>适用范围、结构与密度</x:v>
      </x:c>
      <x:c r="D38" s="20" t="str">
        <x:v>5.1；5.5</x:v>
      </x:c>
      <x:c r="E38" s="20" t="str">
        <x:v>检查实际采用Tabs的上下文、同级关系、数量及页头/列表变体；量测高度、字重、间距和2px指示条。</x:v>
      </x:c>
      <x:c r="F38" s="20" t="str">
        <x:v>Tabs用于同级单选视图，通常2—5项且最多7；不承载跨模块/多步流程。页头48px、列表40px；40px与触达≥44px冲突先确认。</x:v>
      </x:c>
      <x:c r="G38" s="20" t="str">
        <x:v>Tabs上下文与数量；状态截图；各尺寸量测。</x:v>
      </x:c>
      <x:c r="H38" s="20" t="str">
        <x:v>按适用性改为正确导航组件；统一Tabs变体和指示条。</x:v>
      </x:c>
      <x:c r="I38" s="20" t="str">
        <x:v>DEC18触达冲突及采用值；基础配置应用另见DEC01。</x:v>
      </x:c>
      <x:c r="J38" s="20" t="str">
        <x:v>通用规范补充</x:v>
      </x:c>
      <x:c r="K38" s="20" t="str">
        <x:v>—</x:v>
      </x:c>
      <x:c r="L38" s="20" t="str">
        <x:v>SPEC V1.2 §5.17；REVIEW第1项采纳见DEC01；密度与触达矛盾见DEC18</x:v>
      </x:c>
    </x:row>
    <x:row r="39" ht="55" customHeight="1">
      <x:c r="A39" s="20" t="str">
        <x:v>UI34</x:v>
      </x:c>
      <x:c r="B39" s="20" t="str">
        <x:v>页签Tabs</x:v>
      </x:c>
      <x:c r="C39" s="20" t="str">
        <x:v>内容切换、键盘与响应式</x:v>
      </x:c>
      <x:c r="D39" s="20" t="str">
        <x:v>5.3；5.4；5.5</x:v>
      </x:c>
      <x:c r="E39" s="20" t="str">
        <x:v>点击各Tab，再用Tab、左右键、Home/End切换；缩窄视口及触发加载；对照role、aria-selected、内容与焦点。</x:v>
      </x:c>
      <x:c r="F39" s="20" t="str">
        <x:v>单选视觉、aria-selected与内容同步；支持规范键盘操作，加载保留选中项与骨架；不足时换行，无组件内横向滚动；&gt;999显示999+。</x:v>
      </x:c>
      <x:c r="G39" s="20" t="str">
        <x:v>键盘/加载/窄屏录屏；可访问性属性；数量样本。</x:v>
      </x:c>
      <x:c r="H39" s="20" t="str">
        <x:v>补键盘和aria语义；修正仅换视觉、整页刷新、清空选中项或横向滚动。</x:v>
      </x:c>
      <x:c r="I39" s="20" t="str">
        <x:v>批准Tabs适用范围与触达口径；不把所有控件当Tabs。</x:v>
      </x:c>
      <x:c r="J39" s="20" t="str">
        <x:v>通用规范补充</x:v>
      </x:c>
      <x:c r="K39" s="20" t="str">
        <x:v>—</x:v>
      </x:c>
      <x:c r="L39" s="20" t="str">
        <x:v>SPEC V1.2 §5.17交互／响应式／禁止项；采纳范围及触达见DEC18</x:v>
      </x:c>
    </x:row>
    <x:row r="40" ht="55" customHeight="1">
      <x:c r="A40" s="20" t="str">
        <x:v>UI35</x:v>
      </x:c>
      <x:c r="B40" s="20" t="str">
        <x:v>服务单元</x:v>
      </x:c>
      <x:c r="C40" s="20" t="str">
        <x:v>新建独立表单页与返回上下文</x:v>
      </x:c>
      <x:c r="D40" s="20" t="str">
        <x:v>2.1；5.1；5.4</x:v>
      </x:c>
      <x:c r="E40" s="20" t="str">
        <x:v>由人工创建入口进入，核独立表单页、多组内容和底部操作；取消返回检查列表上下文；批准数据上执行保存并读回。</x:v>
      </x:c>
      <x:c r="F40" s="20" t="str">
        <x:v>采纳后按新建表单页承载；取消不写入，保存与业务规则一致；返回不串对象。新建承载不自动扩展为编辑也改页或自动保存。</x:v>
      </x:c>
      <x:c r="G40" s="20" t="str">
        <x:v>进入/取消/保存录屏；返回条件；保存请求与读回。</x:v>
      </x:c>
      <x:c r="H40" s="20" t="str">
        <x:v>采用批准新建页模板；修正取消写入、返回丢上下文及保存错误反馈。</x:v>
      </x:c>
      <x:c r="I40" s="20" t="str">
        <x:v>DEC23：PRD弹窗与Review新页冲突；批准采纳范围。</x:v>
      </x:c>
      <x:c r="J40" s="20" t="str">
        <x:v>🔵 组合复用</x:v>
      </x:c>
      <x:c r="K40" s="20" t="str">
        <x:v>修改中</x:v>
      </x:c>
      <x:c r="L40" s="20" t="str">
        <x:v>REVIEW review-de7057751b；本次读取rev642；采纳范围和决策见验收前待明确。</x:v>
      </x:c>
    </x:row>
    <x:row r="41" ht="55" customHeight="1">
      <x:c r="A41" s="20" t="str">
        <x:v>UI36</x:v>
      </x:c>
      <x:c r="B41" s="20" t="str">
        <x:v>服务单元列表</x:v>
      </x:c>
      <x:c r="C41" s="20" t="str">
        <x:v>创建入口位置与重复标题</x:v>
      </x:c>
      <x:c r="D41" s="20" t="str">
        <x:v>5.1；5.4</x:v>
      </x:c>
      <x:c r="E41" s="20" t="str">
        <x:v>在服务单元列表定位人工/AI两个创建入口，分别点击并取消返回；核页头右侧位置、列表重复标题及窄屏可达性。</x:v>
      </x:c>
      <x:c r="F41" s="20" t="str">
        <x:v>采纳后两个入口位于页头右侧，取消重复列表标题；进入各自正确流程。来源P0不自动等于实测缺陷级别。</x:v>
      </x:c>
      <x:c r="G41" s="20" t="str">
        <x:v>页头截图；两入口行为录屏；支持视口截图。</x:v>
      </x:c>
      <x:c r="H41" s="20" t="str">
        <x:v>按模板移动创建入口并去重标题；修正入口指向与窄屏遮挡。</x:v>
      </x:c>
      <x:c r="I41" s="20" t="str">
        <x:v>批准列表模板及已交付创建方式。</x:v>
      </x:c>
      <x:c r="J41" s="20" t="str">
        <x:v>🟢 直接复用</x:v>
      </x:c>
      <x:c r="K41" s="20" t="str">
        <x:v>待确认</x:v>
      </x:c>
      <x:c r="L41" s="20" t="str">
        <x:v>REVIEW review-b8b8e36a2b；本次读取rev642；采纳范围和决策见验收前待明确。</x:v>
      </x:c>
    </x:row>
    <x:row r="42" ht="55" customHeight="1">
      <x:c r="A42" s="20" t="str">
        <x:v>UI37</x:v>
      </x:c>
      <x:c r="B42" s="20" t="str">
        <x:v>AI 建档</x:v>
      </x:c>
      <x:c r="C42" s="20" t="str">
        <x:v>生成、待确认与执行状态分层</x:v>
      </x:c>
      <x:c r="D42" s="20" t="str">
        <x:v>5.2；5.4；5.5</x:v>
      </x:c>
      <x:c r="E42" s="20" t="str">
        <x:v>在允许的AI测试材料上观察生成中、待确认、采纳、执行及失败；比较原数据与建议，确认前检查正式数据是否变化。</x:v>
      </x:c>
      <x:c r="F42" s="20" t="str">
        <x:v>AI生成、用户确认、业务执行可区分；待确认有标识，采纳后恢复业务样式；确认前不得写正式数据。具体分支以本批需求为准。</x:v>
      </x:c>
      <x:c r="G42" s="20" t="str">
        <x:v>阶段录屏；原数据/建议截图；确认前后数据及操作记录。</x:v>
      </x:c>
      <x:c r="H42" s="20" t="str">
        <x:v>明确阶段标签、操作和恢复入口；修正建议态假装成功或未经确认写入。</x:v>
      </x:c>
      <x:c r="I42" s="20" t="str">
        <x:v>DEC17：状态与恢复分支；仅使用本批已批准材料，不调用模型作为本表生成步骤。</x:v>
      </x:c>
      <x:c r="J42" s="20" t="str">
        <x:v>通用规范补充</x:v>
      </x:c>
      <x:c r="K42" s="20" t="str">
        <x:v>—</x:v>
      </x:c>
      <x:c r="L42" s="20" t="str">
        <x:v>SPEC §2.1 AI辅助透明、§2.2.2生成/确认/执行；REQ §6.1 AI建档；流程分支DEC17。</x:v>
      </x:c>
    </x:row>
    <x:row r="43" ht="55" customHeight="1">
      <x:c r="A43" s="20" t="str">
        <x:v>UI38</x:v>
      </x:c>
      <x:c r="B43" s="20" t="str">
        <x:v>上传材料</x:v>
      </x:c>
      <x:c r="C43" s="20" t="str">
        <x:v>格式大小、进度、取消与重试</x:v>
      </x:c>
      <x:c r="D43" s="20" t="str">
        <x:v>1.3；5.2；5.4</x:v>
      </x:c>
      <x:c r="E43" s="20" t="str">
        <x:v>按确认的类型/上限构造合法、边界、超限文件；检查限制预告、上传进度、取消、失败重试及预览；附件删除仅在批准范围执行。</x:v>
      </x:c>
      <x:c r="F43" s="20" t="str">
        <x:v>类型/上限提前说明；上传可取消、失败可重试、长任务有进度，非法文件明确原因。图片缩略图与普通附件分开；不把10MB示例定为项目上限。</x:v>
      </x:c>
      <x:c r="G43" s="20" t="str">
        <x:v>文件名/类型/字节数；上传状态录屏；取消/重试对象及结果。</x:v>
      </x:c>
      <x:c r="H43" s="20" t="str">
        <x:v>补限制文案、进度和恢复入口；修正静默丢弃、重试串文件及预览变形。</x:v>
      </x:c>
      <x:c r="I43" s="20" t="str">
        <x:v>DEC17：项目类型、大小边界及允许的附件操作。</x:v>
      </x:c>
      <x:c r="J43" s="20" t="str">
        <x:v>通用规范补充</x:v>
      </x:c>
      <x:c r="K43" s="20" t="str">
        <x:v>—</x:v>
      </x:c>
      <x:c r="L43" s="20" t="str">
        <x:v>SPEC §5.6 Upload交互规则／禁止项；项目材料格式大小仍由DEC17确认。</x:v>
      </x:c>
    </x:row>
    <x:row r="44" ht="55" customHeight="1">
      <x:c r="A44" s="20" t="str">
        <x:v>UI39</x:v>
      </x:c>
      <x:c r="B44" s="20" t="str">
        <x:v>通用色彩与图标</x:v>
      </x:c>
      <x:c r="C44" s="20" t="str">
        <x:v>背景、语义色、圆角与图标</x:v>
      </x:c>
      <x:c r="D44" s="20" t="str">
        <x:v>5.1；5.5</x:v>
      </x:c>
      <x:c r="E44" s="20" t="str">
        <x:v>在页面/卡片/表单/Drawer抽取背景、字体、状态色、圆角及图标；逐个与对应token和批准图标库对照，不仅目测。</x:v>
      </x:c>
      <x:c r="F44" s="20" t="str">
        <x:v>页面/容器采用对应背景与圆角；状态同时用颜色和文字，Warning/Success/Error不混淆；图标尺寸与语义一致。具体数值按§3及组件表。</x:v>
      </x:c>
      <x:c r="G44" s="20" t="str">
        <x:v>computed style与token表；组件各状态截图；图标来源。</x:v>
      </x:c>
      <x:c r="H44" s="20" t="str">
        <x:v>统一设计token和批准图标；纠正状态色误用及过多自定义圆角。</x:v>
      </x:c>
      <x:c r="I44" s="20" t="str">
        <x:v>SPEC §3.1/3.4/3.7/5.12；emoji限制按局部Review范围。</x:v>
      </x:c>
      <x:c r="J44" s="20" t="str">
        <x:v>通用规范补充</x:v>
      </x:c>
      <x:c r="K44" s="20" t="str">
        <x:v>—</x:v>
      </x:c>
      <x:c r="L44" s="20" t="str">
        <x:v>SPEC §3.1/3.4/3.7/5.12；语义/中性/图标表及圆角表jYqjvY已只读复核；详情emoji为Review UI18局部采纳项。</x:v>
      </x:c>
    </x:row>
    <x:row r="45" ht="55" customHeight="1">
      <x:c r="A45" s="20" t="str">
        <x:v>UI40</x:v>
      </x:c>
      <x:c r="B45" s="20" t="str">
        <x:v>布局与表单规格</x:v>
      </x:c>
      <x:c r="C45" s="20" t="str">
        <x:v>页头类型、输入高度与错误定位</x:v>
      </x:c>
      <x:c r="D45" s="20" t="str">
        <x:v>1.1；5.1；5.2</x:v>
      </x:c>
      <x:c r="E45" s="20" t="str">
        <x:v>选择不同页头模板量测布局；逐字段检查输入高度、必填标识、错误出现位置与修正反馈；比较本批支持的设备变体。</x:v>
      </x:c>
      <x:c r="F45" s="20" t="str">
        <x:v>Header56px，侧栏展开220px/折叠56px，内容24px；页头按模板选120/94/68px，94px与4倍数冲突先确认。输入32/36/44px仅对应支持端。</x:v>
      </x:c>
      <x:c r="G45" s="20" t="str">
        <x:v>模板名称；布局与输入量测；必填/错误截图。</x:v>
      </x:c>
      <x:c r="H45" s="20" t="str">
        <x:v>按模板修正页头和输入规格；统一必填及错误定位，不全站统一改成44px输入。</x:v>
      </x:c>
      <x:c r="I45" s="20" t="str">
        <x:v>DEC18：页头源内冲突与触达口径；明确设备支持范围。</x:v>
      </x:c>
      <x:c r="J45" s="20" t="str">
        <x:v>通用规范补充</x:v>
      </x:c>
      <x:c r="K45" s="20" t="str">
        <x:v>—</x:v>
      </x:c>
      <x:c r="L45" s="20" t="str">
        <x:v>SPEC §4.1/4.2/4.5/5.7；内嵌0rCax8、rMn4wf、UXf6DG。页头94px与4倍数说明冲突纳入DEC18。</x:v>
      </x:c>
    </x:row>
    <x:row r="46" ht="55" customHeight="1">
      <x:c r="A46" s="20" t="str">
        <x:v>UI41</x:v>
      </x:c>
      <x:c r="B46" s="20" t="str">
        <x:v>关联字段展示</x:v>
      </x:c>
      <x:c r="C46" s="20" t="str">
        <x:v>关联ID、名称与编码跨视图一致性</x:v>
      </x:c>
      <x:c r="D46" s="20" t="str">
        <x:v>5.2；5.5</x:v>
      </x:c>
      <x:c r="E46" s="20" t="str">
        <x:v>用同一对象对照列表、详情和编辑中的关联字段及枚举；核label、内部ID、编码与名称，必要时对照接口数据。</x:v>
      </x:c>
      <x:c r="F46" s="20" t="str">
        <x:v>显示值与标题和真实关联对应批准映射；名称字段不误显示内部ID。数字ID本身不证明关联错，需先确认字段含义。</x:v>
      </x:c>
      <x:c r="G46" s="20" t="str">
        <x:v>同对象三处截图；对象ID/关联ID；批准标签映射。</x:v>
      </x:c>
      <x:c r="H46" s="20" t="str">
        <x:v>按映射统一display label；修正关联字段内部ID裸露、错名及跨视图不一致。</x:v>
      </x:c>
      <x:c r="I46" s="20" t="str">
        <x:v>DEC18：批准标签映射；网站旧观察待本批复核。</x:v>
      </x:c>
      <x:c r="J46" s="20" t="str">
        <x:v>通用规范补充</x:v>
      </x:c>
      <x:c r="K46" s="20" t="str">
        <x:v>—</x:v>
      </x:c>
      <x:c r="L46" s="20" t="str">
        <x:v>网站WEB08—10，2026-10-12；SPEC字段可读性/空值；具体批准标签映射依DEC18；URL见网站详情对照。</x:v>
      </x:c>
    </x:row>
    <x:row r="47" ht="55" customHeight="1">
      <x:c r="A47" s="20" t="str">
        <x:v>UI42</x:v>
      </x:c>
      <x:c r="B47" s="20" t="str">
        <x:v>全局行内编辑</x:v>
      </x:c>
      <x:c r="C47" s="20" t="str">
        <x:v>行内编辑组件、状态与数据保护</x:v>
      </x:c>
      <x:c r="D47" s="20" t="str">
        <x:v>2.3；4.2；5.4</x:v>
      </x:c>
      <x:c r="E47" s="20" t="str">
        <x:v>先补齐行内编辑规范，再按查看→进入编辑→合法/非法→保存/取消→失败恢复逐态验证；测试另一行时核对象隔离。</x:v>
      </x:c>
      <x:c r="F47" s="20" t="str">
        <x:v>仅批准可编辑字段进入编辑；取消不写入，保存反馈与读回一致，失败不假成功或串行写入。失焦/Enter/Esc/即时提交行为须DEC30明确。</x:v>
      </x:c>
      <x:c r="G47" s="20" t="str">
        <x:v>批准状态矩阵；逐态录屏；字段/行ID；请求与读回。</x:v>
      </x:c>
      <x:c r="H47" s="20" t="str">
        <x:v>先补组件规范与边界，再修正样式、保存/取消及失败恢复。</x:v>
      </x:c>
      <x:c r="I47" s="20" t="str">
        <x:v>DEC30：当前Review没有具体问题/建议正文；不得自定交互契约。</x:v>
      </x:c>
      <x:c r="J47" s="20" t="str">
        <x:v>🔴 无法覆盖</x:v>
      </x:c>
      <x:c r="K47" s="20" t="str">
        <x:v>修改中</x:v>
      </x:c>
      <x:c r="L47" s="20" t="str">
        <x:v>REVIEW review-294de09d51；本次读取rev642；采纳范围和决策见验收前待明确。</x:v>
      </x:c>
    </x:row>
  </x:sheetData>
  <x:pageMargins left="0.7" right="0.7" top="0.75" bottom="0.75" header="0.3" footer="0.3"/>
  <x:tableParts count="1">
    <x:tablePart xmlns:r="http://schemas.openxmlformats.org/officeDocument/2006/relationships" r:id="R36af2f3086ac4d6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8" hidden="0" customWidth="1"/>
    <x:col min="4" max="4" width="19" hidden="0" customWidth="1"/>
    <x:col min="5" max="5" width="39" hidden="0" customWidth="1"/>
    <x:col min="6" max="6" width="49" hidden="0" customWidth="1"/>
    <x:col min="7" max="7" width="49" hidden="0" customWidth="1"/>
    <x:col min="8" max="8" width="37" hidden="0" customWidth="1"/>
    <x:col min="9" max="9" width="42" hidden="0" customWidth="1"/>
    <x:col min="10" max="10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3" t="str">
        <x:v>建议展开的交互验证 case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5" t="str">
        <x:v>INT01—INT10用于展开现有检查点；仅纳入本批已交付能力，功能不存在或契约未明确时先记录范围/待确认。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6" customHeight="1">
      <x:c r="A5" s="17" t="str">
        <x:v>建议case</x:v>
      </x:c>
      <x:c r="B5" s="18" t="str">
        <x:v>关联原case</x:v>
      </x:c>
      <x:c r="C5" s="18" t="str">
        <x:v>验证场景</x:v>
      </x:c>
      <x:c r="D5" s="18" t="str">
        <x:v>公共库章节</x:v>
      </x:c>
      <x:c r="E5" s="18" t="str">
        <x:v>前置条件</x:v>
      </x:c>
      <x:c r="F5" s="18" t="str">
        <x:v>步骤与测试数据</x:v>
      </x:c>
      <x:c r="G5" s="18" t="str">
        <x:v>预期表现</x:v>
      </x:c>
      <x:c r="H5" s="18" t="str">
        <x:v>取证建议</x:v>
      </x:c>
      <x:c r="I5" s="18" t="str">
        <x:v>确认偏差后的修改建议</x:v>
      </x:c>
      <x:c r="J5" s="19" t="str">
        <x:v>当前状态</x:v>
      </x:c>
    </x:row>
    <x:row r="6" ht="55" customHeight="1">
      <x:c r="A6" s="20" t="str">
        <x:v>INT01</x:v>
      </x:c>
      <x:c r="B6" s="20" t="str">
        <x:v>UI11</x:v>
      </x:c>
      <x:c r="C6" s="20" t="str">
        <x:v>分页边界与非法跳页</x:v>
      </x:c>
      <x:c r="D6" s="20" t="str">
        <x:v>3.1；3.2</x:v>
      </x:c>
      <x:c r="E6" s="20" t="str">
        <x:v>本批列表已交付；默认页大小N及跳页能力已确认</x:v>
      </x:c>
      <x:c r="F6" s="20" t="str">
        <x:v>准备0、1、N、N+1和2N+1条；遍历首页/中间/尾页；切换页大小；有跳页输入时测0、负数、小数、超总页数。</x:v>
      </x:c>
      <x:c r="G6" s="20" t="str">
        <x:v>总数/页数/记录正确，首页尾页禁用态正确；非法输入明确纠正或提示。零记录总页数=0仅在项目采纳后作为门槛。</x:v>
      </x:c>
      <x:c r="H6" s="20" t="str">
        <x:v>数据集数量、页码/总数截图、切页录屏、请求参数</x:v>
      </x:c>
      <x:c r="I6" s="20" t="str">
        <x:v>修正分页边界、禁用和纠错；不对不存在的跳页输入增设功能。</x:v>
      </x:c>
      <x:c r="J6" s="20" t="str">
        <x:v>建议新增，未执行</x:v>
      </x:c>
    </x:row>
    <x:row r="7" ht="55" customHeight="1">
      <x:c r="A7" s="20" t="str">
        <x:v>INT02</x:v>
      </x:c>
      <x:c r="B7" s="20" t="str">
        <x:v>UI09、UI10、UI11</x:v>
      </x:c>
      <x:c r="C7" s="20" t="str">
        <x:v>排序状态与跨页保持</x:v>
      </x:c>
      <x:c r="D7" s="20" t="str">
        <x:v>3.2；5.4</x:v>
      </x:c>
      <x:c r="E7" s="20" t="str">
        <x:v>确认可排序字段、升/降/取消顺序、默认排序及是否支持多列</x:v>
      </x:c>
      <x:c r="F7" s="20" t="str">
        <x:v>在含相同值的样本中切换单列升/降/取消；翻页、切页大小、清空筛选后核排序图标与实际数据。多列仅在已交付时测。</x:v>
      </x:c>
      <x:c r="G7" s="20" t="str">
        <x:v>图标、参数与实际顺序一致，翻页保持已选排序；取消恢复批准默认。相同值次序按批准稳定规则，不自行指定ID次序。</x:v>
      </x:c>
      <x:c r="H7" s="20" t="str">
        <x:v>排序前后数据与图标、请求参数、跨页录屏</x:v>
      </x:c>
      <x:c r="I7" s="20" t="str">
        <x:v>修正排序方向、默认恢复及跨页丢失；未规划排序能力记不适用。</x:v>
      </x:c>
      <x:c r="J7" s="20" t="str">
        <x:v>建议新增，未执行</x:v>
      </x:c>
    </x:row>
    <x:row r="8" ht="55" customHeight="1">
      <x:c r="A8" s="20" t="str">
        <x:v>INT03</x:v>
      </x:c>
      <x:c r="B8" s="20" t="str">
        <x:v>UI09、UI11</x:v>
      </x:c>
      <x:c r="C8" s="20" t="str">
        <x:v>组合筛选、跨页与重置</x:v>
      </x:c>
      <x:c r="D8" s="20" t="str">
        <x:v>2.2；3.2；5.4</x:v>
      </x:c>
      <x:c r="E8" s="20" t="str">
        <x:v>确认AND/OR、默认条件、筛选适用区域、重置后页码</x:v>
      </x:c>
      <x:c r="F8" s="20" t="str">
        <x:v>设置单条件和组合条件；进入后续页再变更条件；清空/重置；区分无结果和真实无数据；主列表与详情子表分别执行。</x:v>
      </x:c>
      <x:c r="G8" s="20" t="str">
        <x:v>字段值、查询参数和结果一致；翻页保持筛选；重置恢复批准默认条件与有效页码，不混入旧响应。</x:v>
      </x:c>
      <x:c r="H8" s="20" t="str">
        <x:v>条件/结果同屏、请求时序、主子表作用域</x:v>
      </x:c>
      <x:c r="I8" s="20" t="str">
        <x:v>修正条件组合、重置、页码恢复和旧响应覆盖。</x:v>
      </x:c>
      <x:c r="J8" s="20" t="str">
        <x:v>建议新增，未执行</x:v>
      </x:c>
    </x:row>
    <x:row r="9" ht="55" customHeight="1">
      <x:c r="A9" s="20" t="str">
        <x:v>INT04</x:v>
      </x:c>
      <x:c r="B9" s="20" t="str">
        <x:v>UI17、UI18、UI35、UI42</x:v>
      </x:c>
      <x:c r="C9" s="20" t="str">
        <x:v>取消、返回与未保存输入</x:v>
      </x:c>
      <x:c r="D9" s="20" t="str">
        <x:v>2.3；5.4</x:v>
      </x:c>
      <x:c r="E9" s="20" t="str">
        <x:v>确认哪些输入需退出提醒、哪些上下文需保留；使用允许的测试对象</x:v>
      </x:c>
      <x:c r="F9" s="20" t="str">
        <x:v>打开编辑修改未保存字段后取消；再次打开核原值；分别测试返回/关闭/刷新；存在退出确认时检查继续编辑及放弃。</x:v>
      </x:c>
      <x:c r="G9" s="20" t="str">
        <x:v>取消不写入；返回保持批准的列表上下文；存在退出保护时正确提示。草稿保存/自动恢复只有明确交付后才验收。</x:v>
      </x:c>
      <x:c r="H9" s="20" t="str">
        <x:v>取消前后原值、URL/条件、录屏；有写入风险时请求与读回</x:v>
      </x:c>
      <x:c r="I9" s="20" t="str">
        <x:v>修正取消写入和返回错位；按批准规则补退出提醒。</x:v>
      </x:c>
      <x:c r="J9" s="20" t="str">
        <x:v>建议新增，未执行</x:v>
      </x:c>
    </x:row>
    <x:row r="10" ht="55" customHeight="1">
      <x:c r="A10" s="20" t="str">
        <x:v>INT05</x:v>
      </x:c>
      <x:c r="B10" s="20" t="str">
        <x:v>UI25、UI31、UI40</x:v>
      </x:c>
      <x:c r="C10" s="20" t="str">
        <x:v>字段错误定位与修正</x:v>
      </x:c>
      <x:c r="D10" s="20" t="str">
        <x:v>1.1；1.2；5.2；5.4</x:v>
      </x:c>
      <x:c r="E10" s="20" t="str">
        <x:v>确认必填、长度/数值范围、校验时机及只读字段</x:v>
      </x:c>
      <x:c r="F10" s="20" t="str">
        <x:v>空值/空格、边界外、合法值逐字段验证；观察失焦或保存时错误；修正后重新操作，检查焦点、邻近提示和滚动可达。</x:v>
      </x:c>
      <x:c r="G10" s="20" t="str">
        <x:v>校验与字段对应、可理解、可修正；只读保持保护；修正后错误清除。未定义时机/范围先待确认。</x:v>
      </x:c>
      <x:c r="H10" s="20" t="str">
        <x:v>字段规则矩阵、错误前后截图、焦点/滚动录屏</x:v>
      </x:c>
      <x:c r="I10" s="20" t="str">
        <x:v>补就近错误、正确触发与消除；修正错误落错字段。</x:v>
      </x:c>
      <x:c r="J10" s="20" t="str">
        <x:v>建议新增，未执行</x:v>
      </x:c>
    </x:row>
    <x:row r="11" ht="55" customHeight="1">
      <x:c r="A11" s="20" t="str">
        <x:v>INT06</x:v>
      </x:c>
      <x:c r="B11" s="20" t="str">
        <x:v>UI28、UI35、UI37、UI42</x:v>
      </x:c>
      <x:c r="C11" s="20" t="str">
        <x:v>处理中防重与结果反馈</x:v>
      </x:c>
      <x:c r="D11" s="20" t="str">
        <x:v>2.1；4.3；5.4</x:v>
      </x:c>
      <x:c r="E11" s="20" t="str">
        <x:v>批准的可写测试环境/数据；确认允许的重复触发测试</x:v>
      </x:c>
      <x:c r="F11" s="20" t="str">
        <x:v>使用可控慢响应观察loading/禁用；尝试连点，记录提交次数；成功与失败分别结束；成功后用唯一对象ID读回。</x:v>
      </x:c>
      <x:c r="G11" s="20" t="str">
        <x:v>处理中反馈即时且防重；成功/失败反馈与实际结果一致。前端一次请求与后端一次生效分别判定，不用toast证明持久化。</x:v>
      </x:c>
      <x:c r="H11" s="20" t="str">
        <x:v>请求次数/时序、按钮状态录屏、对象读回</x:v>
      </x:c>
      <x:c r="I11" s="20" t="str">
        <x:v>修正按钮禁用/解禁、重复反馈和重复写入；涉及后端幂等转对应负责人。</x:v>
      </x:c>
      <x:c r="J11" s="20" t="str">
        <x:v>建议新增，未执行</x:v>
      </x:c>
    </x:row>
    <x:row r="12" ht="55" customHeight="1">
      <x:c r="A12" s="20" t="str">
        <x:v>INT07</x:v>
      </x:c>
      <x:c r="B12" s="20" t="str">
        <x:v>UI23、UI38、UI42</x:v>
      </x:c>
      <x:c r="C12" s="20" t="str">
        <x:v>网络/接口失败与重试恢复</x:v>
      </x:c>
      <x:c r="D12" s="20" t="str">
        <x:v>4.2；5.2；5.4；5.5</x:v>
      </x:c>
      <x:c r="E12" s="20" t="str">
        <x:v>批准可控异常触发方法；确认输入保留和重试语义</x:v>
      </x:c>
      <x:c r="F12" s="20" t="str">
        <x:v>分别触发断网、超时、可控接口错误；观察局部/整页提示、输入保留、按钮恢复和重试；结果未知时先查状态再决定重试。</x:v>
      </x:c>
      <x:c r="G12" s="20" t="str">
        <x:v>提示可理解并给下一步；无堆栈泄露、假成功或永久loading；重试目标正确。结果未知的写操作不盲目自动重放。</x:v>
      </x:c>
      <x:c r="H12" s="20" t="str">
        <x:v>异常响应、状态录屏、恢复步骤、重试前后对象核对</x:v>
      </x:c>
      <x:c r="I12" s="20" t="str">
        <x:v>按异常类型补文案与恢复入口；修正错误后失去输入或不可重试。</x:v>
      </x:c>
      <x:c r="J12" s="20" t="str">
        <x:v>建议新增，未执行</x:v>
      </x:c>
    </x:row>
    <x:row r="13" ht="55" customHeight="1">
      <x:c r="A13" s="20" t="str">
        <x:v>INT08</x:v>
      </x:c>
      <x:c r="B13" s="20" t="str">
        <x:v>UI25、UI34、UI35</x:v>
      </x:c>
      <x:c r="C13" s="20" t="str">
        <x:v>键盘核心路径与焦点</x:v>
      </x:c>
      <x:c r="D13" s="20" t="str">
        <x:v>5.3；5.4</x:v>
      </x:c>
      <x:c r="E13" s="20" t="str">
        <x:v>核心键盘路径和目标组件已确认；Tabs按§5.17执行</x:v>
      </x:c>
      <x:c r="F13" s="20" t="str">
        <x:v>仅用键盘进入页面、字段、选项及已交付动作；打开/关闭弹层观察焦点；Tabs测左右键/Home/End/Tab与aria-selected。</x:v>
      </x:c>
      <x:c r="G13" s="20" t="str">
        <x:v>焦点可见且顺序合理，核心动作可达；Tabs符合规范。Enter/Esc、Ctrl+S/F等快捷键仅按批准契约验收，不默认新增。</x:v>
      </x:c>
      <x:c r="H13" s="20" t="str">
        <x:v>键盘录屏、焦点位置、role/aria及操作结果</x:v>
      </x:c>
      <x:c r="I13" s="20" t="str">
        <x:v>补正确焦点、可访问名称与键盘处理；修正焦点陷入不可操作区。</x:v>
      </x:c>
      <x:c r="J13" s="20" t="str">
        <x:v>建议新增，未执行</x:v>
      </x:c>
    </x:row>
    <x:row r="14" ht="55" customHeight="1">
      <x:c r="A14" s="20" t="str">
        <x:v>INT09</x:v>
      </x:c>
      <x:c r="B14" s="20" t="str">
        <x:v>UI15、UI21、UI28</x:v>
      </x:c>
      <x:c r="C14" s="20" t="str">
        <x:v>危险操作确认与影响范围</x:v>
      </x:c>
      <x:c r="D14" s="20" t="str">
        <x:v>2.4；2.5；5.4</x:v>
      </x:c>
      <x:c r="E14" s="20" t="str">
        <x:v>本批危险操作及取消/确认语义明确；允许的测试数据</x:v>
      </x:c>
      <x:c r="F14" s="20" t="str">
        <x:v>单条/批量打开确认，不先执行；核操作名、对象、数量及不可逆影响；取消后读回。正式执行仅在测试授权范围验证。</x:v>
      </x:c>
      <x:c r="G14" s="20" t="str">
        <x:v>风险与作用范围可理解；取消不变更；确认后反馈与读回一致。撤销/回收站仅明确交付时纳入。</x:v>
      </x:c>
      <x:c r="H14" s="20" t="str">
        <x:v>确认对话截图、选择对象集合、取消/确认读回</x:v>
      </x:c>
      <x:c r="I14" s="20" t="str">
        <x:v>补明确风险和对象范围；修正按钮歧义或取消仍执行。</x:v>
      </x:c>
      <x:c r="J14" s="20" t="str">
        <x:v>建议新增，未执行</x:v>
      </x:c>
    </x:row>
    <x:row r="15" ht="55" customHeight="1">
      <x:c r="A15" s="20" t="str">
        <x:v>INT10</x:v>
      </x:c>
      <x:c r="B15" s="20" t="str">
        <x:v>UI04、UI23、UI28、UI39</x:v>
      </x:c>
      <x:c r="C15" s="20" t="str">
        <x:v>成功/警告/错误多通道反馈</x:v>
      </x:c>
      <x:c r="D15" s="20" t="str">
        <x:v>5.2；5.5</x:v>
      </x:c>
      <x:c r="E15" s="20" t="str">
        <x:v>批准语义色、图标与反馈文案；可触发的状态明确</x:v>
      </x:c>
      <x:c r="F15" s="20" t="str">
        <x:v>分别触发成功、警告、错误、禁用与无结果；核色、图标、文字以及下一步；检查不依赖颜色即可理解。</x:v>
      </x:c>
      <x:c r="G15" s="20" t="str">
        <x:v>语义一致、能理解状态及恢复方式，不用单一颜色；消息消失后仍能确认必要业务结果，不暴露技术堆栈。</x:v>
      </x:c>
      <x:c r="H15" s="20" t="str">
        <x:v>同控件多状态截图、文案、必要对象读回</x:v>
      </x:c>
      <x:c r="I15" s="20" t="str">
        <x:v>统一状态组件，补文字/图标和恢复信息，避免警告当成功。</x:v>
      </x:c>
      <x:c r="J15" s="20" t="str">
        <x:v>建议新增，未执行</x:v>
      </x:c>
    </x:row>
  </x:sheetData>
  <x:pageMargins left="0.7" right="0.7" top="0.75" bottom="0.75" header="0.3" footer="0.3"/>
  <x:tableParts count="1">
    <x:tablePart xmlns:r="http://schemas.openxmlformats.org/officeDocument/2006/relationships" r:id="R60713214a3c6429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45" hidden="0" customWidth="1"/>
    <x:col min="5" max="5" width="23" hidden="0" customWidth="1"/>
    <x:col min="6" max="6" width="40" hidden="0" customWidth="1"/>
    <x:col min="7" max="7" width="40" hidden="0" customWidth="1"/>
    <x:col min="8" max="8" width="45" hidden="0" customWidth="1"/>
    <x:col min="9" max="9" width="15" hidden="0" customWidth="1"/>
    <x:col min="10" max="10" width="19" hidden="0" customWidth="1"/>
    <x:col min="11" max="11" width="17" hidden="0" customWidth="1"/>
    <x:col min="12" max="12" width="19" hidden="0" customWidth="1"/>
    <x:col min="13" max="13" width="45" hidden="0" customWidth="1"/>
    <x:col min="14" max="14" width="38" hidden="0" customWidth="1"/>
    <x:col min="15" max="15" width="29" hidden="0" customWidth="1"/>
    <x:col min="16" max="16" width="18" hidden="0" customWidth="1"/>
    <x:col min="17" max="17" width="16" hidden="0" customWidth="1"/>
    <x:col min="18" max="18" width="18" hidden="0" customWidth="1"/>
    <x:col min="19" max="19" width="17" hidden="0" customWidth="1"/>
    <x:col min="20" max="20" width="2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9" customHeight="1">
      <x:c r="A2" s="3" t="str">
        <x:v>前端页面修改清单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3" customHeight="1">
      <x:c r="A3" s="5" t="str">
        <x:v>21条原型Review待验证项；黄色区域填写本批走查结果。页首统计随走查结论更新，来源状态与实测结论分别记录。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2" t="str">
        <x:v>待走查</x:v>
      </x:c>
      <x:c r="B4" s="23" t="n">
        <x:f>COUNTIF(L6:L26,"未走查")</x:f>
        <x:v>20</x:v>
      </x:c>
      <x:c r="C4" s="22" t="str">
        <x:v>规范待确认</x:v>
      </x:c>
      <x:c r="D4" s="23" t="n">
        <x:f>COUNTIF(L6:L26,"规范待确认")</x:f>
        <x:v>1</x:v>
      </x:c>
      <x:c r="E4" s="22" t="str">
        <x:v>偏差标记</x:v>
      </x:c>
      <x:c r="F4" s="23" t="n">
        <x:f>COUNTIF(L6:L26,"已确认偏差")</x:f>
        <x:v>0</x:v>
      </x:c>
      <x:c r="G4" s="22" t="str">
        <x:v>符合</x:v>
      </x:c>
      <x:c r="H4" s="23" t="n">
        <x:f>COUNTIF(L6:L26,"符合")</x:f>
        <x:v>0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17" t="str">
        <x:v>清单ID</x:v>
      </x:c>
      <x:c r="B5" s="18" t="str">
        <x:v>关联case</x:v>
      </x:c>
      <x:c r="C5" s="18" t="str">
        <x:v>页面/模块</x:v>
      </x:c>
      <x:c r="D5" s="18" t="str">
        <x:v>Review关注点（待实测）</x:v>
      </x:c>
      <x:c r="E5" s="18" t="str">
        <x:v>Review记录ID</x:v>
      </x:c>
      <x:c r="F5" s="18" t="str">
        <x:v>批准依据/待决事项</x:v>
      </x:c>
      <x:c r="G5" s="18" t="str">
        <x:v>修改建议</x:v>
      </x:c>
      <x:c r="H5" s="18" t="str">
        <x:v>复测验收标准</x:v>
      </x:c>
      <x:c r="I5" s="18" t="str">
        <x:v>来源优先级</x:v>
      </x:c>
      <x:c r="J5" s="18" t="str">
        <x:v>建议处理角色</x:v>
      </x:c>
      <x:c r="K5" s="18" t="str">
        <x:v>来源确认状态</x:v>
      </x:c>
      <x:c r="L5" s="18" t="str">
        <x:v>走查结论</x:v>
      </x:c>
      <x:c r="M5" s="18" t="str">
        <x:v>实际表现/不适用原因</x:v>
      </x:c>
      <x:c r="N5" s="18" t="str">
        <x:v>证据链接/定位</x:v>
      </x:c>
      <x:c r="O5" s="18" t="str">
        <x:v>本批批准基线</x:v>
      </x:c>
      <x:c r="P5" s="18" t="str">
        <x:v>责任人</x:v>
      </x:c>
      <x:c r="Q5" s="18" t="str">
        <x:v>实测级别</x:v>
      </x:c>
      <x:c r="R5" s="18" t="str">
        <x:v>处理状态</x:v>
      </x:c>
      <x:c r="S5" s="18" t="str">
        <x:v>复测结论</x:v>
      </x:c>
      <x:c r="T5" s="19" t="str">
        <x:v>记录完整性</x:v>
      </x:c>
    </x:row>
    <x:row r="6" ht="55" customHeight="1">
      <x:c r="A6" s="20" t="str">
        <x:v>M01</x:v>
      </x:c>
      <x:c r="B6" s="20" t="str">
        <x:v>UI01</x:v>
      </x:c>
      <x:c r="C6" s="20" t="str">
        <x:v>基础配置</x:v>
      </x:c>
      <x:c r="D6" s="20" t="str">
        <x:v>当前“基础配置”页面同时承载“主数据 / 计价底座”两类内容及其下属选项，信息层级较多，现有框架难以清晰承载该场景。</x:v>
      </x:c>
      <x:c r="E6" s="20" t="str">
        <x:v>review-67fb39add5</x:v>
      </x:c>
      <x:c r="F6" s="20" t="str">
        <x:v>DEC01：获取专项稿、采纳结论和版本；UI01 来源已设计完毕，但尚需本批批准依据。</x:v>
      </x:c>
      <x:c r="G6" s="20" t="str">
        <x:v>按批准方案调整分类组件、层级和新增入口；修正切换后标题/列表/新增目标不同步。</x:v>
      </x:c>
      <x:c r="H6" s="20" t="str">
        <x:v>一级分类、子项与列表所属对象一致；新增作用于当前对象。是否采用页头 Tabs、列表右上新增，以批准专项稿为准；能切换对象不足以证明布局合规。</x:v>
      </x:c>
      <x:c r="I6" s="20" t="str">
        <x:v>P0</x:v>
      </x:c>
      <x:c r="J6" s="20" t="str">
        <x:v>UI</x:v>
      </x:c>
      <x:c r="K6" s="20" t="str">
        <x:v>设计完毕</x:v>
      </x:c>
      <x:c r="L6" s="21" t="str">
        <x:v>未走查</x:v>
      </x:c>
      <x:c r="M6" s="21"/>
      <x:c r="N6" s="21"/>
      <x:c r="O6" s="21"/>
      <x:c r="P6" s="21"/>
      <x:c r="Q6" s="21" t="str">
        <x:v>待定</x:v>
      </x:c>
      <x:c r="R6" s="21" t="str">
        <x:v>待验证</x:v>
      </x:c>
      <x:c r="S6" s="21" t="str">
        <x:v>未执行</x:v>
      </x:c>
      <x:c r="T6" s="20" t="str">
        <x:f>IF(L6="已确认偏差",IF(OR(LEN(TRIM(M6))=0,LEN(TRIM(N6))=0,LEN(TRIM(O6))=0),"待补实际/证据/基线",IF(AND(R6="已关闭",S6&lt;&gt;"通过"),"关闭需复测通过",IF(OR(Q6="待定",LEN(TRIM(Q6))=0),"已确认，待定级",IF(LEN(TRIM(P6))=0,"已确认，待分配","可交付修改项")))),IF(L6="符合",IF(OR(LEN(TRIM(N6))=0,LEN(TRIM(O6))=0),"符合需补证据/基线","符合已留证"),IF(L6="规范待确认","待明确规范",IF(L6="不适用",IF(LEN(TRIM(M6))=0,"不适用需写原因","不适用已注明"),"待走查"))))</x:f>
        <x:v>待走查</x:v>
      </x:c>
    </x:row>
    <x:row r="7" ht="55" customHeight="1">
      <x:c r="A7" s="20" t="str">
        <x:v>M02</x:v>
      </x:c>
      <x:c r="B7" s="20" t="str">
        <x:v>UI02</x:v>
      </x:c>
      <x:c r="C7" s="20" t="str">
        <x:v>左侧菜单</x:v>
      </x:c>
      <x:c r="D7" s="20" t="str">
        <x:v>原方案将二级分类调整为不可点击的分组标题，但实际呈现中分类层级区分不够明显，且不利于多层级菜单的导航管理。</x:v>
      </x:c>
      <x:c r="E7" s="20" t="str">
        <x:v>review-4122ab1853</x:v>
      </x:c>
      <x:c r="F7" s="20" t="str">
        <x:v>批准导航专项稿及例外；当前来源已设计完毕不代表系统完成。</x:v>
      </x:c>
      <x:c r="G7" s="20" t="str">
        <x:v>分别修正选中导航与手动展开的状态逻辑，保留当前路径高亮。</x:v>
      </x:c>
      <x:c r="H7" s="20" t="str">
        <x:v>跨分类选择子菜单时自动收起其他分类；手动操作允许多个分类同时展开；当前子菜单高亮且父分类展开。不得仅用默认手风琴行为代替。</x:v>
      </x:c>
      <x:c r="I7" s="20" t="str">
        <x:v>P1</x:v>
      </x:c>
      <x:c r="J7" s="20" t="str">
        <x:v>UI</x:v>
      </x:c>
      <x:c r="K7" s="20" t="str">
        <x:v>设计完毕</x:v>
      </x:c>
      <x:c r="L7" s="21" t="str">
        <x:v>未走查</x:v>
      </x:c>
      <x:c r="M7" s="21"/>
      <x:c r="N7" s="21"/>
      <x:c r="O7" s="21"/>
      <x:c r="P7" s="21"/>
      <x:c r="Q7" s="21" t="str">
        <x:v>待定</x:v>
      </x:c>
      <x:c r="R7" s="21" t="str">
        <x:v>待验证</x:v>
      </x:c>
      <x:c r="S7" s="21" t="str">
        <x:v>未执行</x:v>
      </x:c>
      <x:c r="T7" s="20" t="str">
        <x:f>IF(L7="已确认偏差",IF(OR(LEN(TRIM(M7))=0,LEN(TRIM(N7))=0,LEN(TRIM(O7))=0),"待补实际/证据/基线",IF(AND(R7="已关闭",S7&lt;&gt;"通过"),"关闭需复测通过",IF(OR(Q7="待定",LEN(TRIM(Q7))=0),"已确认，待定级",IF(LEN(TRIM(P7))=0,"已确认，待分配","可交付修改项")))),IF(L7="符合",IF(OR(LEN(TRIM(N7))=0,LEN(TRIM(O7))=0),"符合需补证据/基线","符合已留证"),IF(L7="规范待确认","待明确规范",IF(L7="不适用",IF(LEN(TRIM(M7))=0,"不适用需写原因","不适用已注明"),"待走查"))))</x:f>
        <x:v>待走查</x:v>
      </x:c>
    </x:row>
    <x:row r="8" ht="82" customHeight="1">
      <x:c r="A8" s="20" t="str">
        <x:v>M03</x:v>
      </x:c>
      <x:c r="B8" s="20" t="str">
        <x:v>UI03</x:v>
      </x:c>
      <x:c r="C8" s="20" t="str">
        <x:v>服务单元</x:v>
      </x:c>
      <x:c r="D8" s="20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E8" s="20" t="str">
        <x:v>review-24220c26b9</x:v>
      </x:c>
      <x:c r="F8" s="20" t="str">
        <x:v>DEC22：数量反馈与业务要求冲突；确认跨页、取消及保存语义。</x:v>
      </x:c>
      <x:c r="G8" s="20" t="str">
        <x:v>按批准口径收敛反馈位置；修正筛选/翻页导致丢选、错选或数量不同步。</x:v>
      </x:c>
      <x:c r="H8" s="20" t="str">
        <x:v>Checkbox 与实际选择集合一致，布局按批准组合稿。顶部已选 Tag、底部数量汇总是否移除须先解决 DEC22；跨页选择规则不能从静态图推断。</x:v>
      </x:c>
      <x:c r="I8" s="20" t="str">
        <x:v>P0</x:v>
      </x:c>
      <x:c r="J8" s="20" t="str">
        <x:v>UI、开发</x:v>
      </x:c>
      <x:c r="K8" s="20" t="str">
        <x:v>待确认</x:v>
      </x:c>
      <x:c r="L8" s="21" t="str">
        <x:v>未走查</x:v>
      </x:c>
      <x:c r="M8" s="21"/>
      <x:c r="N8" s="21"/>
      <x:c r="O8" s="21"/>
      <x:c r="P8" s="21"/>
      <x:c r="Q8" s="21" t="str">
        <x:v>待定</x:v>
      </x:c>
      <x:c r="R8" s="21" t="str">
        <x:v>待验证</x:v>
      </x:c>
      <x:c r="S8" s="21" t="str">
        <x:v>未执行</x:v>
      </x:c>
      <x:c r="T8" s="20" t="str">
        <x:f>IF(L8="已确认偏差",IF(OR(LEN(TRIM(M8))=0,LEN(TRIM(N8))=0,LEN(TRIM(O8))=0),"待补实际/证据/基线",IF(AND(R8="已关闭",S8&lt;&gt;"通过"),"关闭需复测通过",IF(OR(Q8="待定",LEN(TRIM(Q8))=0),"已确认，待定级",IF(LEN(TRIM(P8))=0,"已确认，待分配","可交付修改项")))),IF(L8="符合",IF(OR(LEN(TRIM(N8))=0,LEN(TRIM(O8))=0),"符合需补证据/基线","符合已留证"),IF(L8="规范待确认","待明确规范",IF(L8="不适用",IF(LEN(TRIM(M8))=0,"不适用需写原因","不适用已注明"),"待走查"))))</x:f>
        <x:v>待走查</x:v>
      </x:c>
    </x:row>
    <x:row r="9" ht="55" customHeight="1">
      <x:c r="A9" s="20" t="str">
        <x:v>M04</x:v>
      </x:c>
      <x:c r="B9" s="20" t="str">
        <x:v>UI04</x:v>
      </x:c>
      <x:c r="C9" s="20" t="str">
        <x:v>服务单元</x:v>
      </x:c>
      <x:c r="D9" s="20" t="str">
        <x:v>当前确认弹窗使用普通信息提示图标，与“禁用编排”的风险语义不一致</x:v>
      </x:c>
      <x:c r="E9" s="20" t="str">
        <x:v>review-c79c73690c</x:v>
      </x:c>
      <x:c r="F9" s="20" t="str">
        <x:v>批准风险文案、Warning 组件及本批操作范围。</x:v>
      </x:c>
      <x:c r="G9" s="20" t="str">
        <x:v>替换误用图标/语义色，补清晰的风险与恢复文案。</x:v>
      </x:c>
      <x:c r="H9" s="20" t="str">
        <x:v>警告的图标、颜色和文字一致，能看懂影响与下一步。业务禁用是否成功另核读回；不用单一颜色表达风险。</x:v>
      </x:c>
      <x:c r="I9" s="20" t="str">
        <x:v>P1</x:v>
      </x:c>
      <x:c r="J9" s="20" t="str">
        <x:v>UI、产品</x:v>
      </x:c>
      <x:c r="K9" s="20" t="str">
        <x:v>待确认</x:v>
      </x:c>
      <x:c r="L9" s="21" t="str">
        <x:v>未走查</x:v>
      </x:c>
      <x:c r="M9" s="21"/>
      <x:c r="N9" s="21"/>
      <x:c r="O9" s="21"/>
      <x:c r="P9" s="21"/>
      <x:c r="Q9" s="21" t="str">
        <x:v>待定</x:v>
      </x:c>
      <x:c r="R9" s="21" t="str">
        <x:v>待验证</x:v>
      </x:c>
      <x:c r="S9" s="21" t="str">
        <x:v>未执行</x:v>
      </x:c>
      <x:c r="T9" s="20" t="str">
        <x:f>IF(L9="已确认偏差",IF(OR(LEN(TRIM(M9))=0,LEN(TRIM(N9))=0,LEN(TRIM(O9))=0),"待补实际/证据/基线",IF(AND(R9="已关闭",S9&lt;&gt;"通过"),"关闭需复测通过",IF(OR(Q9="待定",LEN(TRIM(Q9))=0),"已确认，待定级",IF(LEN(TRIM(P9))=0,"已确认，待分配","可交付修改项")))),IF(L9="符合",IF(OR(LEN(TRIM(N9))=0,LEN(TRIM(O9))=0),"符合需补证据/基线","符合已留证"),IF(L9="规范待确认","待明确规范",IF(L9="不适用",IF(LEN(TRIM(M9))=0,"不适用需写原因","不适用已注明"),"待走查"))))</x:f>
        <x:v>待走查</x:v>
      </x:c>
    </x:row>
    <x:row r="10" ht="55" customHeight="1">
      <x:c r="A10" s="20" t="str">
        <x:v>M05</x:v>
      </x:c>
      <x:c r="B10" s="20" t="str">
        <x:v>UI05</x:v>
      </x:c>
      <x:c r="C10" s="20" t="str">
        <x:v>全局</x:v>
      </x:c>
      <x:c r="D10" s="20" t="str">
        <x:v>AI 原型中存在较多辅助说明、功能解释及过程性文案，部分内容更偏向原型说明，并非最终页面必须展示的信息，容易增加页面阅读负担，干扰核心操作。</x:v>
      </x:c>
      <x:c r="E10" s="20" t="str">
        <x:v>review-5cb0b5dcb6</x:v>
      </x:c>
      <x:c r="F10" s="20" t="str">
        <x:v>产品确认删留清单；白灰层级的业务交互与文案仍需明确。</x:v>
      </x:c>
      <x:c r="G10" s="20" t="str">
        <x:v>按产品清单删改说明性、重复性文案；补回误删的必要规则。</x:v>
      </x:c>
      <x:c r="H10" s="20" t="str">
        <x:v>仅保留操作、业务规则和必要帮助信息；删除原型说明时不丢失规则、限制和异常恢复提示。</x:v>
      </x:c>
      <x:c r="I10" s="20" t="str">
        <x:v>P0</x:v>
      </x:c>
      <x:c r="J10" s="20" t="str">
        <x:v>产品</x:v>
      </x:c>
      <x:c r="K10" s="20" t="str">
        <x:v>待确认</x:v>
      </x:c>
      <x:c r="L10" s="21" t="str">
        <x:v>未走查</x:v>
      </x:c>
      <x:c r="M10" s="21"/>
      <x:c r="N10" s="21"/>
      <x:c r="O10" s="21"/>
      <x:c r="P10" s="21"/>
      <x:c r="Q10" s="21" t="str">
        <x:v>待定</x:v>
      </x:c>
      <x:c r="R10" s="21" t="str">
        <x:v>待验证</x:v>
      </x:c>
      <x:c r="S10" s="21" t="str">
        <x:v>未执行</x:v>
      </x:c>
      <x:c r="T10" s="20" t="str">
        <x:f>IF(L10="已确认偏差",IF(OR(LEN(TRIM(M10))=0,LEN(TRIM(N10))=0,LEN(TRIM(O10))=0),"待补实际/证据/基线",IF(AND(R10="已关闭",S10&lt;&gt;"通过"),"关闭需复测通过",IF(OR(Q10="待定",LEN(TRIM(Q10))=0),"已确认，待定级",IF(LEN(TRIM(P10))=0,"已确认，待分配","可交付修改项")))),IF(L10="符合",IF(OR(LEN(TRIM(N10))=0,LEN(TRIM(O10))=0),"符合需补证据/基线","符合已留证"),IF(L10="规范待确认","待明确规范",IF(L10="不适用",IF(LEN(TRIM(M10))=0,"不适用需写原因","不适用已注明"),"待走查"))))</x:f>
        <x:v>待走查</x:v>
      </x:c>
    </x:row>
    <x:row r="11" ht="55" customHeight="1">
      <x:c r="A11" s="20" t="str">
        <x:v>M06</x:v>
      </x:c>
      <x:c r="B11" s="20" t="str">
        <x:v>UI06</x:v>
      </x:c>
      <x:c r="C11" s="20" t="str">
        <x:v>左侧菜单</x:v>
      </x:c>
      <x:c r="D11" s="20" t="str">
        <x:v>缩进、字号字重、选中态尺寸、展开箭头及菜单间距等方面与现有前端通用框架存在较大差异。且一级菜单缺少左侧图标</x:v>
      </x:c>
      <x:c r="E11" s="20" t="str">
        <x:v>review-e3abcc238c</x:v>
      </x:c>
      <x:c r="F11" s="20" t="str">
        <x:v>批准框架菜单版本与桌面支持范围。</x:v>
      </x:c>
      <x:c r="G11" s="20" t="str">
        <x:v>统一菜单组件及 token；补一级图标并修正选中态尺寸和字号。</x:v>
      </x:c>
      <x:c r="H11" s="20" t="str">
        <x:v>各状态使用批准框架样式；图标、字号与选中区域一致，菜单名称可辨识，状态变化不造成跳动。</x:v>
      </x:c>
      <x:c r="I11" s="20" t="str">
        <x:v>P2</x:v>
      </x:c>
      <x:c r="J11" s="20" t="str">
        <x:v>开发</x:v>
      </x:c>
      <x:c r="K11" s="20" t="str">
        <x:v>待确认</x:v>
      </x:c>
      <x:c r="L11" s="21" t="str">
        <x:v>未走查</x:v>
      </x:c>
      <x:c r="M11" s="21"/>
      <x:c r="N11" s="21"/>
      <x:c r="O11" s="21"/>
      <x:c r="P11" s="21"/>
      <x:c r="Q11" s="21" t="str">
        <x:v>待定</x:v>
      </x:c>
      <x:c r="R11" s="21" t="str">
        <x:v>待验证</x:v>
      </x:c>
      <x:c r="S11" s="21" t="str">
        <x:v>未执行</x:v>
      </x:c>
      <x:c r="T11" s="20" t="str">
        <x:f>IF(L11="已确认偏差",IF(OR(LEN(TRIM(M11))=0,LEN(TRIM(N11))=0,LEN(TRIM(O11))=0),"待补实际/证据/基线",IF(AND(R11="已关闭",S11&lt;&gt;"通过"),"关闭需复测通过",IF(OR(Q11="待定",LEN(TRIM(Q11))=0),"已确认，待定级",IF(LEN(TRIM(P11))=0,"已确认，待分配","可交付修改项")))),IF(L11="符合",IF(OR(LEN(TRIM(N11))=0,LEN(TRIM(O11))=0),"符合需补证据/基线","符合已留证"),IF(L11="规范待确认","待明确规范",IF(L11="不适用",IF(LEN(TRIM(M11))=0,"不适用需写原因","不适用已注明"),"待走查"))))</x:f>
        <x:v>待走查</x:v>
      </x:c>
    </x:row>
    <x:row r="12" ht="55" customHeight="1">
      <x:c r="A12" s="20" t="str">
        <x:v>M07</x:v>
      </x:c>
      <x:c r="B12" s="20" t="str">
        <x:v>UI07</x:v>
      </x:c>
      <x:c r="C12" s="20" t="str">
        <x:v>顶部导航</x:v>
      </x:c>
      <x:c r="D12" s="20" t="str">
        <x:v>与规范、框架不一致，有多余的页面标题，无功能的板块可先暂时隐藏，如搜索、消息等</x:v>
      </x:c>
      <x:c r="E12" s="20" t="str">
        <x:v>review-a2a817eb2a</x:v>
      </x:c>
      <x:c r="F12" s="20" t="str">
        <x:v>产品确认未实现入口的处理；不能把所有搜索/消息入口统一隐藏。</x:v>
      </x:c>
      <x:c r="G12" s="20" t="str">
        <x:v>修正无功能入口的展示与反馈；保留已实现入口及正确去向。</x:v>
      </x:c>
      <x:c r="H12" s="20" t="str">
        <x:v>已交付入口有可理解的行为；暂未实现的入口按确认方案隐藏或明确不可用，不误导为可点击功能。</x:v>
      </x:c>
      <x:c r="I12" s="20" t="str">
        <x:v>P2</x:v>
      </x:c>
      <x:c r="J12" s="20" t="str">
        <x:v>开发</x:v>
      </x:c>
      <x:c r="K12" s="20" t="str">
        <x:v>待确认</x:v>
      </x:c>
      <x:c r="L12" s="21" t="str">
        <x:v>未走查</x:v>
      </x:c>
      <x:c r="M12" s="21"/>
      <x:c r="N12" s="21"/>
      <x:c r="O12" s="21"/>
      <x:c r="P12" s="21"/>
      <x:c r="Q12" s="21" t="str">
        <x:v>待定</x:v>
      </x:c>
      <x:c r="R12" s="21" t="str">
        <x:v>待验证</x:v>
      </x:c>
      <x:c r="S12" s="21" t="str">
        <x:v>未执行</x:v>
      </x:c>
      <x:c r="T12" s="20" t="str">
        <x:f>IF(L12="已确认偏差",IF(OR(LEN(TRIM(M12))=0,LEN(TRIM(N12))=0,LEN(TRIM(O12))=0),"待补实际/证据/基线",IF(AND(R12="已关闭",S12&lt;&gt;"通过"),"关闭需复测通过",IF(OR(Q12="待定",LEN(TRIM(Q12))=0),"已确认，待定级",IF(LEN(TRIM(P12))=0,"已确认，待分配","可交付修改项")))),IF(L12="符合",IF(OR(LEN(TRIM(N12))=0,LEN(TRIM(O12))=0),"符合需补证据/基线","符合已留证"),IF(L12="规范待确认","待明确规范",IF(L12="不适用",IF(LEN(TRIM(M12))=0,"不适用需写原因","不适用已注明"),"待走查"))))</x:f>
        <x:v>待走查</x:v>
      </x:c>
    </x:row>
    <x:row r="13" ht="55" customHeight="1">
      <x:c r="A13" s="20" t="str">
        <x:v>M08</x:v>
      </x:c>
      <x:c r="B13" s="20" t="str">
        <x:v>UI08</x:v>
      </x:c>
      <x:c r="C13" s="20" t="str">
        <x:v>所有页头栏</x:v>
      </x:c>
      <x:c r="D13" s="20" t="str">
        <x:v>当前将面包屑导航放置于顶部导航，与现有通用框架页面结构不一致，同时与页面标题存在重复表达。
操作按钮对齐方式与框架不一致</x:v>
      </x:c>
      <x:c r="E13" s="20" t="str">
        <x:v>review-716a17fbb6</x:v>
      </x:c>
      <x:c r="F13" s="20" t="str">
        <x:v>对应页头模板及文案确认；不强制所有页头同高。</x:v>
      </x:c>
      <x:c r="G13" s="20" t="str">
        <x:v>对齐面包屑与按钮布局；修正返回目标；按产品结论整理副标题和说明。</x:v>
      </x:c>
      <x:c r="H13" s="20" t="str">
        <x:v>路径、标题与所在页面一致；页头遵循相应模板。副标题按必要性保留；说明中的「」属于建议审查项，不能自动判缺陷。</x:v>
      </x:c>
      <x:c r="I13" s="20" t="str">
        <x:v>P1</x:v>
      </x:c>
      <x:c r="J13" s="20" t="str">
        <x:v>产品、开发</x:v>
      </x:c>
      <x:c r="K13" s="20" t="str">
        <x:v>待确认</x:v>
      </x:c>
      <x:c r="L13" s="21" t="str">
        <x:v>未走查</x:v>
      </x:c>
      <x:c r="M13" s="21"/>
      <x:c r="N13" s="21"/>
      <x:c r="O13" s="21"/>
      <x:c r="P13" s="21"/>
      <x:c r="Q13" s="21" t="str">
        <x:v>待定</x:v>
      </x:c>
      <x:c r="R13" s="21" t="str">
        <x:v>待验证</x:v>
      </x:c>
      <x:c r="S13" s="21" t="str">
        <x:v>未执行</x:v>
      </x:c>
      <x:c r="T13" s="20" t="str">
        <x:f>IF(L13="已确认偏差",IF(OR(LEN(TRIM(M13))=0,LEN(TRIM(N13))=0,LEN(TRIM(O13))=0),"待补实际/证据/基线",IF(AND(R13="已关闭",S13&lt;&gt;"通过"),"关闭需复测通过",IF(OR(Q13="待定",LEN(TRIM(Q13))=0),"已确认，待定级",IF(LEN(TRIM(P13))=0,"已确认，待分配","可交付修改项")))),IF(L13="符合",IF(OR(LEN(TRIM(N13))=0,LEN(TRIM(O13))=0),"符合需补证据/基线","符合已留证"),IF(L13="规范待确认","待明确规范",IF(L13="不适用",IF(LEN(TRIM(M13))=0,"不适用需写原因","不适用已注明"),"待走查"))))</x:f>
        <x:v>待走查</x:v>
      </x:c>
    </x:row>
    <x:row r="14" ht="55" customHeight="1">
      <x:c r="A14" s="20" t="str">
        <x:v>M09</x:v>
      </x:c>
      <x:c r="B14" s="20" t="str">
        <x:v>UI09</x:v>
      </x:c>
      <x:c r="C14" s="20" t="str">
        <x:v>所有查询区</x:v>
      </x:c>
      <x:c r="D14" s="20" t="str">
        <x:v>当前筛选区控件尺寸、排列、操作按钮样式、下拉样式与通用框架存在差异。</x:v>
      </x:c>
      <x:c r="E14" s="20" t="str">
        <x:v>review-96579d37d7</x:v>
      </x:c>
      <x:c r="F14" s="20" t="str">
        <x:v>确认默认条件、组合逻辑与筛选作用域；补测 INT03。</x:v>
      </x:c>
      <x:c r="G14" s="20" t="str">
        <x:v>复用筛选布局与控件尺寸；补刷新反馈；修正条件未清空、查错列表或竞态覆盖。</x:v>
      </x:c>
      <x:c r="H14" s="20" t="str">
        <x:v>字段按业务保留，不为凑示例列数拉伸；使用标准查询/重置。操作有区域刷新反馈，作用域与条件正确；筛选保持/默认恢复按确认规则。</x:v>
      </x:c>
      <x:c r="I14" s="20" t="str">
        <x:v>P2</x:v>
      </x:c>
      <x:c r="J14" s="20" t="str">
        <x:v>开发</x:v>
      </x:c>
      <x:c r="K14" s="20" t="str">
        <x:v>待确认</x:v>
      </x:c>
      <x:c r="L14" s="21" t="str">
        <x:v>未走查</x:v>
      </x:c>
      <x:c r="M14" s="21"/>
      <x:c r="N14" s="21"/>
      <x:c r="O14" s="21"/>
      <x:c r="P14" s="21"/>
      <x:c r="Q14" s="21" t="str">
        <x:v>待定</x:v>
      </x:c>
      <x:c r="R14" s="21" t="str">
        <x:v>待验证</x:v>
      </x:c>
      <x:c r="S14" s="21" t="str">
        <x:v>未执行</x:v>
      </x:c>
      <x:c r="T14" s="20" t="str">
        <x:f>IF(L14="已确认偏差",IF(OR(LEN(TRIM(M14))=0,LEN(TRIM(N14))=0,LEN(TRIM(O14))=0),"待补实际/证据/基线",IF(AND(R14="已关闭",S14&lt;&gt;"通过"),"关闭需复测通过",IF(OR(Q14="待定",LEN(TRIM(Q14))=0),"已确认，待定级",IF(LEN(TRIM(P14))=0,"已确认，待分配","可交付修改项")))),IF(L14="符合",IF(OR(LEN(TRIM(N14))=0,LEN(TRIM(O14))=0),"符合需补证据/基线","符合已留证"),IF(L14="规范待确认","待明确规范",IF(L14="不适用",IF(LEN(TRIM(M14))=0,"不适用需写原因","不适用已注明"),"待走查"))))</x:f>
        <x:v>待走查</x:v>
      </x:c>
    </x:row>
    <x:row r="15" ht="55" customHeight="1">
      <x:c r="A15" s="20" t="str">
        <x:v>M10</x:v>
      </x:c>
      <x:c r="B15" s="20" t="str">
        <x:v>UI10</x:v>
      </x:c>
      <x:c r="C15" s="20" t="str">
        <x:v>所有列表区</x:v>
      </x:c>
      <x:c r="D15" s="20" t="str">
        <x:v>当前原型 Table 在容器间距、表头/行高、行背景、列宽、固定列及操作区等方面与前端通用框架存在较大差异。</x:v>
      </x:c>
      <x:c r="E15" s="20" t="str">
        <x:v>review-92624f2e97</x:v>
      </x:c>
      <x:c r="F15" s="20" t="str">
        <x:v>批准 Table 组件；本批字段与操作清单。</x:v>
      </x:c>
      <x:c r="G15" s="20" t="str">
        <x:v>统一 Table 容器与 padding，修正列挤压、溢出和操作不可达。</x:v>
      </x:c>
      <x:c r="H15" s="20" t="str">
        <x:v>表格使用批准框架，隐藏顶部按钮仍保留容器 Padding；长文本、列宽与必要操作按业务适配。</x:v>
      </x:c>
      <x:c r="I15" s="20" t="str">
        <x:v>P2</x:v>
      </x:c>
      <x:c r="J15" s="20" t="str">
        <x:v>开发</x:v>
      </x:c>
      <x:c r="K15" s="20" t="str">
        <x:v>待确认</x:v>
      </x:c>
      <x:c r="L15" s="21" t="str">
        <x:v>未走查</x:v>
      </x:c>
      <x:c r="M15" s="21"/>
      <x:c r="N15" s="21"/>
      <x:c r="O15" s="21"/>
      <x:c r="P15" s="21"/>
      <x:c r="Q15" s="21" t="str">
        <x:v>待定</x:v>
      </x:c>
      <x:c r="R15" s="21" t="str">
        <x:v>待验证</x:v>
      </x:c>
      <x:c r="S15" s="21" t="str">
        <x:v>未执行</x:v>
      </x:c>
      <x:c r="T15" s="20" t="str">
        <x:f>IF(L15="已确认偏差",IF(OR(LEN(TRIM(M15))=0,LEN(TRIM(N15))=0,LEN(TRIM(O15))=0),"待补实际/证据/基线",IF(AND(R15="已关闭",S15&lt;&gt;"通过"),"关闭需复测通过",IF(OR(Q15="待定",LEN(TRIM(Q15))=0),"已确认，待定级",IF(LEN(TRIM(P15))=0,"已确认，待分配","可交付修改项")))),IF(L15="符合",IF(OR(LEN(TRIM(N15))=0,LEN(TRIM(O15))=0),"符合需补证据/基线","符合已留证"),IF(L15="规范待确认","待明确规范",IF(L15="不适用",IF(LEN(TRIM(M15))=0,"不适用需写原因","不适用已注明"),"待走查"))))</x:f>
        <x:v>待走查</x:v>
      </x:c>
    </x:row>
    <x:row r="16" ht="55" customHeight="1">
      <x:c r="A16" s="20" t="str">
        <x:v>M11</x:v>
      </x:c>
      <x:c r="B16" s="20" t="str">
        <x:v>UI11</x:v>
      </x:c>
      <x:c r="C16" s="20" t="str">
        <x:v>所有列表区</x:v>
      </x:c>
      <x:c r="D16" s="20" t="str">
        <x:v>当前原型分页组件在布局、页码样式、每页条数选择及总数信息展示方式上与前端通用框架不一致。</x:v>
      </x:c>
      <x:c r="E16" s="20" t="str">
        <x:v>review-08ef6a1468</x:v>
      </x:c>
      <x:c r="F16" s="20" t="str">
        <x:v>确认每页配置、跳页能力及零记录表现；补测 INT01。</x:v>
      </x:c>
      <x:c r="G16" s="20" t="str">
        <x:v>复用分页组件；修正总数、边界禁用、非法输入及切换后空白页。</x:v>
      </x:c>
      <x:c r="H16" s="20" t="str">
        <x:v>分页组件与能力遵循框架；页码、总数和数据一致。当前网站曾显示20条/页，仅作为样本；默认值与跳页能力以本批配置确认。</x:v>
      </x:c>
      <x:c r="I16" s="20" t="str">
        <x:v>P1</x:v>
      </x:c>
      <x:c r="J16" s="20" t="str">
        <x:v>开发</x:v>
      </x:c>
      <x:c r="K16" s="20" t="str">
        <x:v>待确认</x:v>
      </x:c>
      <x:c r="L16" s="21" t="str">
        <x:v>未走查</x:v>
      </x:c>
      <x:c r="M16" s="21"/>
      <x:c r="N16" s="21"/>
      <x:c r="O16" s="21"/>
      <x:c r="P16" s="21"/>
      <x:c r="Q16" s="21" t="str">
        <x:v>待定</x:v>
      </x:c>
      <x:c r="R16" s="21" t="str">
        <x:v>待验证</x:v>
      </x:c>
      <x:c r="S16" s="21" t="str">
        <x:v>未执行</x:v>
      </x:c>
      <x:c r="T16" s="20" t="str">
        <x:f>IF(L16="已确认偏差",IF(OR(LEN(TRIM(M16))=0,LEN(TRIM(N16))=0,LEN(TRIM(O16))=0),"待补实际/证据/基线",IF(AND(R16="已关闭",S16&lt;&gt;"通过"),"关闭需复测通过",IF(OR(Q16="待定",LEN(TRIM(Q16))=0),"已确认，待定级",IF(LEN(TRIM(P16))=0,"已确认，待分配","可交付修改项")))),IF(L16="符合",IF(OR(LEN(TRIM(N16))=0,LEN(TRIM(O16))=0),"符合需补证据/基线","符合已留证"),IF(L16="规范待确认","待明确规范",IF(L16="不适用",IF(LEN(TRIM(M16))=0,"不适用需写原因","不适用已注明"),"待走查"))))</x:f>
        <x:v>待走查</x:v>
      </x:c>
    </x:row>
    <x:row r="17" ht="55" customHeight="1">
      <x:c r="A17" s="20" t="str">
        <x:v>M12</x:v>
      </x:c>
      <x:c r="B17" s="20" t="str">
        <x:v>UI12</x:v>
      </x:c>
      <x:c r="C17" s="20" t="str">
        <x:v>所有列表区</x:v>
      </x:c>
      <x:c r="D17" s="20" t="str">
        <x:v>当前原型在表格横向滚动时，左侧关键操作列未明确冻结范围，勾选框等批量操作入口可能随内容滚动移出可视区域，影响连续选择和操作效率。</x:v>
      </x:c>
      <x:c r="E17" s="20" t="str">
        <x:v>review-79dfb7278b</x:v>
      </x:c>
      <x:c r="F17" s="20" t="str">
        <x:v>确认该页选择能力与核心识别字段。</x:v>
      </x:c>
      <x:c r="G17" s="20" t="str">
        <x:v>修正 fixed 列、分隔/阴影和叠层；减少过多固定字段对内容的挤压。</x:v>
      </x:c>
      <x:c r="H17" s="20" t="str">
        <x:v>存在勾选列时与核心识别字段固定在左侧，操作列固定在右侧；其他字段滚动。无勾选列页面不凭此新增业务选择能力。</x:v>
      </x:c>
      <x:c r="I17" s="20" t="str">
        <x:v>P1</x:v>
      </x:c>
      <x:c r="J17" s="20" t="str">
        <x:v>开发</x:v>
      </x:c>
      <x:c r="K17" s="20" t="str">
        <x:v>待确认</x:v>
      </x:c>
      <x:c r="L17" s="21" t="str">
        <x:v>未走查</x:v>
      </x:c>
      <x:c r="M17" s="21"/>
      <x:c r="N17" s="21"/>
      <x:c r="O17" s="21"/>
      <x:c r="P17" s="21"/>
      <x:c r="Q17" s="21" t="str">
        <x:v>待定</x:v>
      </x:c>
      <x:c r="R17" s="21" t="str">
        <x:v>待验证</x:v>
      </x:c>
      <x:c r="S17" s="21" t="str">
        <x:v>未执行</x:v>
      </x:c>
      <x:c r="T17" s="20" t="str">
        <x:f>IF(L17="已确认偏差",IF(OR(LEN(TRIM(M17))=0,LEN(TRIM(N17))=0,LEN(TRIM(O17))=0),"待补实际/证据/基线",IF(AND(R17="已关闭",S17&lt;&gt;"通过"),"关闭需复测通过",IF(OR(Q17="待定",LEN(TRIM(Q17))=0),"已确认，待定级",IF(LEN(TRIM(P17))=0,"已确认，待分配","可交付修改项")))),IF(L17="符合",IF(OR(LEN(TRIM(N17))=0,LEN(TRIM(O17))=0),"符合需补证据/基线","符合已留证"),IF(L17="规范待确认","待明确规范",IF(L17="不适用",IF(LEN(TRIM(M17))=0,"不适用需写原因","不适用已注明"),"待走查"))))</x:f>
        <x:v>待走查</x:v>
      </x:c>
    </x:row>
    <x:row r="18" ht="55" customHeight="1">
      <x:c r="A18" s="20" t="str">
        <x:v>M13</x:v>
      </x:c>
      <x:c r="B18" s="20" t="str">
        <x:v>UI13</x:v>
      </x:c>
      <x:c r="C18" s="20" t="str">
        <x:v>所有列表区</x:v>
      </x:c>
      <x:c r="D18" s="20" t="str">
        <x:v>当前原型勾选数据后，批量操作采用页面底部悬浮操作条，与现有通用框架的批量操作方式不一致；悬浮层同时会遮挡部分表格内容</x:v>
      </x:c>
      <x:c r="E18" s="20" t="str">
        <x:v>review-42f80e1fec</x:v>
      </x:c>
      <x:c r="F18" s="20" t="str">
        <x:v>确认本页批量动作及跨页选择范围。</x:v>
      </x:c>
      <x:c r="G18" s="20" t="str">
        <x:v>统一顶部批量操作栏；修正清空后未恢复或作用范围误导。</x:v>
      </x:c>
      <x:c r="H18" s="20" t="str">
        <x:v>勾选后 Table 顶部显示批量操作，清空后恢复默认工具栏；不新增底部悬浮条；动作范围与实际选择一致。</x:v>
      </x:c>
      <x:c r="I18" s="20" t="str">
        <x:v>P1</x:v>
      </x:c>
      <x:c r="J18" s="20" t="str">
        <x:v>开发</x:v>
      </x:c>
      <x:c r="K18" s="20" t="str">
        <x:v>待确认</x:v>
      </x:c>
      <x:c r="L18" s="21" t="str">
        <x:v>未走查</x:v>
      </x:c>
      <x:c r="M18" s="21"/>
      <x:c r="N18" s="21"/>
      <x:c r="O18" s="21"/>
      <x:c r="P18" s="21"/>
      <x:c r="Q18" s="21" t="str">
        <x:v>待定</x:v>
      </x:c>
      <x:c r="R18" s="21" t="str">
        <x:v>待验证</x:v>
      </x:c>
      <x:c r="S18" s="21" t="str">
        <x:v>未执行</x:v>
      </x:c>
      <x:c r="T18" s="20" t="str">
        <x:f>IF(L18="已确认偏差",IF(OR(LEN(TRIM(M18))=0,LEN(TRIM(N18))=0,LEN(TRIM(O18))=0),"待补实际/证据/基线",IF(AND(R18="已关闭",S18&lt;&gt;"通过"),"关闭需复测通过",IF(OR(Q18="待定",LEN(TRIM(Q18))=0),"已确认，待定级",IF(LEN(TRIM(P18))=0,"已确认，待分配","可交付修改项")))),IF(L18="符合",IF(OR(LEN(TRIM(N18))=0,LEN(TRIM(O18))=0),"符合需补证据/基线","符合已留证"),IF(L18="规范待确认","待明确规范",IF(L18="不适用",IF(LEN(TRIM(M18))=0,"不适用需写原因","不适用已注明"),"待走查"))))</x:f>
        <x:v>待走查</x:v>
      </x:c>
    </x:row>
    <x:row r="19" ht="82" customHeight="1">
      <x:c r="A19" s="20" t="str">
        <x:v>M14</x:v>
      </x:c>
      <x:c r="B19" s="20" t="str">
        <x:v>UI14</x:v>
      </x:c>
      <x:c r="C19" s="20" t="str">
        <x:v>所有列表区</x:v>
      </x:c>
      <x:c r="D19" s="20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E19" s="20" t="str">
        <x:v>review-6436a27114</x:v>
      </x:c>
      <x:c r="F19" s="20" t="str">
        <x:v>批准行状态 token；表头色冲突另见 DEC18。</x:v>
      </x:c>
      <x:c r="G19" s="20" t="str">
        <x:v>统一行状态样式并同步固定区，修正取消后的残留样式。</x:v>
      </x:c>
      <x:c r="H19" s="20" t="str">
        <x:v>使用统一行高、字体和状态；选中底色覆盖整行及固定列，取消恢复默认；不增加无依据的新背景或字重。</x:v>
      </x:c>
      <x:c r="I19" s="20" t="str">
        <x:v>P2</x:v>
      </x:c>
      <x:c r="J19" s="20" t="str">
        <x:v>开发</x:v>
      </x:c>
      <x:c r="K19" s="20" t="str">
        <x:v>待确认</x:v>
      </x:c>
      <x:c r="L19" s="21" t="str">
        <x:v>未走查</x:v>
      </x:c>
      <x:c r="M19" s="21"/>
      <x:c r="N19" s="21"/>
      <x:c r="O19" s="21"/>
      <x:c r="P19" s="21"/>
      <x:c r="Q19" s="21" t="str">
        <x:v>待定</x:v>
      </x:c>
      <x:c r="R19" s="21" t="str">
        <x:v>待验证</x:v>
      </x:c>
      <x:c r="S19" s="21" t="str">
        <x:v>未执行</x:v>
      </x:c>
      <x:c r="T19" s="20" t="str">
        <x:f>IF(L19="已确认偏差",IF(OR(LEN(TRIM(M19))=0,LEN(TRIM(N19))=0,LEN(TRIM(O19))=0),"待补实际/证据/基线",IF(AND(R19="已关闭",S19&lt;&gt;"通过"),"关闭需复测通过",IF(OR(Q19="待定",LEN(TRIM(Q19))=0),"已确认，待定级",IF(LEN(TRIM(P19))=0,"已确认，待分配","可交付修改项")))),IF(L19="符合",IF(OR(LEN(TRIM(N19))=0,LEN(TRIM(O19))=0),"符合需补证据/基线","符合已留证"),IF(L19="规范待确认","待明确规范",IF(L19="不适用",IF(LEN(TRIM(M19))=0,"不适用需写原因","不适用已注明"),"待走查"))))</x:f>
        <x:v>待走查</x:v>
      </x:c>
    </x:row>
    <x:row r="20" ht="55" customHeight="1">
      <x:c r="A20" s="20" t="str">
        <x:v>M15</x:v>
      </x:c>
      <x:c r="B20" s="20" t="str">
        <x:v>UI15</x:v>
      </x:c>
      <x:c r="C20" s="20" t="str">
        <x:v>所有列表区</x:v>
      </x:c>
      <x:c r="D20" s="20" t="str">
        <x:v>编码使用蓝色链接态但无点击能力，存在错误交互暗示</x:v>
      </x:c>
      <x:c r="E20" s="20" t="str">
        <x:v>review-a7e8b941e2</x:v>
      </x:c>
      <x:c r="F20" s="20" t="str">
        <x:v>产品确认编码是否承担详情入口；独立详情按钮不自动证明编码链接已实现。</x:v>
      </x:c>
      <x:c r="G20" s="20" t="str">
        <x:v>无入口职责的编码取消链接态；需要详情时补完整点击和键盘交互。</x:v>
      </x:c>
      <x:c r="H20" s="20" t="str">
        <x:v>有点击能力才使用对应链接态；无详情入口职责时展示普通文本；详情对象准确，返回保留必要上下文。</x:v>
      </x:c>
      <x:c r="I20" s="20" t="str">
        <x:v>P0</x:v>
      </x:c>
      <x:c r="J20" s="20" t="str">
        <x:v>产品</x:v>
      </x:c>
      <x:c r="K20" s="20" t="str">
        <x:v>待确认</x:v>
      </x:c>
      <x:c r="L20" s="21" t="str">
        <x:v>未走查</x:v>
      </x:c>
      <x:c r="M20" s="21"/>
      <x:c r="N20" s="21"/>
      <x:c r="O20" s="21"/>
      <x:c r="P20" s="21"/>
      <x:c r="Q20" s="21" t="str">
        <x:v>待定</x:v>
      </x:c>
      <x:c r="R20" s="21" t="str">
        <x:v>待验证</x:v>
      </x:c>
      <x:c r="S20" s="21" t="str">
        <x:v>未执行</x:v>
      </x:c>
      <x:c r="T20" s="20" t="str">
        <x:f>IF(L20="已确认偏差",IF(OR(LEN(TRIM(M20))=0,LEN(TRIM(N20))=0,LEN(TRIM(O20))=0),"待补实际/证据/基线",IF(AND(R20="已关闭",S20&lt;&gt;"通过"),"关闭需复测通过",IF(OR(Q20="待定",LEN(TRIM(Q20))=0),"已确认，待定级",IF(LEN(TRIM(P20))=0,"已确认，待分配","可交付修改项")))),IF(L20="符合",IF(OR(LEN(TRIM(N20))=0,LEN(TRIM(O20))=0),"符合需补证据/基线","符合已留证"),IF(L20="规范待确认","待明确规范",IF(L20="不适用",IF(LEN(TRIM(M20))=0,"不适用需写原因","不适用已注明"),"待走查"))))</x:f>
        <x:v>待走查</x:v>
      </x:c>
    </x:row>
    <x:row r="21" ht="55" customHeight="1">
      <x:c r="A21" s="20" t="str">
        <x:v>M16</x:v>
      </x:c>
      <x:c r="B21" s="20" t="str">
        <x:v>UI16</x:v>
      </x:c>
      <x:c r="C21" s="20" t="str">
        <x:v>Ai 建档解析</x:v>
      </x:c>
      <x:c r="D21" s="20" t="str">
        <x:v>当前原型使用弹窗承载，信息量较大、操作链路较长。</x:v>
      </x:c>
      <x:c r="E21" s="20" t="str">
        <x:v>review-f228825adf</x:v>
      </x:c>
      <x:c r="F21" s="20" t="str">
        <x:v>本批 AI 建档范围、批准页面方案及 DEC17。</x:v>
      </x:c>
      <x:c r="G21" s="20" t="str">
        <x:v>调整流程承载模板和布局；修正材料/结果不可达及底部操作被遮挡。</x:v>
      </x:c>
      <x:c r="H21" s="20" t="str">
        <x:v>按批准方案使用独立表单页承载完整流程；页面主体左右24px留白；单步弹窗与完整建档不得混为一类。</x:v>
      </x:c>
      <x:c r="I21" s="20" t="str">
        <x:v>P0</x:v>
      </x:c>
      <x:c r="J21" s="20" t="str">
        <x:v>产品</x:v>
      </x:c>
      <x:c r="K21" s="20" t="str">
        <x:v>待确认</x:v>
      </x:c>
      <x:c r="L21" s="21" t="str">
        <x:v>未走查</x:v>
      </x:c>
      <x:c r="M21" s="21"/>
      <x:c r="N21" s="21"/>
      <x:c r="O21" s="21"/>
      <x:c r="P21" s="21"/>
      <x:c r="Q21" s="21" t="str">
        <x:v>待定</x:v>
      </x:c>
      <x:c r="R21" s="21" t="str">
        <x:v>待验证</x:v>
      </x:c>
      <x:c r="S21" s="21" t="str">
        <x:v>未执行</x:v>
      </x:c>
      <x:c r="T21" s="20" t="str">
        <x:f>IF(L21="已确认偏差",IF(OR(LEN(TRIM(M21))=0,LEN(TRIM(N21))=0,LEN(TRIM(O21))=0),"待补实际/证据/基线",IF(AND(R21="已关闭",S21&lt;&gt;"通过"),"关闭需复测通过",IF(OR(Q21="待定",LEN(TRIM(Q21))=0),"已确认，待定级",IF(LEN(TRIM(P21))=0,"已确认，待分配","可交付修改项")))),IF(L21="符合",IF(OR(LEN(TRIM(N21))=0,LEN(TRIM(O21))=0),"符合需补证据/基线","符合已留证"),IF(L21="规范待确认","待明确规范",IF(L21="不适用",IF(LEN(TRIM(M21))=0,"不适用需写原因","不适用已注明"),"待走查"))))</x:f>
        <x:v>待走查</x:v>
      </x:c>
    </x:row>
    <x:row r="22" ht="55" customHeight="1">
      <x:c r="A22" s="20" t="str">
        <x:v>M17</x:v>
      </x:c>
      <x:c r="B22" s="20" t="str">
        <x:v>UI17</x:v>
      </x:c>
      <x:c r="C22" s="20" t="str">
        <x:v>全局</x:v>
      </x:c>
      <x:c r="D22" s="20" t="str">
        <x:v>当前页面刷新后会跳转至其他页面，未保持当前路由，导致用户操作上下文中断。</x:v>
      </x:c>
      <x:c r="E22" s="20" t="str">
        <x:v>review-70bd2614ce</x:v>
      </x:c>
      <x:c r="F22" s="20" t="str">
        <x:v>产品确认必要状态范围与特殊跳转；补测 INT04。</x:v>
      </x:c>
      <x:c r="G22" s="20" t="str">
        <x:v>修正路由恢复和上下文映射；明确特殊跳转及丢失状态的提示。</x:v>
      </x:c>
      <x:c r="H22" s="20" t="str">
        <x:v>刷新保持当前页面及必要状态，无非预期跳转；是否恢复筛选、弹层或未保存输入由批准范围决定，不默认自动保存。</x:v>
      </x:c>
      <x:c r="I22" s="20" t="str">
        <x:v>P1</x:v>
      </x:c>
      <x:c r="J22" s="20" t="str">
        <x:v>开发</x:v>
      </x:c>
      <x:c r="K22" s="20" t="str">
        <x:v>待确认</x:v>
      </x:c>
      <x:c r="L22" s="21" t="str">
        <x:v>未走查</x:v>
      </x:c>
      <x:c r="M22" s="21"/>
      <x:c r="N22" s="21"/>
      <x:c r="O22" s="21"/>
      <x:c r="P22" s="21"/>
      <x:c r="Q22" s="21" t="str">
        <x:v>待定</x:v>
      </x:c>
      <x:c r="R22" s="21" t="str">
        <x:v>待验证</x:v>
      </x:c>
      <x:c r="S22" s="21" t="str">
        <x:v>未执行</x:v>
      </x:c>
      <x:c r="T22" s="20" t="str">
        <x:f>IF(L22="已确认偏差",IF(OR(LEN(TRIM(M22))=0,LEN(TRIM(N22))=0,LEN(TRIM(O22))=0),"待补实际/证据/基线",IF(AND(R22="已关闭",S22&lt;&gt;"通过"),"关闭需复测通过",IF(OR(Q22="待定",LEN(TRIM(Q22))=0),"已确认，待定级",IF(LEN(TRIM(P22))=0,"已确认，待分配","可交付修改项")))),IF(L22="符合",IF(OR(LEN(TRIM(N22))=0,LEN(TRIM(O22))=0),"符合需补证据/基线","符合已留证"),IF(L22="规范待确认","待明确规范",IF(L22="不适用",IF(LEN(TRIM(M22))=0,"不适用需写原因","不适用已注明"),"待走查"))))</x:f>
        <x:v>待走查</x:v>
      </x:c>
    </x:row>
    <x:row r="23" ht="82" customHeight="1">
      <x:c r="A23" s="20" t="str">
        <x:v>M18</x:v>
      </x:c>
      <x:c r="B23" s="20" t="str">
        <x:v>UI18</x:v>
      </x:c>
      <x:c r="C23" s="20" t="str">
        <x:v>服务单元</x:v>
      </x:c>
      <x:c r="D23" s="20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E23" s="20" t="str">
        <x:v>review-f828afea0f</x:v>
      </x:c>
      <x:c r="F23" s="20" t="str">
        <x:v>批准详情模板及列表状态保持范围；不从此条扩展编辑入口要求。</x:v>
      </x:c>
      <x:c r="G23" s="20" t="str">
        <x:v>按 Drawer 模板调整分组、固定区及滚动容器；修正关闭后丢上下文。</x:v>
      </x:c>
      <x:c r="H23" s="20" t="str">
        <x:v>使用批准右侧详情 Drawer；内容可纵向滚动，标题/底部操作固定；对象不串行，关闭后保留列表上下文。</x:v>
      </x:c>
      <x:c r="I23" s="20" t="str">
        <x:v>P0</x:v>
      </x:c>
      <x:c r="J23" s="20" t="str">
        <x:v>开发、产品</x:v>
      </x:c>
      <x:c r="K23" s="20" t="str">
        <x:v>待确认</x:v>
      </x:c>
      <x:c r="L23" s="21" t="str">
        <x:v>未走查</x:v>
      </x:c>
      <x:c r="M23" s="21"/>
      <x:c r="N23" s="21"/>
      <x:c r="O23" s="21"/>
      <x:c r="P23" s="21"/>
      <x:c r="Q23" s="21" t="str">
        <x:v>待定</x:v>
      </x:c>
      <x:c r="R23" s="21" t="str">
        <x:v>待验证</x:v>
      </x:c>
      <x:c r="S23" s="21" t="str">
        <x:v>未执行</x:v>
      </x:c>
      <x:c r="T23" s="20" t="str">
        <x:f>IF(L23="已确认偏差",IF(OR(LEN(TRIM(M23))=0,LEN(TRIM(N23))=0,LEN(TRIM(O23))=0),"待补实际/证据/基线",IF(AND(R23="已关闭",S23&lt;&gt;"通过"),"关闭需复测通过",IF(OR(Q23="待定",LEN(TRIM(Q23))=0),"已确认，待定级",IF(LEN(TRIM(P23))=0,"已确认，待分配","可交付修改项")))),IF(L23="符合",IF(OR(LEN(TRIM(N23))=0,LEN(TRIM(O23))=0),"符合需补证据/基线","符合已留证"),IF(L23="规范待确认","待明确规范",IF(L23="不适用",IF(LEN(TRIM(M23))=0,"不适用需写原因","不适用已注明"),"待走查"))))</x:f>
        <x:v>待走查</x:v>
      </x:c>
    </x:row>
    <x:row r="24" ht="68" customHeight="1">
      <x:c r="A24" s="20" t="str">
        <x:v>M19</x:v>
      </x:c>
      <x:c r="B24" s="20" t="str">
        <x:v>UI35</x:v>
      </x:c>
      <x:c r="C24" s="20" t="str">
        <x:v>服务单元</x:v>
      </x:c>
      <x:c r="D24" s="20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E24" s="20" t="str">
        <x:v>review-de7057751b</x:v>
      </x:c>
      <x:c r="F24" s="20" t="str">
        <x:v>DEC23：PRD弹窗与Review新页冲突；批准采纳范围。</x:v>
      </x:c>
      <x:c r="G24" s="20" t="str">
        <x:v>采用批准新建页模板；修正取消写入、返回丢上下文及保存错误反馈。</x:v>
      </x:c>
      <x:c r="H24" s="20" t="str">
        <x:v>采纳后按新建表单页承载；取消不写入，保存与业务规则一致；返回不串对象。新建承载不自动扩展为编辑也改页或自动保存。</x:v>
      </x:c>
      <x:c r="I24" s="20" t="str">
        <x:v>P1</x:v>
      </x:c>
      <x:c r="J24" s="20" t="str">
        <x:v>开发</x:v>
      </x:c>
      <x:c r="K24" s="20" t="str">
        <x:v>修改中</x:v>
      </x:c>
      <x:c r="L24" s="21" t="str">
        <x:v>未走查</x:v>
      </x:c>
      <x:c r="M24" s="21"/>
      <x:c r="N24" s="21"/>
      <x:c r="O24" s="21"/>
      <x:c r="P24" s="21"/>
      <x:c r="Q24" s="21" t="str">
        <x:v>待定</x:v>
      </x:c>
      <x:c r="R24" s="21" t="str">
        <x:v>待验证</x:v>
      </x:c>
      <x:c r="S24" s="21" t="str">
        <x:v>未执行</x:v>
      </x:c>
      <x:c r="T24" s="20" t="str">
        <x:f>IF(L24="已确认偏差",IF(OR(LEN(TRIM(M24))=0,LEN(TRIM(N24))=0,LEN(TRIM(O24))=0),"待补实际/证据/基线",IF(AND(R24="已关闭",S24&lt;&gt;"通过"),"关闭需复测通过",IF(OR(Q24="待定",LEN(TRIM(Q24))=0),"已确认，待定级",IF(LEN(TRIM(P24))=0,"已确认，待分配","可交付修改项")))),IF(L24="符合",IF(OR(LEN(TRIM(N24))=0,LEN(TRIM(O24))=0),"符合需补证据/基线","符合已留证"),IF(L24="规范待确认","待明确规范",IF(L24="不适用",IF(LEN(TRIM(M24))=0,"不适用需写原因","不适用已注明"),"待走查"))))</x:f>
        <x:v>待走查</x:v>
      </x:c>
    </x:row>
    <x:row r="25" ht="55" customHeight="1">
      <x:c r="A25" s="20" t="str">
        <x:v>M20</x:v>
      </x:c>
      <x:c r="B25" s="20" t="str">
        <x:v>UI36</x:v>
      </x:c>
      <x:c r="C25" s="20" t="str">
        <x:v>服务单元列表</x:v>
      </x:c>
      <x:c r="D25" s="20" t="str">
        <x:v>1、AI文档建档、新建服务单元位置不合适，
2、当前列表卡片内额外设置 服务单元列表 标题</x:v>
      </x:c>
      <x:c r="E25" s="20" t="str">
        <x:v>review-b8b8e36a2b</x:v>
      </x:c>
      <x:c r="F25" s="20" t="str">
        <x:v>批准列表模板及已交付创建方式。</x:v>
      </x:c>
      <x:c r="G25" s="20" t="str">
        <x:v>按模板移动创建入口并去重标题；修正入口指向与窄屏遮挡。</x:v>
      </x:c>
      <x:c r="H25" s="20" t="str">
        <x:v>采纳后两个入口位于页头右侧，取消重复列表标题；进入各自正确流程。来源P0不自动等于实测缺陷级别。</x:v>
      </x:c>
      <x:c r="I25" s="20" t="str">
        <x:v>P0</x:v>
      </x:c>
      <x:c r="J25" s="20" t="str">
        <x:v>开发</x:v>
      </x:c>
      <x:c r="K25" s="20" t="str">
        <x:v>待确认</x:v>
      </x:c>
      <x:c r="L25" s="21" t="str">
        <x:v>未走查</x:v>
      </x:c>
      <x:c r="M25" s="21"/>
      <x:c r="N25" s="21"/>
      <x:c r="O25" s="21"/>
      <x:c r="P25" s="21"/>
      <x:c r="Q25" s="21" t="str">
        <x:v>待定</x:v>
      </x:c>
      <x:c r="R25" s="21" t="str">
        <x:v>待验证</x:v>
      </x:c>
      <x:c r="S25" s="21" t="str">
        <x:v>未执行</x:v>
      </x:c>
      <x:c r="T25" s="20" t="str">
        <x:f>IF(L25="已确认偏差",IF(OR(LEN(TRIM(M25))=0,LEN(TRIM(N25))=0,LEN(TRIM(O25))=0),"待补实际/证据/基线",IF(AND(R25="已关闭",S25&lt;&gt;"通过"),"关闭需复测通过",IF(OR(Q25="待定",LEN(TRIM(Q25))=0),"已确认，待定级",IF(LEN(TRIM(P25))=0,"已确认，待分配","可交付修改项")))),IF(L25="符合",IF(OR(LEN(TRIM(N25))=0,LEN(TRIM(O25))=0),"符合需补证据/基线","符合已留证"),IF(L25="规范待确认","待明确规范",IF(L25="不适用",IF(LEN(TRIM(M25))=0,"不适用需写原因","不适用已注明"),"待走查"))))</x:f>
        <x:v>待走查</x:v>
      </x:c>
    </x:row>
    <x:row r="26" ht="55" customHeight="1">
      <x:c r="A26" s="20" t="str">
        <x:v>M21</x:v>
      </x:c>
      <x:c r="B26" s="20" t="str">
        <x:v>UI42</x:v>
      </x:c>
      <x:c r="C26" s="20" t="str">
        <x:v>全局行内编辑</x:v>
      </x:c>
      <x:c r="D26" s="20" t="str">
        <x:v>行内编辑组件规范与具体交互待明确，尚无问题正文</x:v>
      </x:c>
      <x:c r="E26" s="20" t="str">
        <x:v>review-294de09d51</x:v>
      </x:c>
      <x:c r="F26" s="20" t="str">
        <x:v>DEC30：当前Review没有具体问题/建议正文；不得自定交互契约。</x:v>
      </x:c>
      <x:c r="G26" s="20" t="str">
        <x:v>先补组件规范与边界，再修正样式、保存/取消及失败恢复。</x:v>
      </x:c>
      <x:c r="H26" s="20" t="str">
        <x:v>仅批准可编辑字段进入编辑；取消不写入，保存反馈与读回一致，失败不假成功或串行写入。失焦/Enter/Esc/即时提交行为须DEC30明确。</x:v>
      </x:c>
      <x:c r="I26" s="20" t="str">
        <x:v>P1</x:v>
      </x:c>
      <x:c r="J26" s="20" t="str">
        <x:v>UI</x:v>
      </x:c>
      <x:c r="K26" s="20" t="str">
        <x:v>修改中</x:v>
      </x:c>
      <x:c r="L26" s="21" t="str">
        <x:v>规范待确认</x:v>
      </x:c>
      <x:c r="M26" s="21"/>
      <x:c r="N26" s="21"/>
      <x:c r="O26" s="21"/>
      <x:c r="P26" s="21"/>
      <x:c r="Q26" s="21" t="str">
        <x:v>待定</x:v>
      </x:c>
      <x:c r="R26" s="21" t="str">
        <x:v>待验证</x:v>
      </x:c>
      <x:c r="S26" s="21" t="str">
        <x:v>未执行</x:v>
      </x:c>
      <x:c r="T26" s="20" t="str">
        <x:f>IF(L26="已确认偏差",IF(OR(LEN(TRIM(M26))=0,LEN(TRIM(N26))=0,LEN(TRIM(O26))=0),"待补实际/证据/基线",IF(AND(R26="已关闭",S26&lt;&gt;"通过"),"关闭需复测通过",IF(OR(Q26="待定",LEN(TRIM(Q26))=0),"已确认，待定级",IF(LEN(TRIM(P26))=0,"已确认，待分配","可交付修改项")))),IF(L26="符合",IF(OR(LEN(TRIM(N26))=0,LEN(TRIM(O26))=0),"符合需补证据/基线","符合已留证"),IF(L26="规范待确认","待明确规范",IF(L26="不适用",IF(LEN(TRIM(M26))=0,"不适用需写原因","不适用已注明"),"待走查"))))</x:f>
        <x:v>待明确规范</x:v>
      </x:c>
    </x:row>
  </x:sheetData>
  <x:conditionalFormatting sqref="L6:L26">
    <x:cfRule type="expression" dxfId="0" priority="1">
      <x:formula>L6="已确认偏差"</x:formula>
    </x:cfRule>
  </x:conditionalFormatting>
  <x:conditionalFormatting sqref="T6:T26">
    <x:cfRule type="expression" dxfId="1" priority="2">
      <x:formula>AND($L6="已确认偏差",$T6&lt;&gt;"可交付修改项")</x:formula>
    </x:cfRule>
  </x:conditionalFormatting>
  <x:dataValidations count="4">
    <x:dataValidation type="list" sqref="L6:L26">
      <x:formula1>"未走查,符合,已确认偏差,规范待确认,不适用"</x:formula1>
    </x:dataValidation>
    <x:dataValidation type="list" sqref="Q6:Q26">
      <x:formula1>"待定,P0,P1,P2,P3"</x:formula1>
    </x:dataValidation>
    <x:dataValidation type="list" sqref="R6:R26">
      <x:formula1>"待验证,待修正,修正中,待复测,已关闭,不适用"</x:formula1>
    </x:dataValidation>
    <x:dataValidation type="list" sqref="S6:S26">
      <x:formula1>"未执行,通过,失败,受阻,不适用"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7602d7c9f24ac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7" hidden="0" customWidth="1"/>
    <x:col min="3" max="3" width="79" hidden="0" customWidth="1"/>
    <x:col min="4" max="4" width="47" hidden="0" customWidth="1"/>
    <x:col min="5" max="5" width="72" hidden="0" customWidth="1"/>
  </x:cols>
  <x:sheetData>
    <x:row r="1">
      <x:c r="A1" s="2"/>
      <x:c r="B1" s="2"/>
      <x:c r="C1" s="2"/>
      <x:c r="D1" s="2"/>
      <x:c r="E1" s="2"/>
    </x:row>
    <x:row r="2" ht="29" customHeight="1">
      <x:c r="A2" s="3" t="str">
        <x:v>UI 走查口径与验收依据</x:v>
      </x:c>
      <x:c r="B2" s="2"/>
      <x:c r="C2" s="2"/>
      <x:c r="D2" s="2"/>
      <x:c r="E2" s="2"/>
    </x:row>
    <x:row r="3" ht="23" customHeight="1">
      <x:c r="A3" s="5" t="str">
        <x:v>本批执行信息填写在D列；基线冲突先明确，再验收。修改清单中的黄色区域为执行输入。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6" customHeight="1">
      <x:c r="A5" s="17" t="str">
        <x:v>类别</x:v>
      </x:c>
      <x:c r="B5" s="18" t="str">
        <x:v>项目</x:v>
      </x:c>
      <x:c r="C5" s="18" t="str">
        <x:v>执行口径</x:v>
      </x:c>
      <x:c r="D5" s="18" t="str">
        <x:v>执行输入/当前边界</x:v>
      </x:c>
      <x:c r="E5" s="19" t="str">
        <x:v>依据/来源</x:v>
      </x:c>
    </x:row>
    <x:row r="6" ht="40" customHeight="1">
      <x:c r="A6" s="20" t="str">
        <x:v>目标</x:v>
      </x:c>
      <x:c r="B6" s="20" t="str">
        <x:v>交付内容</x:v>
      </x:c>
      <x:c r="C6" s="20" t="str">
        <x:v>用UI规范生成可执行交互case；走查系统实际实现；输出逐页/逐组件的修改建议与复测标准。</x:v>
      </x:c>
      <x:c r="D6" s="20" t="str">
        <x:v>本次交付建议表及待验证清单</x:v>
      </x:c>
      <x:c r="E6" s="20" t="str">
        <x:v>—</x:v>
      </x:c>
    </x:row>
    <x:row r="7" ht="34" customHeight="1">
      <x:c r="A7" s="20" t="str">
        <x:v>执行</x:v>
      </x:c>
      <x:c r="B7" s="20" t="str">
        <x:v>本批Build</x:v>
      </x:c>
      <x:c r="C7" s="20" t="str">
        <x:v>执行前填写Build/部署版本和时间；结果与截图必须来自同一版本。</x:v>
      </x:c>
      <x:c r="D7" s="21"/>
      <x:c r="E7" s="20" t="str">
        <x:v>需由本批执行人填写</x:v>
      </x:c>
    </x:row>
    <x:row r="8" ht="34" customHeight="1">
      <x:c r="A8" s="20" t="str">
        <x:v>执行</x:v>
      </x:c>
      <x:c r="B8" s="20" t="str">
        <x:v>批准UI基线</x:v>
      </x:c>
      <x:c r="C8" s="20" t="str">
        <x:v>填写规范版本、框架组件版本、专项设计稿及项目例外；各行注明具体条款。</x:v>
      </x:c>
      <x:c r="D8" s="21"/>
      <x:c r="E8" s="20" t="str">
        <x:v>建议参考UI规范rev5256</x:v>
      </x:c>
    </x:row>
    <x:row r="9" ht="34" customHeight="1">
      <x:c r="A9" s="20" t="str">
        <x:v>执行</x:v>
      </x:c>
      <x:c r="B9" s="20" t="str">
        <x:v>环境与视口</x:v>
      </x:c>
      <x:c r="C9" s="20" t="str">
        <x:v>填写URL、账号角色、浏览器、视口尺寸、缩放比例及实际交付页。</x:v>
      </x:c>
      <x:c r="D9" s="21"/>
      <x:c r="E9" s="20" t="str">
        <x:v>测试入口：test.bot.example.invalid/pcs/system-config/master-data</x:v>
      </x:c>
    </x:row>
    <x:row r="10" ht="40" customHeight="1">
      <x:c r="A10" s="20" t="str">
        <x:v>顺序</x:v>
      </x:c>
      <x:c r="B10" s="20" t="str">
        <x:v>测试与走查</x:v>
      </x:c>
      <x:c r="C10" s="20" t="str">
        <x:v>先以开发冒烟确认页面可用，再执行本批UI规范case；每条记录期望、实际、证据、修改建议及复测。</x:v>
      </x:c>
      <x:c r="D10" s="20" t="str">
        <x:v>本次未执行网站测试</x:v>
      </x:c>
      <x:c r="E10" s="20" t="str">
        <x:v>引用聊天中的用例工作流</x:v>
      </x:c>
    </x:row>
    <x:row r="11" ht="40" customHeight="1">
      <x:c r="A11" s="20" t="str">
        <x:v>判定</x:v>
      </x:c>
      <x:c r="B11" s="20" t="str">
        <x:v>符合/偏差/待明确</x:v>
      </x:c>
      <x:c r="C11" s="20" t="str">
        <x:v>有批准条款且行为匹配可记符合；有可复现偏差且证据齐全可记已确认偏差；基线冲突先记规范待确认。</x:v>
      </x:c>
      <x:c r="D11" s="20" t="str">
        <x:v>Review确认状态与测试结果分开</x:v>
      </x:c>
      <x:c r="E11" s="20" t="str">
        <x:v>源Review不是实测结论</x:v>
      </x:c>
    </x:row>
    <x:row r="12" ht="34" customHeight="1">
      <x:c r="A12" s="20" t="str">
        <x:v>修改</x:v>
      </x:c>
      <x:c r="B12" s="20" t="str">
        <x:v>具体可实施内容</x:v>
      </x:c>
      <x:c r="C12" s="20" t="str">
        <x:v>修改项写清页面/组件、实际与预期差异、规范条款、改法、责任人、实测级别和复测标准。</x:v>
      </x:c>
      <x:c r="D12" s="20" t="str">
        <x:v>同case在多个页面的偏差应分别记录</x:v>
      </x:c>
      <x:c r="E12" s="20" t="str">
        <x:v>修改清单可新增行；追加行沿用公式/验证</x:v>
      </x:c>
    </x:row>
    <x:row r="13" ht="40" customHeight="1">
      <x:c r="A13" s="20" t="str">
        <x:v>定级</x:v>
      </x:c>
      <x:c r="B13" s="20" t="str">
        <x:v>按本批影响判定</x:v>
      </x:c>
      <x:c r="C13" s="20" t="str">
        <x:v>来源P0/P1保留为Review优先级；实测级别按核心操作是否受阻、影响范围和本批缺陷标准决定。</x:v>
      </x:c>
      <x:c r="D13" s="20" t="str">
        <x:v>P0/P1/P2/P3定义需本批确认</x:v>
      </x:c>
      <x:c r="E13" s="20" t="str">
        <x:v>颜色不作为缺陷级别</x:v>
      </x:c>
    </x:row>
    <x:row r="14" ht="40" customHeight="1">
      <x:c r="A14" s="20" t="str">
        <x:v>适用</x:v>
      </x:c>
      <x:c r="B14" s="20" t="str">
        <x:v>公共库按需裁剪</x:v>
      </x:c>
      <x:c r="C14" s="20" t="str">
        <x:v>重点用3.1、3.2和5.1—5.5；结合输入控件、批量动作、失败恢复的UI表现。</x:v>
      </x:c>
      <x:c r="D14" s="20" t="str">
        <x:v>快键、多语言、移动端、草稿、撤销仅在明确交付时纳入</x:v>
      </x:c>
      <x:c r="E14" s="20" t="str">
        <x:v>公共库说明要求结合业务上下文与验收标准</x:v>
      </x:c>
    </x:row>
    <x:row r="15" ht="34" customHeight="1">
      <x:c r="A15" s="20" t="str">
        <x:v>范围</x:v>
      </x:c>
      <x:c r="B15" s="20" t="str">
        <x:v>审批流</x:v>
      </x:c>
      <x:c r="C15" s="20" t="str">
        <x:v>本期产品管理不接入工单、不走审批流；保存/提交/启用在系统内直接生效。</x:v>
      </x:c>
      <x:c r="D15" s="20" t="str">
        <x:v>不纳入审批人/会签等case</x:v>
      </x:c>
      <x:c r="E15" s="20" t="str">
        <x:v>产品需求§6.1，rev8340</x:v>
      </x:c>
    </x:row>
    <x:row r="16" ht="40" customHeight="1">
      <x:c r="A16" s="20" t="str">
        <x:v>范围</x:v>
      </x:c>
      <x:c r="B16" s="20" t="str">
        <x:v>深层业务与AI专项</x:v>
      </x:c>
      <x:c r="C16" s="20" t="str">
        <x:v>业务计算、后端幂等、接口授权、模型准确性等独立取证；UI看到成功反馈不能证明后端或模型结果正确。</x:v>
      </x:c>
      <x:c r="D16" s="20" t="str">
        <x:v>本表只设计测试，不调用外部模型</x:v>
      </x:c>
      <x:c r="E16" s="20" t="str">
        <x:v>关联原功能case须注明局部覆盖范围</x:v>
      </x:c>
    </x:row>
    <x:row r="17" ht="34" customHeight="1">
      <x:c r="A17" s="20" t="str">
        <x:v>证据</x:v>
      </x:c>
      <x:c r="B17" s="20" t="str">
        <x:v>截图与交互</x:v>
      </x:c>
      <x:c r="C17" s="20" t="str">
        <x:v>静态截图核视觉与位置；交互用录屏/状态与请求证据；写入结果按对象ID读回。</x:v>
      </x:c>
      <x:c r="D17" s="20" t="str">
        <x:v>未设整页像素相似度百分比门槛</x:v>
      </x:c>
      <x:c r="E17" s="20" t="str">
        <x:v>UI32；DEC18</x:v>
      </x:c>
    </x:row>
    <x:row r="18" ht="34" customHeight="1">
      <x:c r="A18" s="20" t="str">
        <x:v>五色</x:v>
      </x:c>
      <x:c r="B18" s="20" t="str">
        <x:v>红色·无法覆盖</x:v>
      </x:c>
      <x:c r="C18" s="20" t="str">
        <x:v>UI01、UI02、UI42：先取得专项稿/组件规范，再核结构、状态和交互。</x:v>
      </x:c>
      <x:c r="D18" s="20" t="str">
        <x:v>规范缺失记待确认</x:v>
      </x:c>
      <x:c r="E18" s="20" t="str">
        <x:v>Review rev642</x:v>
      </x:c>
    </x:row>
    <x:row r="19" ht="34" customHeight="1">
      <x:c r="A19" s="20" t="str">
        <x:v>五色</x:v>
      </x:c>
      <x:c r="B19" s="20" t="str">
        <x:v>白灰·交互待明确</x:v>
      </x:c>
      <x:c r="C19" s="20" t="str">
        <x:v>UI05：先确认产品文案与业务交互范围。</x:v>
      </x:c>
      <x:c r="D19" s="20" t="str">
        <x:v>不能自行删掉必要规则</x:v>
      </x:c>
      <x:c r="E19" s="20" t="str">
        <x:v>Review rev642</x:v>
      </x:c>
    </x:row>
    <x:row r="20" ht="34" customHeight="1">
      <x:c r="A20" s="20" t="str">
        <x:v>五色</x:v>
      </x:c>
      <x:c r="B20" s="20" t="str">
        <x:v>蓝色·组合复用</x:v>
      </x:c>
      <x:c r="C20" s="20" t="str">
        <x:v>UI03、UI35：核组合布局及跨组件选择、取消、保存与返回。</x:v>
      </x:c>
      <x:c r="D20" s="20" t="str">
        <x:v>静态稿不替代交互契约</x:v>
      </x:c>
      <x:c r="E20" s="20" t="str">
        <x:v>Review rev642</x:v>
      </x:c>
    </x:row>
    <x:row r="21" ht="34" customHeight="1">
      <x:c r="A21" s="20" t="str">
        <x:v>五色</x:v>
      </x:c>
      <x:c r="B21" s="20" t="str">
        <x:v>黄色·调整后复用</x:v>
      </x:c>
      <x:c r="C21" s="20" t="str">
        <x:v>UI04：核Warning图标/语义色及风险提示。</x:v>
      </x:c>
      <x:c r="D21" s="20" t="str">
        <x:v>业务禁用结果另读回</x:v>
      </x:c>
      <x:c r="E21" s="20" t="str">
        <x:v>Review rev642</x:v>
      </x:c>
    </x:row>
    <x:row r="22" ht="34" customHeight="1">
      <x:c r="A22" s="20" t="str">
        <x:v>五色</x:v>
      </x:c>
      <x:c r="B22" s="20" t="str">
        <x:v>绿色·直接复用</x:v>
      </x:c>
      <x:c r="C22" s="20" t="str">
        <x:v>UI06—UI18、UI36：逐页核统一组件、状态与例外。</x:v>
      </x:c>
      <x:c r="D22" s="20" t="str">
        <x:v>15条绿色源记录含1空行；有效映射14条</x:v>
      </x:c>
      <x:c r="E22" s="20" t="str">
        <x:v>Review rev642</x:v>
      </x:c>
    </x:row>
    <x:row r="23" ht="40" customHeight="1">
      <x:c r="A23" s="20" t="str">
        <x:v>待决</x:v>
      </x:c>
      <x:c r="B23" s="20" t="str">
        <x:v>已有基线冲突</x:v>
      </x:c>
      <x:c r="C23" s="20" t="str">
        <x:v>DEC01分类布局；DEC10金额精度；DEC18表头色、页头94px、Tabs40px/触达44px；DEC22数量反馈；DEC23新建页承载；DEC30行内编辑。</x:v>
      </x:c>
      <x:c r="D23" s="20" t="str">
        <x:v>用原表决策ID续接，不擅自选择</x:v>
      </x:c>
      <x:c r="E23" s="20" t="str">
        <x:v>源用例复查修正版</x:v>
      </x:c>
    </x:row>
    <x:row r="24" ht="34" customHeight="1">
      <x:c r="A24" s="20" t="str">
        <x:v>状态</x:v>
      </x:c>
      <x:c r="B24" s="20" t="str">
        <x:v>本次执行边界</x:v>
      </x:c>
      <x:c r="C24" s="20" t="str">
        <x:v>完成42条对应建议、10条建议展开case和21条Review候选项。</x:v>
      </x:c>
      <x:c r="D24" s="20" t="str">
        <x:v>未执行网站测试；全部修改候选未获本次实测确认</x:v>
      </x:c>
      <x:c r="E24" s="20" t="str">
        <x:v>2026-10-12</x:v>
      </x:c>
    </x:row>
    <x:row r="25" ht="34" customHeight="1">
      <x:c r="A25" s="20" t="str">
        <x:v>来源</x:v>
      </x:c>
      <x:c r="B25" s="20" t="str">
        <x:v>公共用例基准库v1.2</x:v>
      </x:c>
      <x:c r="C25" s="20" t="str">
        <x:v>全文读取；revision_id=95；用于检查维度及通用场景。</x:v>
      </x:c>
      <x:c r="D25" s="20" t="str">
        <x:v>本次读取成功</x:v>
      </x:c>
      <x:c r="E25" s="20" t="str">
        <x:v>https://example.invalid/source/92f788d9b2</x:v>
      </x:c>
    </x:row>
    <x:row r="26" ht="40" customHeight="1">
      <x:c r="A26" s="20" t="str">
        <x:v>来源</x:v>
      </x:c>
      <x:c r="B26" s="20" t="str">
        <x:v>通用设计规范V1.2</x:v>
      </x:c>
      <x:c r="C26" s="20" t="str">
        <x:v>文档读取；revision_id=5256；数值条款含内嵌表，以原case已提取条款及本批批准基线核对。</x:v>
      </x:c>
      <x:c r="D26" s="20" t="str">
        <x:v>本次读取成功</x:v>
      </x:c>
      <x:c r="E26" s="20" t="str">
        <x:v>https://example.invalid/source/b12a1bc700</x:v>
      </x:c>
    </x:row>
    <x:row r="27" ht="34" customHeight="1">
      <x:c r="A27" s="20" t="str">
        <x:v>来源</x:v>
      </x:c>
      <x:c r="B27" s="20" t="str">
        <x:v>SN318产品需求</x:v>
      </x:c>
      <x:c r="C27" s="20" t="str">
        <x:v>文档读取；revision_id=8340；用于功能范围及项目特有口径。</x:v>
      </x:c>
      <x:c r="D27" s="20" t="str">
        <x:v>本次读取成功</x:v>
      </x:c>
      <x:c r="E27" s="20" t="str">
        <x:v>https://example.invalid/source/662ffe8557</x:v>
      </x:c>
    </x:row>
    <x:row r="28" ht="40" customHeight="1">
      <x:c r="A28" s="20" t="str">
        <x:v>来源</x:v>
      </x:c>
      <x:c r="B28" s="20" t="str">
        <x:v>SN318 UI Review</x:v>
      </x:c>
      <x:c r="C28" s="20" t="str">
        <x:v>view revision=642；22条来源记录；21条有效记录对应case，1空行不生成case。</x:v>
      </x:c>
      <x:c r="D28" s="20" t="str">
        <x:v>本次读取成功</x:v>
      </x:c>
      <x:c r="E28" s="20" t="str">
        <x:v>https://example.invalid/source/e04459bb0b</x:v>
      </x:c>
    </x:row>
    <x:row r="29" ht="34" customHeight="1">
      <x:c r="A29" s="20" t="str">
        <x:v>来源</x:v>
      </x:c>
      <x:c r="B29" s="20" t="str">
        <x:v>原UI用例</x:v>
      </x:c>
      <x:c r="C29" s="20" t="str">
        <x:v>使用颜色层级对应_复查修正版中的UI01—UI42作为编号和范围。</x:v>
      </x:c>
      <x:c r="D29" s="20" t="str">
        <x:v>原文件未改动</x:v>
      </x:c>
      <x:c r="E29" s="20" t="str">
        <x:v>SN318_提测前冒烟与UI规范_颜色层级对应_复查修正.xlsx</x:v>
      </x:c>
    </x:row>
    <x:row r="30" ht="34" customHeight="1">
      <x:c r="A30" s="20" t="str">
        <x:v>来源</x:v>
      </x:c>
      <x:c r="B30" s="20" t="str">
        <x:v>引用聊天</x:v>
      </x:c>
      <x:c r="C30" s="20" t="str">
        <x:v>读取了引用聊天的近期请求、五色映射及网站历史观察。</x:v>
      </x:c>
      <x:c r="D30" s="20" t="str">
        <x:v>历史观察需在本批复核</x:v>
      </x:c>
      <x:c r="E30" s="20" t="str">
        <x:v>https://example.invalid/local-reference</x:v>
      </x:c>
    </x:row>
  </x:sheetData>
  <x:pageMargins left="0.7" right="0.7" top="0.75" bottom="0.75" header="0.3" footer="0.3"/>
  <x:tableParts count="1">
    <x:tablePart xmlns:r="http://schemas.openxmlformats.org/officeDocument/2006/relationships" r:id="R156b5803f60a4d7c"/>
  </x:tableParts>
</x:worksheet>
</file>