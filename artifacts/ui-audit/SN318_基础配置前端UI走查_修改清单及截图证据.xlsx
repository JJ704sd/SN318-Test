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2cd88b31e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改清单" sheetId="1" r:id="R5a4f6b1916f4475e"/>
    <x:sheet xmlns:r="http://schemas.openxmlformats.org/officeDocument/2006/relationships" name="用例覆盖" sheetId="2" r:id="Rb53764da9f664a21"/>
    <x:sheet xmlns:r="http://schemas.openxmlformats.org/officeDocument/2006/relationships" name="页面范围" sheetId="3" r:id="Rc1406b5b50e147ee"/>
    <x:sheet xmlns:r="http://schemas.openxmlformats.org/officeDocument/2006/relationships" name="截图证据" sheetId="4" r:id="Ra719ff40d7934a6f"/>
    <x:sheet xmlns:r="http://schemas.openxmlformats.org/officeDocument/2006/relationships" name="审查依据" sheetId="5" r:id="R4bf54e22e8bd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7">
    <x:font>
      <x:sz val="11"/>
      <x:name val="Carlito"/>
    </x:font>
    <x:font>
      <x:sz val="10"/>
      <x:color rgb="FF243247"/>
      <x:name val="Microsoft YaHei"/>
    </x:font>
    <x:font>
      <x:b/>
      <x:sz val="15"/>
      <x:color rgb="FF243247"/>
      <x:name val="Microsoft YaHei"/>
    </x:font>
    <x:font>
      <x:sz val="10"/>
      <x:color rgb="FF53687D"/>
      <x:name val="Microsoft YaHei"/>
    </x:font>
    <x:font>
      <x:b/>
      <x:sz val="10"/>
      <x:color rgb="FFFFFFFF"/>
      <x:name val="Microsoft YaHei"/>
    </x:font>
    <x:font>
      <x:b/>
      <x:sz val="10"/>
      <x:color rgb="FF243247"/>
      <x:name val="Microsoft YaHei"/>
    </x:font>
    <x:font>
      <x:b/>
      <x:sz val="13"/>
      <x:color rgb="FF24324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79"/>
      </x:patternFill>
    </x:fill>
    <x:fill>
      <x:patternFill patternType="solid">
        <x:fgColor rgb="FFFFF3D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  <x:dxfs count="2">
    <x:dxf>
      <x:font>
        <x:color rgb="FFA94537"/>
      </x:font>
      <x:fill>
        <x:patternFill patternType="solid">
          <x:bgColor rgb="FFFDE9E5"/>
        </x:patternFill>
      </x:fill>
    </x:dxf>
    <x:dxf>
      <x:font>
        <x:color rgb="FF805C22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8643ec1614cf3" /><Relationship Type="http://schemas.openxmlformats.org/officeDocument/2006/relationships/theme" Target="/xl/theme/theme1.xml" Id="R9f927b8173b14d02" /><Relationship Type="http://schemas.openxmlformats.org/officeDocument/2006/relationships/sharedStrings" Target="/xl/sharedStrings.xml" Id="R4b010c9ac9a1471e" /><Relationship Type="http://schemas.openxmlformats.org/officeDocument/2006/relationships/worksheet" Target="/xl/worksheets/sheet1.xml" Id="R5a4f6b1916f4475e" /><Relationship Type="http://schemas.openxmlformats.org/officeDocument/2006/relationships/worksheet" Target="/xl/worksheets/sheet2.xml" Id="Rb53764da9f664a21" /><Relationship Type="http://schemas.openxmlformats.org/officeDocument/2006/relationships/worksheet" Target="/xl/worksheets/sheet3.xml" Id="Rc1406b5b50e147ee" /><Relationship Type="http://schemas.openxmlformats.org/officeDocument/2006/relationships/worksheet" Target="/xl/worksheets/sheet4.xml" Id="Ra719ff40d7934a6f" /><Relationship Type="http://schemas.openxmlformats.org/officeDocument/2006/relationships/worksheet" Target="/xl/worksheets/sheet5.xml" Id="R4bf54e22e8bd49a5" /></Relationships>
</file>

<file path=xl/tables/table1.xml><?xml version="1.0" encoding="utf-8"?>
<x:table xmlns:x="http://schemas.openxmlformats.org/spreadsheetml/2006/main" id="1" name="FrontendAuditItems" displayName="FrontendAuditItems" ref="A5:Q17" headerRowCount="1" totalsRowCount="0" totalsRowShown="0">
  <x:tableColumns count="17">
    <x:tableColumn id="1" name="编号"/>
    <x:tableColumn id="2" name="条目类型"/>
    <x:tableColumn id="3" name="处理优先级建议"/>
    <x:tableColumn id="4" name="页面/场景"/>
    <x:tableColumn id="5" name="问题/待决标题"/>
    <x:tableColumn id="6" name="实际表现与量测"/>
    <x:tableColumn id="7" name="规范/用例依据"/>
    <x:tableColumn id="8" name="具体修改建议"/>
    <x:tableColumn id="9" name="复测验收标准"/>
    <x:tableColumn id="10" name="对应UI case"/>
    <x:tableColumn id="11" name="截图证据"/>
    <x:tableColumn id="12" name="建议处理角色"/>
    <x:tableColumn id="13" name="前置/边界"/>
    <x:tableColumn id="14" name="责任人（待填）"/>
    <x:tableColumn id="15" name="后续状态"/>
    <x:tableColumn id="16" name="复测结果"/>
    <x:tableColumn id="17" name="复测Build/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iCoverage" displayName="UiCoverage" ref="A5:I54" headerRowCount="1" totalsRowCount="0" totalsRowShown="0">
  <x:tableColumns count="9">
    <x:tableColumn id="1" name="UI case"/>
    <x:tableColumn id="2" name="原模块/页面"/>
    <x:tableColumn id="3" name="原检查点"/>
    <x:tableColumn id="4" name="本次观察结论"/>
    <x:tableColumn id="5" name="已执行/观察内容"/>
    <x:tableColumn id="6" name="截图ID"/>
    <x:tableColumn id="7" name="关联修改项"/>
    <x:tableColumn id="8" name="未覆盖状态/条件"/>
    <x:tableColumn id="9" name="原框架适配判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geScope" displayName="PageScope" ref="A5:I34" headerRowCount="1" totalsRowCount="0" totalsRowShown="0">
  <x:tableColumns count="9">
    <x:tableColumn id="1" name="范围ID"/>
    <x:tableColumn id="2" name="类型"/>
    <x:tableColumn id="3" name="对象/场景"/>
    <x:tableColumn id="4" name="URL"/>
    <x:tableColumn id="5" name="CSS视口"/>
    <x:tableColumn id="6" name="列表记录数"/>
    <x:tableColumn id="7" name="截图ID"/>
    <x:tableColumn id="8" name="已做动作/内容"/>
    <x:tableColumn id="9" name="未覆盖范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reenshotIndex" displayName="ScreenshotIndex" ref="A5:H53" headerRowCount="1" totalsRowCount="0" totalsRowShown="0">
  <x:tableColumns count="8">
    <x:tableColumn id="1" name="截图ID"/>
    <x:tableColumn id="2" name="截图内容"/>
    <x:tableColumn id="3" name="采集时间·上海"/>
    <x:tableColumn id="4" name="CSS视口"/>
    <x:tableColumn id="5" name="图片尺寸"/>
    <x:tableColumn id="6" name="实际URL"/>
    <x:tableColumn id="7" name="原图位置"/>
    <x:tableColumn id="8" name="截取范围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Basis" displayName="AuditBasis" ref="A5:D23" headerRowCount="1" totalsRowCount="0" totalsRowShown="0">
  <x:tableColumns count="4">
    <x:tableColumn id="1" name="类别"/>
    <x:tableColumn id="2" name="项目"/>
    <x:tableColumn id="3" name="实际记录/来源"/>
    <x:tableColumn id="4" name="说明/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ef37138eb74f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e4f4b4501c49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d5f8d19e9449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bb9e97a66448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90c9bd91b94737" /></Relationships>
</file>

<file path=xl/worksheets/sheet1.xml><?xml version="1.0" encoding="utf-8"?>
<x:worksheet xmlns:x="http://schemas.openxmlformats.org/spreadsheetml/2006/main">
  <x:sheetPr>
    <x:tabColor rgb="FF244D79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33" hidden="0" customWidth="1"/>
    <x:col min="5" max="5" width="31" hidden="0" customWidth="1"/>
    <x:col min="6" max="6" width="52" hidden="0" customWidth="1"/>
    <x:col min="7" max="7" width="47" hidden="0" customWidth="1"/>
    <x:col min="8" max="8" width="53" hidden="0" customWidth="1"/>
    <x:col min="9" max="9" width="47" hidden="0" customWidth="1"/>
    <x:col min="10" max="10" width="25" hidden="0" customWidth="1"/>
    <x:col min="11" max="11" width="31" hidden="0" customWidth="1"/>
    <x:col min="12" max="12" width="25" hidden="0" customWidth="1"/>
    <x:col min="13" max="13" width="41" hidden="0" customWidth="1"/>
    <x:col min="14" max="14" width="19" hidden="0" customWidth="1"/>
    <x:col min="15" max="15" width="21" hidden="0" customWidth="1"/>
    <x:col min="16" max="16" width="18" hidden="0" customWidth="1"/>
    <x:col min="17" max="17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9" customHeight="1">
      <x:c r="A2" s="3" t="str">
        <x:v>基础配置前端页面修改清单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5" t="str">
        <x:v>实际审查快照：18对象列表、8编辑表单、1新增表单及2类详情。未提供部署Build，以下观察不作为正式提测签署。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5" customHeight="1">
      <x:c r="A4" s="21" t="str">
        <x:v>实测问题</x:v>
      </x:c>
      <x:c r="B4" s="22" t="n">
        <x:f>COUNTIF(B6:B17,"实测问题")</x:f>
        <x:v>7</x:v>
      </x:c>
      <x:c r="C4" s="21" t="str">
        <x:v>待确认事项</x:v>
      </x:c>
      <x:c r="D4" s="22" t="n">
        <x:f>COUNTIF(B6:B17,"待确认事项")</x:f>
        <x:v>5</x:v>
      </x:c>
      <x:c r="E4" s="21" t="str">
        <x:v>对象列表</x:v>
      </x:c>
      <x:c r="F4" s="22" t="n">
        <x:v>18</x:v>
      </x:c>
      <x:c r="G4" s="21" t="str">
        <x:v>有效截图</x:v>
      </x:c>
      <x:c r="H4" s="22" t="n">
        <x:v>48</x:v>
      </x:c>
      <x:c r="I4" s="2"/>
      <x:c r="J4" s="2"/>
      <x:c r="K4" s="2"/>
      <x:c r="L4" s="2"/>
      <x:c r="M4" s="2"/>
      <x:c r="N4" s="2"/>
      <x:c r="O4" s="2"/>
      <x:c r="P4" s="2"/>
      <x:c r="Q4" s="2"/>
    </x:row>
    <x:row r="5" ht="39" customHeight="1">
      <x:c r="A5" s="17" t="str">
        <x:v>编号</x:v>
      </x:c>
      <x:c r="B5" s="18" t="str">
        <x:v>条目类型</x:v>
      </x:c>
      <x:c r="C5" s="18" t="str">
        <x:v>处理优先级建议</x:v>
      </x:c>
      <x:c r="D5" s="18" t="str">
        <x:v>页面/场景</x:v>
      </x:c>
      <x:c r="E5" s="18" t="str">
        <x:v>问题/待决标题</x:v>
      </x:c>
      <x:c r="F5" s="18" t="str">
        <x:v>实际表现与量测</x:v>
      </x:c>
      <x:c r="G5" s="18" t="str">
        <x:v>规范/用例依据</x:v>
      </x:c>
      <x:c r="H5" s="18" t="str">
        <x:v>具体修改建议</x:v>
      </x:c>
      <x:c r="I5" s="18" t="str">
        <x:v>复测验收标准</x:v>
      </x:c>
      <x:c r="J5" s="18" t="str">
        <x:v>对应UI case</x:v>
      </x:c>
      <x:c r="K5" s="18" t="str">
        <x:v>截图证据</x:v>
      </x:c>
      <x:c r="L5" s="18" t="str">
        <x:v>建议处理角色</x:v>
      </x:c>
      <x:c r="M5" s="18" t="str">
        <x:v>前置/边界</x:v>
      </x:c>
      <x:c r="N5" s="18" t="str">
        <x:v>责任人（待填）</x:v>
      </x:c>
      <x:c r="O5" s="18" t="str">
        <x:v>后续状态</x:v>
      </x:c>
      <x:c r="P5" s="18" t="str">
        <x:v>复测结果</x:v>
      </x:c>
      <x:c r="Q5" s="19" t="str">
        <x:v>复测Build/证据</x:v>
      </x:c>
    </x:row>
    <x:row r="6" ht="68" customHeight="1">
      <x:c r="A6" s="20" t="str">
        <x:v>FE04</x:v>
      </x:c>
      <x:c r="B6" s="20" t="str">
        <x:v>实测问题</x:v>
      </x:c>
      <x:c r="C6" s="20" t="str">
        <x:v>优先</x:v>
      </x:c>
      <x:c r="D6" s="20" t="str">
        <x:v>Zone列表·横向滚动初始位置；1440/1280桌面视口</x:v>
      </x:c>
      <x:c r="E6" s="20" t="str">
        <x:v>固定操作列裁切删除按钮</x:v>
      </x:c>
      <x:c r="F6" s="20" t="str">
        <x:v>初始scrollLeft=0时，Zone右固定操作列宽230px，含查看详情/编辑/停用/删除四个按钮。1440px量测最后按钮右边界1401px，单元格右边界1391px，截图显示右侧裁切。1280px初始位置仍可复现。</x:v>
      </x:c>
      <x:c r="G6" s="20" t="str">
        <x:v>SPEC §5.8：操作列固定最右，文字按钮间距16px；§4.5及UI24要求支持视口内关键操作可见可达。</x:v>
      </x:c>
      <x:c r="H6" s="20" t="str">
        <x:v>按实际按钮文字、框架Text按钮内边距和16px间距计算操作列最小宽度；修正固定列与裁切容器的宽度/overflow。以当前按钮尺寸计算约需292px，实际值随按钮规格复核。保留右固定能力。</x:v>
      </x:c>
      <x:c r="I6" s="20" t="str">
        <x:v>1440与1280分别在横向滚动初始/中间/最右端检查四个按钮完整显示、点击目标正确；右操作列和左核心标识保持定位。</x:v>
      </x:c>
      <x:c r="J6" s="20" t="str">
        <x:v>UI10、UI12、UI21、UI24</x:v>
      </x:c>
      <x:c r="K6" s="20" t="str">
        <x:v>E20、E24、E30、E31
首图位置：截图证据!A569</x:v>
      </x:c>
      <x:c r="L6" s="20" t="str">
        <x:v>前端、UI</x:v>
      </x:c>
      <x:c r="M6" s="20" t="str">
        <x:v>—</x:v>
      </x:c>
      <x:c r="N6" s="23"/>
      <x:c r="O6" s="23" t="str">
        <x:v>待开发修正</x:v>
      </x:c>
      <x:c r="P6" s="23" t="str">
        <x:v>未执行</x:v>
      </x:c>
      <x:c r="Q6" s="23"/>
    </x:row>
    <x:row r="7" ht="54" customHeight="1">
      <x:c r="A7" s="20" t="str">
        <x:v>FE05</x:v>
      </x:c>
      <x:c r="B7" s="20" t="str">
        <x:v>实测问题</x:v>
      </x:c>
      <x:c r="C7" s="20" t="str">
        <x:v>优先</x:v>
      </x:c>
      <x:c r="D7" s="20" t="str">
        <x:v>Zone详情·基本信息/成员Tabs；航线区域同类组件需回归</x:v>
      </x:c>
      <x:c r="E7" s="20" t="str">
        <x:v>Tabs缺少ARIA语义，End键未切到末项</x:v>
      </x:c>
      <x:c r="F7" s="20" t="str">
        <x:v>实际Tabs为带tabindex的div，role=tablist/tab/tabpanel数量均为0，aria-selected缺失。在基本信息聚焦后按End，仍停留基本信息；鼠标点击成员可以切换。</x:v>
      </x:c>
      <x:c r="G7" s="20" t="str">
        <x:v>SPEC §5.17交互与响应式：tablist/tab/tabpanel语义、aria-selected同步；Tab进入，左右键切换，Home/End到首末项。</x:v>
      </x:c>
      <x:c r="H7" s="20" t="str">
        <x:v>为Tabs及面板补完整角色、ID关联和选中属性；实现左右键、Home/End及合理的焦点管理。使用符合规范的Tabs封装，避免仅增加视觉选中样式。</x:v>
      </x:c>
      <x:c r="I7" s="20" t="str">
        <x:v>检查AX能识别页签名称/选中态；鼠标与键盘选中、焦点及面板一致；End到成员、Home到基本信息，左右键可切换。</x:v>
      </x:c>
      <x:c r="J7" s="20" t="str">
        <x:v>UI34、UI49</x:v>
      </x:c>
      <x:c r="K7" s="20" t="str">
        <x:v>E21、E22、E25
首图位置：截图证据!A599</x:v>
      </x:c>
      <x:c r="L7" s="20" t="str">
        <x:v>前端、UI</x:v>
      </x:c>
      <x:c r="M7" s="20" t="str">
        <x:v>列表Tab40px与触达44px的冲突另见DQ03，不据此改高。</x:v>
      </x:c>
      <x:c r="N7" s="23"/>
      <x:c r="O7" s="23" t="str">
        <x:v>待开发修正</x:v>
      </x:c>
      <x:c r="P7" s="23" t="str">
        <x:v>未执行</x:v>
      </x:c>
      <x:c r="Q7" s="23"/>
    </x:row>
    <x:row r="8" ht="54" customHeight="1">
      <x:c r="A8" s="20" t="str">
        <x:v>FE01</x:v>
      </x:c>
      <x:c r="B8" s="20" t="str">
        <x:v>实测问题</x:v>
      </x:c>
      <x:c r="C8" s="20" t="str">
        <x:v>优先</x:v>
      </x:c>
      <x:c r="D8" s="20" t="str">
        <x:v>国家列表·关键词搜索无匹配结果</x:v>
      </x:c>
      <x:c r="E8" s="20" t="str">
        <x:v>搜索空态误用无数据文案和新增引导</x:v>
      </x:c>
      <x:c r="F8" s="20" t="str">
        <x:v>国家已有中国/CN记录。输入UI_AUDIT_NO_MATCH_20261012并查询，列表0条却显示“暂无国家数据”及“新增国家”；重置后恢复1条。</x:v>
      </x:c>
      <x:c r="G8" s="20" t="str">
        <x:v>SPEC §7.2，内嵌2xUUpH!A3:C3：搜索/筛选无结果应说明未找到并引导清空条件；无数据才引导新增。</x:v>
      </x:c>
      <x:c r="H8" s="20" t="str">
        <x:v>按是否存在有效查询/筛选条件区分两类空态；无结果时显示调整条件的文案和重置/清空筛选入口；无数据时保留新增引导。建议在共用列表组件修正。</x:v>
      </x:c>
      <x:c r="I8" s="20" t="str">
        <x:v>分别验证真实无数据、关键词无结果、状态筛选无结果及重置；文案/引导正确，重置恢复数据与有效页码。</x:v>
      </x:c>
      <x:c r="J8" s="20" t="str">
        <x:v>UI09、UI23、UI43</x:v>
      </x:c>
      <x:c r="K8" s="20" t="str">
        <x:v>E01、E05
首图位置：截图证据!A59</x:v>
      </x:c>
      <x:c r="L8" s="20" t="str">
        <x:v>前端、UI</x:v>
      </x:c>
      <x:c r="M8" s="20" t="str">
        <x:v>其他17对象尚未逐个触发筛选空态，修复后按对象回归。</x:v>
      </x:c>
      <x:c r="N8" s="23"/>
      <x:c r="O8" s="23" t="str">
        <x:v>待开发修正</x:v>
      </x:c>
      <x:c r="P8" s="23" t="str">
        <x:v>未执行</x:v>
      </x:c>
      <x:c r="Q8" s="23"/>
    </x:row>
    <x:row r="9" ht="68" customHeight="1">
      <x:c r="A9" s="20" t="str">
        <x:v>FE07</x:v>
      </x:c>
      <x:c r="B9" s="20" t="str">
        <x:v>实测问题</x:v>
      </x:c>
      <x:c r="C9" s="20" t="str">
        <x:v>优先</x:v>
      </x:c>
      <x:c r="D9" s="20" t="str">
        <x:v>国家/航空公司/费用项/币种等已打开表单的字段控件</x:v>
      </x:c>
      <x:c r="E9" s="20" t="str">
        <x:v>输入控件没有程序化关联字段名</x:v>
      </x:c>
      <x:c r="F9" s="20" t="str">
        <x:v>国家表单input.id为空、associatedLabels=0，aria-label和aria-labelledby均缺失。航空公司、币种等已查输入节点亦未配置id/aria-label/aria-labelledby；国家AX输入框没有字段名称。视觉标签本身存在。</x:v>
      </x:c>
      <x:c r="G9" s="20" t="str">
        <x:v>公共库§5.3的标签可读性、键盘核心操作；原UI49；通用规范§5.7规定字段名与输入控件对应，需以可访问名称实现这一对应。</x:v>
      </x:c>
      <x:c r="H9" s="20" t="str">
        <x:v>为每个字段生成稳定唯一ID，并用label[for]或aria-labelledby关联；Select/数字控件的聚焦节点也传递字段名，错误提示按需要用aria-describedby关联。</x:v>
      </x:c>
      <x:c r="I9" s="20" t="str">
        <x:v>AX/读屏能读出国家编码、中文名称等字段名与值；键盘焦点可见、顺序正确；label关联不因新增/编辑或条件字段切换而丢失。</x:v>
      </x:c>
      <x:c r="J9" s="20" t="str">
        <x:v>UI25、UI44、UI49</x:v>
      </x:c>
      <x:c r="K9" s="20" t="str">
        <x:v>E10、E14、E28、E32
首图位置：截图证据!A269</x:v>
      </x:c>
      <x:c r="L9" s="20" t="str">
        <x:v>前端、UI</x:v>
      </x:c>
      <x:c r="M9" s="20" t="str">
        <x:v>本次未进行完整读屏软件测试，名称缺失来自AX和DOM关联检查。</x:v>
      </x:c>
      <x:c r="N9" s="23"/>
      <x:c r="O9" s="23" t="str">
        <x:v>待开发修正</x:v>
      </x:c>
      <x:c r="P9" s="23" t="str">
        <x:v>未执行</x:v>
      </x:c>
      <x:c r="Q9" s="23"/>
    </x:row>
    <x:row r="10" ht="54" customHeight="1">
      <x:c r="A10" s="20" t="str">
        <x:v>FE02</x:v>
      </x:c>
      <x:c r="B10" s="20" t="str">
        <x:v>实测问题</x:v>
      </x:c>
      <x:c r="C10" s="20" t="str">
        <x:v>常规</x:v>
      </x:c>
      <x:c r="D10" s="20" t="str">
        <x:v>币种“小数位”、汇率“直接倍率”列</x:v>
      </x:c>
      <x:c r="E10" s="20" t="str">
        <x:v>数值列未按规范右对齐</x:v>
      </x:c>
      <x:c r="F10" s="20" t="str">
        <x:v>币种小数位2、汇率直接倍率7.20000000的表头及单元格内层text-align均为left。</x:v>
      </x:c>
      <x:c r="G10" s="20" t="str">
        <x:v>SPEC §5.8列对齐表tkqkxw!A5:C5：数字/金额/重量右对齐。这里只核实际出现的数值字段，未验证金额场景。</x:v>
      </x:c>
      <x:c r="H10" s="20" t="str">
        <x:v>按字段语义配置小数位和直接倍率的表头/单元格右对齐；统一数字列渲染，展示精度保持批准口径。</x:v>
      </x:c>
      <x:c r="I10" s="20" t="str">
        <x:v>零值、大数及不同位数样本右对齐；表头与单元格一致；币种符号、编码等字段按各自类型验证。</x:v>
      </x:c>
      <x:c r="J10" s="20" t="str">
        <x:v>UI20、UI29</x:v>
      </x:c>
      <x:c r="K10" s="20" t="str">
        <x:v>E15、E16
首图位置：截图证据!A419</x:v>
      </x:c>
      <x:c r="L10" s="20" t="str">
        <x:v>前端</x:v>
      </x:c>
      <x:c r="M10" s="20" t="str">
        <x:v>—</x:v>
      </x:c>
      <x:c r="N10" s="23"/>
      <x:c r="O10" s="23" t="str">
        <x:v>待开发修正</x:v>
      </x:c>
      <x:c r="P10" s="23" t="str">
        <x:v>未执行</x:v>
      </x:c>
      <x:c r="Q10" s="23"/>
    </x:row>
    <x:row r="11" ht="54" customHeight="1">
      <x:c r="A11" s="20" t="str">
        <x:v>FE03</x:v>
      </x:c>
      <x:c r="B11" s="20" t="str">
        <x:v>实测问题</x:v>
      </x:c>
      <x:c r="C11" s="20" t="str">
        <x:v>常规</x:v>
      </x:c>
      <x:c r="D11" s="20" t="str">
        <x:v>国家、航空公司、币种、汇率等列表操作列</x:v>
      </x:c>
      <x:c r="E11" s="20" t="str">
        <x:v>操作列居中，按钮组间距4px</x:v>
      </x:c>
      <x:c r="F11" s="20" t="str">
        <x:v>操作单元格使用arco-table-cell-align-center，justify-content:center；master-data-page__actions的gap=4px。国家和航空公司已量测，币种/汇率对齐也已核。</x:v>
      </x:c>
      <x:c r="G11" s="20" t="str">
        <x:v>SPEC §5.8：tkqkxw!A4:C4规定操作列左对齐；IOfbnI!A7:B7规定文字按钮间距16px。</x:v>
      </x:c>
      <x:c r="H11" s="20" t="str">
        <x:v>对齐操作列表头及内容到左侧；按钮组采用规范16px间距，并同时校正Text按钮自身padding。与FE04一起重新计算操作列宽度，避免增大间距后更严重裁切。</x:v>
      </x:c>
      <x:c r="I11" s="20" t="str">
        <x:v>各对象默认/横向滚动/窄视口下左对齐、间距一致，按钮不挤压或遮挡，固定列规则保留。</x:v>
      </x:c>
      <x:c r="J11" s="20" t="str">
        <x:v>UI20、UI21</x:v>
      </x:c>
      <x:c r="K11" s="20" t="str">
        <x:v>E01、E15、E16、E20
首图位置：截图证据!A59</x:v>
      </x:c>
      <x:c r="L11" s="20" t="str">
        <x:v>前端、UI</x:v>
      </x:c>
      <x:c r="M11" s="20" t="str">
        <x:v>—</x:v>
      </x:c>
      <x:c r="N11" s="23"/>
      <x:c r="O11" s="23" t="str">
        <x:v>待开发修正</x:v>
      </x:c>
      <x:c r="P11" s="23" t="str">
        <x:v>未执行</x:v>
      </x:c>
      <x:c r="Q11" s="23"/>
    </x:row>
    <x:row r="12" ht="54" customHeight="1">
      <x:c r="A12" s="20" t="str">
        <x:v>FE06</x:v>
      </x:c>
      <x:c r="B12" s="20" t="str">
        <x:v>实测问题</x:v>
      </x:c>
      <x:c r="C12" s="20" t="str">
        <x:v>样式统一</x:v>
      </x:c>
      <x:c r="D12" s="20" t="str">
        <x:v>航线区域详情、Zone详情/成员编辑抽屉</x:v>
      </x:c>
      <x:c r="E12" s="20" t="str">
        <x:v>抽屉外观未使用规范圆角</x:v>
      </x:c>
      <x:c r="F12" s="20" t="str">
        <x:v>航线区域和Zone可见Drawer面板的border-radius均为0px；Zone的header/body/footer也为0。页面采用右侧640px抽屉。</x:v>
      </x:c>
      <x:c r="G12" s="20" t="str">
        <x:v>SPEC §3.4圆角表jYqjvY!A4:C4：弹窗、抽屉使用border-radius-modal=16px。</x:v>
      </x:c>
      <x:c r="H12" s="20" t="str">
        <x:v>将可见抽屉面板边缘接入16px圆角Token，并使header/body/footer及裁切一致；若本项目要求贴边抽屉例外，先记录UI批准口径。</x:v>
      </x:c>
      <x:c r="I12" s="20" t="str">
        <x:v>详情与成员编辑切换、内容滚动、1280/1440下可见边缘圆角一致；内部内容不溢出，固定标题和底部操作仍可达。</x:v>
      </x:c>
      <x:c r="J12" s="20" t="str">
        <x:v>UI39</x:v>
      </x:c>
      <x:c r="K12" s="20" t="str">
        <x:v>E19、E21、E23、E25
首图位置：截图证据!A539</x:v>
      </x:c>
      <x:c r="L12" s="20" t="str">
        <x:v>前端、UI</x:v>
      </x:c>
      <x:c r="M12" s="20" t="str">
        <x:v>是否采用贴边抽屉项目例外，需要UI确认。</x:v>
      </x:c>
      <x:c r="N12" s="23"/>
      <x:c r="O12" s="23" t="str">
        <x:v>待开发修正</x:v>
      </x:c>
      <x:c r="P12" s="23" t="str">
        <x:v>未执行</x:v>
      </x:c>
      <x:c r="Q12" s="23"/>
    </x:row>
    <x:row r="13" ht="54" customHeight="1">
      <x:c r="A13" s="20" t="str">
        <x:v>DQ01</x:v>
      </x:c>
      <x:c r="B13" s="20" t="str">
        <x:v>待确认事项</x:v>
      </x:c>
      <x:c r="C13" s="20" t="str">
        <x:v>先确认</x:v>
      </x:c>
      <x:c r="D13" s="20" t="str">
        <x:v>基础配置分类层级与新增入口</x:v>
      </x:c>
      <x:c r="E13" s="20" t="str">
        <x:v>当前分组按钮结构与红色专项Review不同</x:v>
      </x:c>
      <x:c r="F13" s="20" t="str">
        <x:v>当前主数据/计价底座是非交互分组文字，下面共5个胶囊分类按钮；对象侧栏独立，新增按钮在页头右侧。Review要求主数据/计价底座一级Tabs、子项内容区以及列表区域顶部新增。</x:v>
      </x:c>
      <x:c r="G13" s="20" t="str">
        <x:v>原UI01、DEC01；Review review-67fb39add5（rev650，来源设计完毕）；SPEC §5.17适用性与Tabs形态。</x:v>
      </x:c>
      <x:c r="H13" s="20" t="str">
        <x:v>UI/产品确认本批采用的专项稿和例外。若采纳Review，改为批准的一级Tabs/子项层级并移动当前对象新增入口；若保留现结构，记录批准方案。</x:v>
      </x:c>
      <x:c r="I13" s="20" t="str">
        <x:v>按最终方案检查结构、切换的对象/标题/列表/新增目标、键盘与返回上下文。</x:v>
      </x:c>
      <x:c r="J13" s="20" t="str">
        <x:v>UI01、UI33、UI34</x:v>
      </x:c>
      <x:c r="K13" s="20" t="str">
        <x:v>E01、E13、E24、E29
首图位置：截图证据!A59</x:v>
      </x:c>
      <x:c r="L13" s="20" t="str">
        <x:v>产品、UI，前端跟进</x:v>
      </x:c>
      <x:c r="M13" s="20" t="str">
        <x:v>未取得本批批准专项稿/Build，不以来源“设计完毕”认定系统已通过。</x:v>
      </x:c>
      <x:c r="N13" s="23"/>
      <x:c r="O13" s="23" t="str">
        <x:v>待UI/产品确认</x:v>
      </x:c>
      <x:c r="P13" s="23" t="str">
        <x:v>未执行</x:v>
      </x:c>
      <x:c r="Q13" s="23"/>
    </x:row>
    <x:row r="14" ht="68" customHeight="1">
      <x:c r="A14" s="20" t="str">
        <x:v>DQ02</x:v>
      </x:c>
      <x:c r="B14" s="20" t="str">
        <x:v>待确认事项</x:v>
      </x:c>
      <x:c r="C14" s="20" t="str">
        <x:v>先确认</x:v>
      </x:c>
      <x:c r="D14" s="20" t="str">
        <x:v>邮编、省市等关联展示；航线区域国家关系；Zone成员/服务商范围</x:v>
      </x:c>
      <x:c r="E14" s="20" t="str">
        <x:v>关联ID、名称与枚举跨视图显示口径不一致</x:v>
      </x:c>
      <x:c r="F14" s="20" t="str">
        <x:v>邮编国家列为1，编辑最终为中国CN。Zone成员列表为country/1/include，编辑为国家/中国CN/包含；列表服务商范围common，详情为通用。航线区域国家关系DOM读到1，但未切换关系页签留证。</x:v>
      </x:c>
      <x:c r="G14" s="20" t="str">
        <x:v>原UI41、UI45及DEC18的字段映射口径；SPEC §9数据可读性；本次实际列表/详情/编辑对照。</x:v>
      </x:c>
      <x:c r="H14" s="20" t="str">
        <x:v>产品明确名称/编码/ID与枚举标签映射。建议同一字段统一可识别中文标签与必要编码；取不到名称时清楚标记兜底，不把内部ID当作名称。</x:v>
      </x:c>
      <x:c r="I14" s="20" t="str">
        <x:v>对同一关联对象验证列表、详情、编辑及搜索候选显示一致；原始关联ID保持正确，空值和加载兜底有区分。</x:v>
      </x:c>
      <x:c r="J14" s="20" t="str">
        <x:v>UI41、UI45</x:v>
      </x:c>
      <x:c r="K14" s="20" t="str">
        <x:v>E06、E08、E19、E20、E22、E23、L02、L06
首图位置：截图证据!A209</x:v>
      </x:c>
      <x:c r="L14" s="20" t="str">
        <x:v>产品、前端、UI</x:v>
      </x:c>
      <x:c r="M14" s="20" t="str">
        <x:v>目前只确认展示差异，不能据此判定业务关联数据错误。</x:v>
      </x:c>
      <x:c r="N14" s="23"/>
      <x:c r="O14" s="23" t="str">
        <x:v>待UI/产品确认</x:v>
      </x:c>
      <x:c r="P14" s="23" t="str">
        <x:v>未执行</x:v>
      </x:c>
      <x:c r="Q14" s="23"/>
    </x:row>
    <x:row r="15" ht="54" customHeight="1">
      <x:c r="A15" s="20" t="str">
        <x:v>DQ03</x:v>
      </x:c>
      <x:c r="B15" s="20" t="str">
        <x:v>待确认事项</x:v>
      </x:c>
      <x:c r="C15" s="20" t="str">
        <x:v>先确认</x:v>
      </x:c>
      <x:c r="D15" s="20" t="str">
        <x:v>表头颜色、详情Tabs触达及页头高度</x:v>
      </x:c>
      <x:c r="E15" s="20" t="str">
        <x:v>规范内部口径冲突需统一</x:v>
      </x:c>
      <x:c r="F15" s="20" t="str">
        <x:v>已观察表头为#F7F7F7，详情Tabs高度40px。原表已记录：表头#F7F8FA/#F7F7F7、列表Tab40px/触达≥44px、页头94px/4倍数说明的冲突。</x:v>
      </x:c>
      <x:c r="G15" s="20" t="str">
        <x:v>原DEC18；SPEC §4.5、§5.8、§5.17、§4.2。</x:v>
      </x:c>
      <x:c r="H15" s="20" t="str">
        <x:v>UI维护统一采用值或项目例外，再让前端使用同一Token和组件规则；本次不凭其中任一冲突数值单独判失败。</x:v>
      </x:c>
      <x:c r="I15" s="20" t="str">
        <x:v>将批准数值和例外写入执行基线，按本批支持模板/设备逐项量测。</x:v>
      </x:c>
      <x:c r="J15" s="20" t="str">
        <x:v>UI20、UI33、UI40</x:v>
      </x:c>
      <x:c r="K15" s="20" t="str">
        <x:v>E01、E21、E25
首图位置：截图证据!A59</x:v>
      </x:c>
      <x:c r="L15" s="20" t="str">
        <x:v>UI、产品</x:v>
      </x:c>
      <x:c r="M15" s="20" t="str">
        <x:v>页头94px冲突沿用原表；本次未完成所有页头模板高度量测。</x:v>
      </x:c>
      <x:c r="N15" s="23"/>
      <x:c r="O15" s="23" t="str">
        <x:v>待UI/产品确认</x:v>
      </x:c>
      <x:c r="P15" s="23" t="str">
        <x:v>未执行</x:v>
      </x:c>
      <x:c r="Q15" s="23"/>
    </x:row>
    <x:row r="16" ht="54" customHeight="1">
      <x:c r="A16" s="20" t="str">
        <x:v>DQ04</x:v>
      </x:c>
      <x:c r="B16" s="20" t="str">
        <x:v>待确认事项</x:v>
      </x:c>
      <x:c r="C16" s="20" t="str">
        <x:v>先确认</x:v>
      </x:c>
      <x:c r="D16" s="20" t="str">
        <x:v>配置对象卡片标题</x:v>
      </x:c>
      <x:c r="E16" s="20" t="str">
        <x:v>标题层级与字号采用值待UI确认</x:v>
      </x:c>
      <x:c r="F16" s="20" t="str">
        <x:v>配置对象使用master-data-workspace__resources-title，computed font-size=13px、font-weight=500；H1与弹窗标题另已观察为20px/500、16px/500。</x:v>
      </x:c>
      <x:c r="G16" s="20" t="str">
        <x:v>SPEC §3.2 s4NgFa!A3:F4：模块/卡片标题H2为16px/500，卡片内分组H3为14px/500；辅助字为13px/400。</x:v>
      </x:c>
      <x:c r="H16" s="20" t="str">
        <x:v>UI确定配置对象属于模块标题、分组标题或批准的辅助标题，再接入对应字体Token；不要从当前CSS倒推验收值。</x:v>
      </x:c>
      <x:c r="I16" s="20" t="str">
        <x:v>18对象切换时标题层级与字体一致，无额外无依据字重。</x:v>
      </x:c>
      <x:c r="J16" s="20" t="str">
        <x:v>UI19</x:v>
      </x:c>
      <x:c r="K16" s="20" t="str">
        <x:v>E01、E12、L01、L14
首图位置：截图证据!A59</x:v>
      </x:c>
      <x:c r="L16" s="20" t="str">
        <x:v>UI、前端</x:v>
      </x:c>
      <x:c r="M16" s="20" t="str">
        <x:v>具体标题语义层级未取得专项采用结论。</x:v>
      </x:c>
      <x:c r="N16" s="23"/>
      <x:c r="O16" s="23" t="str">
        <x:v>待UI/产品确认</x:v>
      </x:c>
      <x:c r="P16" s="23" t="str">
        <x:v>未执行</x:v>
      </x:c>
      <x:c r="Q16" s="23"/>
    </x:row>
    <x:row r="17" ht="54" customHeight="1">
      <x:c r="A17" s="20" t="str">
        <x:v>DQ05</x:v>
      </x:c>
      <x:c r="B17" s="20" t="str">
        <x:v>待确认事项</x:v>
      </x:c>
      <x:c r="C17" s="20" t="str">
        <x:v>先确认</x:v>
      </x:c>
      <x:c r="D17" s="20" t="str">
        <x:v>应用刷新启动/页面数据加载</x:v>
      </x:c>
      <x:c r="E17" s="20" t="str">
        <x:v>全页Spin所属阶段及Skeleton要求待分层确认</x:v>
      </x:c>
      <x:c r="F17" s="20" t="str">
        <x:v>刷新Zone时捕获整页“加载中…”Spin。随后恢复正确group/resource并加载数据。该帧是否属于应用鉴权启动，当前证据不能区分；未据此认定所有列表加载缺少骨架。</x:v>
      </x:c>
      <x:c r="G17" s="20" t="str">
        <x:v>SPEC §7.1 OWeLZt!A2:C5：页面初始化Skeleton、局部刷新Spin、按钮loading、长任务Progress；原UI23/UI47。</x:v>
      </x:c>
      <x:c r="H17" s="20" t="str">
        <x:v>产品/UI区分应用鉴权启动与页面数据加载的表现；按批准场景接入Skeleton/区域Spin，并在可控慢响应中核对完整出现和结束过程。</x:v>
      </x:c>
      <x:c r="I17" s="20" t="str">
        <x:v>分别覆盖鉴权启动、列表初载、局部刷新、按钮提交及失败恢复；不出现假空态/假成功或永久loading。</x:v>
      </x:c>
      <x:c r="J17" s="20" t="str">
        <x:v>UI23、UI47</x:v>
      </x:c>
      <x:c r="K17" s="20" t="str">
        <x:v>E26
首图位置：截图证据!A1250</x:v>
      </x:c>
      <x:c r="L17" s="20" t="str">
        <x:v>UI、产品、前端</x:v>
      </x:c>
      <x:c r="M17" s="20" t="str">
        <x:v>本次未注入慢网/失败，也未验证提交防重。</x:v>
      </x:c>
      <x:c r="N17" s="23"/>
      <x:c r="O17" s="23" t="str">
        <x:v>待UI/产品确认</x:v>
      </x:c>
      <x:c r="P17" s="23" t="str">
        <x:v>未执行</x:v>
      </x:c>
      <x:c r="Q17" s="23"/>
    </x:row>
  </x:sheetData>
  <x:conditionalFormatting sqref="B6:B17">
    <x:cfRule type="expression" dxfId="0" priority="1">
      <x:formula>B6="实测问题"</x:formula>
    </x:cfRule>
    <x:cfRule type="expression" dxfId="1" priority="2">
      <x:formula>B6="待确认事项"</x:formula>
    </x:cfRule>
  </x:conditionalFormatting>
  <x:dataValidations count="2">
    <x:dataValidation type="list" sqref="O6:O17">
      <x:formula1>"待开发修正,修改中,待复测,待UI/产品确认,已完成复测,不纳入本批"</x:formula1>
    </x:dataValidation>
    <x:dataValidation type="list" sqref="P6:P17">
      <x:formula1>"未执行,通过,失败,受阻"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ef37138eb74f9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4" hidden="0" customWidth="1"/>
    <x:col min="4" max="4" width="27" hidden="0" customWidth="1"/>
    <x:col min="5" max="5" width="59" hidden="0" customWidth="1"/>
    <x:col min="6" max="6" width="32" hidden="0" customWidth="1"/>
    <x:col min="7" max="7" width="26" hidden="0" customWidth="1"/>
    <x:col min="8" max="8" width="58" hidden="0" customWidth="1"/>
    <x:col min="9" max="9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49条UI case：本次覆盖与未覆盖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5" t="str">
        <x:v>按原用例编号续接；部分已核不等于整个case通过。服务单元、AI等未用基础配置对象代验。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9" customHeight="1">
      <x:c r="A5" s="17" t="str">
        <x:v>UI case</x:v>
      </x:c>
      <x:c r="B5" s="18" t="str">
        <x:v>原模块/页面</x:v>
      </x:c>
      <x:c r="C5" s="18" t="str">
        <x:v>原检查点</x:v>
      </x:c>
      <x:c r="D5" s="18" t="str">
        <x:v>本次观察结论</x:v>
      </x:c>
      <x:c r="E5" s="18" t="str">
        <x:v>已执行/观察内容</x:v>
      </x:c>
      <x:c r="F5" s="18" t="str">
        <x:v>截图ID</x:v>
      </x:c>
      <x:c r="G5" s="18" t="str">
        <x:v>关联修改项</x:v>
      </x:c>
      <x:c r="H5" s="18" t="str">
        <x:v>未覆盖状态/条件</x:v>
      </x:c>
      <x:c r="I5" s="19" t="str">
        <x:v>原框架适配判断</x:v>
      </x:c>
    </x:row>
    <x:row r="6" ht="52" customHeight="1">
      <x:c r="A6" s="20" t="str">
        <x:v>UI01</x:v>
      </x:c>
      <x:c r="B6" s="20" t="str">
        <x:v>基础配置</x:v>
      </x:c>
      <x:c r="C6" s="20" t="str">
        <x:v>分类层级与新增入口</x:v>
      </x:c>
      <x:c r="D6" s="20" t="str">
        <x:v>观察差异，待确认</x:v>
      </x:c>
      <x:c r="E6" s="20" t="str">
        <x:v>分类/对象切换及国家新增入口已查，当前结构与专项Review不同。</x:v>
      </x:c>
      <x:c r="F6" s="20" t="str">
        <x:v>E01、E29、L01、L14</x:v>
      </x:c>
      <x:c r="G6" s="20" t="str">
        <x:v>DQ01</x:v>
      </x:c>
      <x:c r="H6" s="20" t="str">
        <x:v>批准专项稿、采纳范围与本批Build。</x:v>
      </x:c>
      <x:c r="I6" s="20" t="str">
        <x:v>无法覆盖</x:v>
      </x:c>
    </x:row>
    <x:row r="7" ht="52" customHeight="1">
      <x:c r="A7" s="20" t="str">
        <x:v>UI02</x:v>
      </x:c>
      <x:c r="B7" s="20" t="str">
        <x:v>左侧菜单</x:v>
      </x:c>
      <x:c r="C7" s="20" t="str">
        <x:v>跨分类与手动展开</x:v>
      </x:c>
      <x:c r="D7" s="20" t="str">
        <x:v>部分已核</x:v>
      </x:c>
      <x:c r="E7" s="20" t="str">
        <x:v>当前会话仅见系统配置→基础配置；1280折叠与1440展开被观察。</x:v>
      </x:c>
      <x:c r="F7" s="20" t="str">
        <x:v>E01、E24</x:v>
      </x:c>
      <x:c r="G7" s="20" t="str">
        <x:v>—</x:v>
      </x:c>
      <x:c r="H7" s="20" t="str">
        <x:v>多个一级分类切换/手动同时展开尚无场景。</x:v>
      </x:c>
      <x:c r="I7" s="20" t="str">
        <x:v>无法覆盖</x:v>
      </x:c>
    </x:row>
    <x:row r="8" ht="52" customHeight="1">
      <x:c r="A8" s="20" t="str">
        <x:v>UI03</x:v>
      </x:c>
      <x:c r="B8" s="20" t="str">
        <x:v>服务单元</x:v>
      </x:c>
      <x:c r="C8" s="20" t="str">
        <x:v>下单规则选择反馈</x:v>
      </x:c>
      <x:c r="D8" s="20" t="str">
        <x:v>本次URL未覆盖</x:v>
      </x:c>
      <x:c r="E8" s="20" t="str">
        <x:v>下单限制属于服务单元，未使用基础配置对象代验。</x:v>
      </x:c>
      <x:c r="F8" s="20" t="str">
        <x:v>—</x:v>
      </x:c>
      <x:c r="G8" s="20" t="str">
        <x:v>—</x:v>
      </x:c>
      <x:c r="H8" s="20" t="str">
        <x:v>需服务单元入口、DEC22及专用数据。</x:v>
      </x:c>
      <x:c r="I8" s="20" t="str">
        <x:v>组合复用</x:v>
      </x:c>
    </x:row>
    <x:row r="9" ht="52" customHeight="1">
      <x:c r="A9" s="20" t="str">
        <x:v>UI04</x:v>
      </x:c>
      <x:c r="B9" s="20" t="str">
        <x:v>服务单元</x:v>
      </x:c>
      <x:c r="C9" s="20" t="str">
        <x:v>禁用编排风险提示</x:v>
      </x:c>
      <x:c r="D9" s="20" t="str">
        <x:v>本次URL未覆盖</x:v>
      </x:c>
      <x:c r="E9" s="20" t="str">
        <x:v>禁用编排风险提示不在所查基础配置对象。</x:v>
      </x:c>
      <x:c r="F9" s="20" t="str">
        <x:v>—</x:v>
      </x:c>
      <x:c r="G9" s="20" t="str">
        <x:v>—</x:v>
      </x:c>
      <x:c r="H9" s="20" t="str">
        <x:v>需对应服务单元场景。</x:v>
      </x:c>
      <x:c r="I9" s="20" t="str">
        <x:v>调整后复用</x:v>
      </x:c>
    </x:row>
    <x:row r="10" ht="52" customHeight="1">
      <x:c r="A10" s="20" t="str">
        <x:v>UI05</x:v>
      </x:c>
      <x:c r="B10" s="20" t="str">
        <x:v>全局</x:v>
      </x:c>
      <x:c r="C10" s="20" t="str">
        <x:v>原型说明文案清理</x:v>
      </x:c>
      <x:c r="D10" s="20" t="str">
        <x:v>部分已核</x:v>
      </x:c>
      <x:c r="E10" s="20" t="str">
        <x:v>页头和分类说明已记录；没有产品批准的删留文案清单。</x:v>
      </x:c>
      <x:c r="F10" s="20" t="str">
        <x:v>E01、E13</x:v>
      </x:c>
      <x:c r="G10" s="20" t="str">
        <x:v>—</x:v>
      </x:c>
      <x:c r="H10" s="20" t="str">
        <x:v>产品文案删留清单；不自动删除必要规则。</x:v>
      </x:c>
      <x:c r="I10" s="20" t="str">
        <x:v>业务交互、信息待明确</x:v>
      </x:c>
    </x:row>
    <x:row r="11" ht="52" customHeight="1">
      <x:c r="A11" s="20" t="str">
        <x:v>UI06</x:v>
      </x:c>
      <x:c r="B11" s="20" t="str">
        <x:v>左侧菜单</x:v>
      </x:c>
      <x:c r="C11" s="20" t="str">
        <x:v>菜单视觉与图标</x:v>
      </x:c>
      <x:c r="D11" s="20" t="str">
        <x:v>部分已核</x:v>
      </x:c>
      <x:c r="E11" s="20" t="str">
        <x:v>当前系统配置菜单图标/选中路径及折叠形态可见。</x:v>
      </x:c>
      <x:c r="F11" s="20" t="str">
        <x:v>E01、E24</x:v>
      </x:c>
      <x:c r="G11" s="20" t="str">
        <x:v>—</x:v>
      </x:c>
      <x:c r="H11" s="20" t="str">
        <x:v>所有菜单层级与各状态未完整量测。</x:v>
      </x:c>
      <x:c r="I11" s="20" t="str">
        <x:v>直接复用</x:v>
      </x:c>
    </x:row>
    <x:row r="12" ht="52" customHeight="1">
      <x:c r="A12" s="20" t="str">
        <x:v>UI07</x:v>
      </x:c>
      <x:c r="B12" s="20" t="str">
        <x:v>顶部导航</x:v>
      </x:c>
      <x:c r="C12" s="20" t="str">
        <x:v>导航结构与无功能入口</x:v>
      </x:c>
      <x:c r="D12" s="20" t="str">
        <x:v>部分已核</x:v>
      </x:c>
      <x:c r="E12" s="20" t="str">
        <x:v>顶部系统名、账号入口可见，未见搜索/消息占位入口。</x:v>
      </x:c>
      <x:c r="F12" s="20" t="str">
        <x:v>E01</x:v>
      </x:c>
      <x:c r="G12" s="20" t="str">
        <x:v>—</x:v>
      </x:c>
      <x:c r="H12" s="20" t="str">
        <x:v>账号菜单真实去向和其他页面导航未查。</x:v>
      </x:c>
      <x:c r="I12" s="20" t="str">
        <x:v>直接复用</x:v>
      </x:c>
    </x:row>
    <x:row r="13" ht="52" customHeight="1">
      <x:c r="A13" s="20" t="str">
        <x:v>UI08</x:v>
      </x:c>
      <x:c r="B13" s="20" t="str">
        <x:v>所有页头栏</x:v>
      </x:c>
      <x:c r="C13" s="20" t="str">
        <x:v>面包屑与操作对齐</x:v>
      </x:c>
      <x:c r="D13" s="20" t="str">
        <x:v>部分已核</x:v>
      </x:c>
      <x:c r="E13" s="20" t="str">
        <x:v>基础配置面包屑/标题/新增按钮已查。</x:v>
      </x:c>
      <x:c r="F13" s="20" t="str">
        <x:v>E01、E29</x:v>
      </x:c>
      <x:c r="G13" s="20" t="str">
        <x:v>—</x:v>
      </x:c>
      <x:c r="H13" s="20" t="str">
        <x:v>其他模板及副标题采用结论。</x:v>
      </x:c>
      <x:c r="I13" s="20" t="str">
        <x:v>直接复用</x:v>
      </x:c>
    </x:row>
    <x:row r="14" ht="52" customHeight="1">
      <x:c r="A14" s="20" t="str">
        <x:v>UI09</x:v>
      </x:c>
      <x:c r="B14" s="20" t="str">
        <x:v>所有查询区</x:v>
      </x:c>
      <x:c r="C14" s="20" t="str">
        <x:v>筛选布局与刷新反馈</x:v>
      </x:c>
      <x:c r="D14" s="20" t="str">
        <x:v>有实测问题</x:v>
      </x:c>
      <x:c r="E14" s="20" t="str">
        <x:v>国家关键词无结果及重置已执行；空态有误。</x:v>
      </x:c>
      <x:c r="F14" s="20" t="str">
        <x:v>E01、E05</x:v>
      </x:c>
      <x:c r="G14" s="20" t="str">
        <x:v>FE01</x:v>
      </x:c>
      <x:c r="H14" s="20" t="str">
        <x:v>各对象组合条件/局部加载反馈未完整测。</x:v>
      </x:c>
      <x:c r="I14" s="20" t="str">
        <x:v>直接复用</x:v>
      </x:c>
    </x:row>
    <x:row r="15" ht="52" customHeight="1">
      <x:c r="A15" s="20" t="str">
        <x:v>UI10</x:v>
      </x:c>
      <x:c r="B15" s="20" t="str">
        <x:v>所有列表区</x:v>
      </x:c>
      <x:c r="C15" s="20" t="str">
        <x:v>列表容器与列适配</x:v>
      </x:c>
      <x:c r="D15" s="20" t="str">
        <x:v>有实测问题</x:v>
      </x:c>
      <x:c r="E15" s="20" t="str">
        <x:v>18对象列表已查看；Zone固定操作区域裁切。</x:v>
      </x:c>
      <x:c r="F15" s="20" t="str">
        <x:v>L01、L18、E30、E31</x:v>
      </x:c>
      <x:c r="G15" s="20" t="str">
        <x:v>FE04</x:v>
      </x:c>
      <x:c r="H15" s="20" t="str">
        <x:v>长数据样本、隐藏工具栏与列适配全矩阵。</x:v>
      </x:c>
      <x:c r="I15" s="20" t="str">
        <x:v>直接复用</x:v>
      </x:c>
    </x:row>
    <x:row r="16" ht="52" customHeight="1">
      <x:c r="A16" s="20" t="str">
        <x:v>UI11</x:v>
      </x:c>
      <x:c r="B16" s="20" t="str">
        <x:v>所有列表区</x:v>
      </x:c>
      <x:c r="C16" s="20" t="str">
        <x:v>分页组件与能力</x:v>
      </x:c>
      <x:c r="D16" s="20" t="str">
        <x:v>部分已核</x:v>
      </x:c>
      <x:c r="E16" s="20" t="str">
        <x:v>现有1—2条、默认20条/页；非法0/-1/1.5后跳页输入清空。</x:v>
      </x:c>
      <x:c r="F16" s="20" t="str">
        <x:v>E01、E15</x:v>
      </x:c>
      <x:c r="G16" s="20" t="str">
        <x:v>—</x:v>
      </x:c>
      <x:c r="H16" s="20" t="str">
        <x:v>缺超过一页数据；多页/尾页/跨页筛选未覆盖。</x:v>
      </x:c>
      <x:c r="I16" s="20" t="str">
        <x:v>直接复用</x:v>
      </x:c>
    </x:row>
    <x:row r="17" ht="52" customHeight="1">
      <x:c r="A17" s="20" t="str">
        <x:v>UI12</x:v>
      </x:c>
      <x:c r="B17" s="20" t="str">
        <x:v>所有列表区</x:v>
      </x:c>
      <x:c r="C17" s="20" t="str">
        <x:v>横向滚动固定列</x:v>
      </x:c>
      <x:c r="D17" s="20" t="str">
        <x:v>有实测问题</x:v>
      </x:c>
      <x:c r="E17" s="20" t="str">
        <x:v>Zone横向scrollLeft由0到163，左右核心标识/操作固定；初始位置操作裁切。</x:v>
      </x:c>
      <x:c r="F17" s="20" t="str">
        <x:v>E30、E31</x:v>
      </x:c>
      <x:c r="G17" s="20" t="str">
        <x:v>FE04</x:v>
      </x:c>
      <x:c r="H17" s="20" t="str">
        <x:v>无勾选列，不代验勾选固定规则；其他长表回归。</x:v>
      </x:c>
      <x:c r="I17" s="20" t="str">
        <x:v>直接复用</x:v>
      </x:c>
    </x:row>
    <x:row r="18" ht="52" customHeight="1">
      <x:c r="A18" s="20" t="str">
        <x:v>UI13</x:v>
      </x:c>
      <x:c r="B18" s="20" t="str">
        <x:v>所有列表区</x:v>
      </x:c>
      <x:c r="C18" s="20" t="str">
        <x:v>批量操作栏位置</x:v>
      </x:c>
      <x:c r="D18" s="20" t="str">
        <x:v>本页未提供选择能力</x:v>
      </x:c>
      <x:c r="E18" s="20" t="str">
        <x:v>18列表未见勾选或批量操作入口。</x:v>
      </x:c>
      <x:c r="F18" s="20" t="str">
        <x:v>L01、L18</x:v>
      </x:c>
      <x:c r="G18" s="20" t="str">
        <x:v>—</x:v>
      </x:c>
      <x:c r="H18" s="20" t="str">
        <x:v>若本批交付要求该能力，需补入口后验证，不判全项目不适用。</x:v>
      </x:c>
      <x:c r="I18" s="20" t="str">
        <x:v>直接复用</x:v>
      </x:c>
    </x:row>
    <x:row r="19" ht="52" customHeight="1">
      <x:c r="A19" s="20" t="str">
        <x:v>UI14</x:v>
      </x:c>
      <x:c r="B19" s="20" t="str">
        <x:v>所有列表区</x:v>
      </x:c>
      <x:c r="C19" s="20" t="str">
        <x:v>行级选中态与固定区</x:v>
      </x:c>
      <x:c r="D19" s="20" t="str">
        <x:v>本页未提供选择能力</x:v>
      </x:c>
      <x:c r="E19" s="20" t="str">
        <x:v>Zone滚动时观察hover，未有复选框选中行场景。</x:v>
      </x:c>
      <x:c r="F19" s="20" t="str">
        <x:v>E31</x:v>
      </x:c>
      <x:c r="G19" s="20" t="str">
        <x:v>—</x:v>
      </x:c>
      <x:c r="H19" s="20" t="str">
        <x:v>勾选/取消及固定区选中态未覆盖。</x:v>
      </x:c>
      <x:c r="I19" s="20" t="str">
        <x:v>直接复用</x:v>
      </x:c>
    </x:row>
    <x:row r="20" ht="52" customHeight="1">
      <x:c r="A20" s="20" t="str">
        <x:v>UI15</x:v>
      </x:c>
      <x:c r="B20" s="20" t="str">
        <x:v>所有列表区</x:v>
      </x:c>
      <x:c r="C20" s="20" t="str">
        <x:v>编码链接的真实行为</x:v>
      </x:c>
      <x:c r="D20" s="20" t="str">
        <x:v>部分已核</x:v>
      </x:c>
      <x:c r="E20" s="20" t="str">
        <x:v>编码普通文本；航线区域/Zone以查看详情按钮打开正确对象。</x:v>
      </x:c>
      <x:c r="F20" s="20" t="str">
        <x:v>E18、E20、E21</x:v>
      </x:c>
      <x:c r="G20" s="20" t="str">
        <x:v>—</x:v>
      </x:c>
      <x:c r="H20" s="20" t="str">
        <x:v>编码是否作为入口仍按产品范围；服务单元未查。</x:v>
      </x:c>
      <x:c r="I20" s="20" t="str">
        <x:v>直接复用</x:v>
      </x:c>
    </x:row>
    <x:row r="21" ht="52" customHeight="1">
      <x:c r="A21" s="20" t="str">
        <x:v>UI16</x:v>
      </x:c>
      <x:c r="B21" s="20" t="str">
        <x:v>Ai 建档解析</x:v>
      </x:c>
      <x:c r="C21" s="20" t="str">
        <x:v>建档页面承载</x:v>
      </x:c>
      <x:c r="D21" s="20" t="str">
        <x:v>本次URL未覆盖</x:v>
      </x:c>
      <x:c r="E21" s="20" t="str">
        <x:v>未查AI完整建档流程。</x:v>
      </x:c>
      <x:c r="F21" s="20" t="str">
        <x:v>—</x:v>
      </x:c>
      <x:c r="G21" s="20" t="str">
        <x:v>—</x:v>
      </x:c>
      <x:c r="H21" s="20" t="str">
        <x:v>需AI建档入口、批准状态和材料。</x:v>
      </x:c>
      <x:c r="I21" s="20" t="str">
        <x:v>直接复用</x:v>
      </x:c>
    </x:row>
    <x:row r="22" ht="52" customHeight="1">
      <x:c r="A22" s="20" t="str">
        <x:v>UI17</x:v>
      </x:c>
      <x:c r="B22" s="20" t="str">
        <x:v>全局</x:v>
      </x:c>
      <x:c r="C22" s="20" t="str">
        <x:v>刷新保持页面</x:v>
      </x:c>
      <x:c r="D22" s="20" t="str">
        <x:v>部分已核</x:v>
      </x:c>
      <x:c r="E22" s="20" t="str">
        <x:v>Zone刷新后仍为routing/reference_zone，数据恢复。</x:v>
      </x:c>
      <x:c r="F22" s="20" t="str">
        <x:v>E26、L18</x:v>
      </x:c>
      <x:c r="G22" s="20" t="str">
        <x:v>—</x:v>
      </x:c>
      <x:c r="H22" s="20" t="str">
        <x:v>筛选、弹层、未保存输入的刷新保持规则未完整验证。</x:v>
      </x:c>
      <x:c r="I22" s="20" t="str">
        <x:v>直接复用</x:v>
      </x:c>
    </x:row>
    <x:row r="23" ht="52" customHeight="1">
      <x:c r="A23" s="20" t="str">
        <x:v>UI18</x:v>
      </x:c>
      <x:c r="B23" s="20" t="str">
        <x:v>服务单元</x:v>
      </x:c>
      <x:c r="C23" s="20" t="str">
        <x:v>详情 Drawer 与滚动</x:v>
      </x:c>
      <x:c r="D23" s="20" t="str">
        <x:v>本次URL未覆盖</x:v>
      </x:c>
      <x:c r="E23" s="20" t="str">
        <x:v>该case专指服务单元Drawer；本次两类基础配置Drawer由UI39等覆盖。</x:v>
      </x:c>
      <x:c r="F23" s="20" t="str">
        <x:v>—</x:v>
      </x:c>
      <x:c r="G23" s="20" t="str">
        <x:v>—</x:v>
      </x:c>
      <x:c r="H23" s="20" t="str">
        <x:v>需服务单元详情入口，不用Zone代验。</x:v>
      </x:c>
      <x:c r="I23" s="20" t="str">
        <x:v>直接复用</x:v>
      </x:c>
    </x:row>
    <x:row r="24" ht="52" customHeight="1">
      <x:c r="A24" s="20" t="str">
        <x:v>UI19</x:v>
      </x:c>
      <x:c r="B24" s="20" t="str">
        <x:v>通用字体</x:v>
      </x:c>
      <x:c r="C24" s="20" t="str">
        <x:v>字体数值与字重</x:v>
      </x:c>
      <x:c r="D24" s="20" t="str">
        <x:v>观察差异，待确认</x:v>
      </x:c>
      <x:c r="E24" s="20" t="str">
        <x:v>H1/弹窗标题局部符合；配置对象标题13px/500需确认。</x:v>
      </x:c>
      <x:c r="F24" s="20" t="str">
        <x:v>E01、E10、E12</x:v>
      </x:c>
      <x:c r="G24" s="20" t="str">
        <x:v>DQ04</x:v>
      </x:c>
      <x:c r="H24" s="20" t="str">
        <x:v>完整六层字体、OS实际字族与各页面采用值。</x:v>
      </x:c>
      <x:c r="I24" s="20" t="str">
        <x:v>规范／检查建议</x:v>
      </x:c>
    </x:row>
    <x:row r="25" ht="52" customHeight="1">
      <x:c r="A25" s="20" t="str">
        <x:v>UI20</x:v>
      </x:c>
      <x:c r="B25" s="20" t="str">
        <x:v>桌面表格</x:v>
      </x:c>
      <x:c r="C25" s="20" t="str">
        <x:v>表格基础规格</x:v>
      </x:c>
      <x:c r="D25" s="20" t="str">
        <x:v>有实测问题</x:v>
      </x:c>
      <x:c r="E25" s="20" t="str">
        <x:v>桌面行高48、表头500已量测；数值/操作对齐有差异。</x:v>
      </x:c>
      <x:c r="F25" s="20" t="str">
        <x:v>E01、E15、E16</x:v>
      </x:c>
      <x:c r="G25" s="20" t="str">
        <x:v>FE02、FE03、DQ03</x:v>
      </x:c>
      <x:c r="H25" s="20" t="str">
        <x:v>选中态无场景；表头采用值冲突需确认。</x:v>
      </x:c>
      <x:c r="I25" s="20" t="str">
        <x:v>规范／检查建议</x:v>
      </x:c>
    </x:row>
    <x:row r="26" ht="52" customHeight="1">
      <x:c r="A26" s="20" t="str">
        <x:v>UI21</x:v>
      </x:c>
      <x:c r="B26" s="20" t="str">
        <x:v>表格操作</x:v>
      </x:c>
      <x:c r="C26" s="20" t="str">
        <x:v>操作位置与间距</x:v>
      </x:c>
      <x:c r="D26" s="20" t="str">
        <x:v>有实测问题</x:v>
      </x:c>
      <x:c r="E26" s="20" t="str">
        <x:v>操作固定最右；内层居中、gap4；Zone裁切。</x:v>
      </x:c>
      <x:c r="F26" s="20" t="str">
        <x:v>E20、E24、E31</x:v>
      </x:c>
      <x:c r="G26" s="20" t="str">
        <x:v>FE03、FE04</x:v>
      </x:c>
      <x:c r="H26" s="20" t="str">
        <x:v>各对象所有操作/更多状态回归。</x:v>
      </x:c>
      <x:c r="I26" s="20" t="str">
        <x:v>规范／检查建议</x:v>
      </x:c>
    </x:row>
    <x:row r="27" ht="52" customHeight="1">
      <x:c r="A27" s="20" t="str">
        <x:v>UI22</x:v>
      </x:c>
      <x:c r="B27" s="20" t="str">
        <x:v>金额字段</x:v>
      </x:c>
      <x:c r="C27" s="20" t="str">
        <x:v>金额右对齐与精度</x:v>
      </x:c>
      <x:c r="D27" s="20" t="str">
        <x:v>本次URL未覆盖</x:v>
      </x:c>
      <x:c r="E27" s="20" t="str">
        <x:v>基础配置只查到倍率、币种位数，未以倍率代验金额。</x:v>
      </x:c>
      <x:c r="F27" s="20" t="str">
        <x:v>—</x:v>
      </x:c>
      <x:c r="G27" s="20" t="str">
        <x:v>—</x:v>
      </x:c>
      <x:c r="H27" s="20" t="str">
        <x:v>需实际金额字段和DEC10。</x:v>
      </x:c>
      <x:c r="I27" s="20" t="str">
        <x:v>规范／检查建议</x:v>
      </x:c>
    </x:row>
    <x:row r="28" ht="52" customHeight="1">
      <x:c r="A28" s="20" t="str">
        <x:v>UI23</x:v>
      </x:c>
      <x:c r="B28" s="20" t="str">
        <x:v>状态反馈</x:v>
      </x:c>
      <x:c r="C28" s="20" t="str">
        <x:v>默认、加载、空态与错误</x:v>
      </x:c>
      <x:c r="D28" s="20" t="str">
        <x:v>有实测问题</x:v>
      </x:c>
      <x:c r="E28" s="20" t="str">
        <x:v>国家搜索空态误用；刷新启动Spin另待分层确认。</x:v>
      </x:c>
      <x:c r="F28" s="20" t="str">
        <x:v>E05、E26</x:v>
      </x:c>
      <x:c r="G28" s="20" t="str">
        <x:v>FE01、DQ05</x:v>
      </x:c>
      <x:c r="H28" s="20" t="str">
        <x:v>失败、403/404/500和完整加载时序未测。</x:v>
      </x:c>
      <x:c r="I28" s="20" t="str">
        <x:v>规范／检查建议</x:v>
      </x:c>
    </x:row>
    <x:row r="29" ht="52" customHeight="1">
      <x:c r="A29" s="20" t="str">
        <x:v>UI24</x:v>
      </x:c>
      <x:c r="B29" s="20" t="str">
        <x:v>响应式</x:v>
      </x:c>
      <x:c r="C29" s="20" t="str">
        <x:v>本批支持视口</x:v>
      </x:c>
      <x:c r="D29" s="20" t="str">
        <x:v>有实测问题</x:v>
      </x:c>
      <x:c r="E29" s="20" t="str">
        <x:v>1440与1280代表场景已查；Zone操作初始裁切。</x:v>
      </x:c>
      <x:c r="F29" s="20" t="str">
        <x:v>E20、E24、E28、E30</x:v>
      </x:c>
      <x:c r="G29" s="20" t="str">
        <x:v>FE04</x:v>
      </x:c>
      <x:c r="H29" s="20" t="str">
        <x:v>所有模板/端/浏览器矩阵与更窄端未覆盖。</x:v>
      </x:c>
      <x:c r="I29" s="20" t="str">
        <x:v>规范／检查建议</x:v>
      </x:c>
    </x:row>
    <x:row r="30" ht="52" customHeight="1">
      <x:c r="A30" s="20" t="str">
        <x:v>UI25</x:v>
      </x:c>
      <x:c r="B30" s="20" t="str">
        <x:v>表单交互</x:v>
      </x:c>
      <x:c r="C30" s="20" t="str">
        <x:v>可操作的控件状态</x:v>
      </x:c>
      <x:c r="D30" s="20" t="str">
        <x:v>有实测问题</x:v>
      </x:c>
      <x:c r="E30" s="20" t="str">
        <x:v>已查字段默认/禁用/焦点与可访问名称；国家标签未关联。</x:v>
      </x:c>
      <x:c r="F30" s="20" t="str">
        <x:v>E02、E03、E28、E32</x:v>
      </x:c>
      <x:c r="G30" s="20" t="str">
        <x:v>FE07</x:v>
      </x:c>
      <x:c r="H30" s="20" t="str">
        <x:v>错误触发、合法保存/失败、全部联动状态未测。</x:v>
      </x:c>
      <x:c r="I30" s="20" t="str">
        <x:v>规范／检查建议</x:v>
      </x:c>
    </x:row>
    <x:row r="31" ht="52" customHeight="1">
      <x:c r="A31" s="20" t="str">
        <x:v>UI26</x:v>
      </x:c>
      <x:c r="B31" s="20" t="str">
        <x:v>长内容</x:v>
      </x:c>
      <x:c r="C31" s="20" t="str">
        <x:v>长文本与内容滚动</x:v>
      </x:c>
      <x:c r="D31" s="20" t="str">
        <x:v>部分已核</x:v>
      </x:c>
      <x:c r="E31" s="20" t="str">
        <x:v>说明输入501字被限到500；取消后重开为空。</x:v>
      </x:c>
      <x:c r="F31" s="20" t="str">
        <x:v>E12、E27</x:v>
      </x:c>
      <x:c r="G31" s="20" t="str">
        <x:v>—</x:v>
      </x:c>
      <x:c r="H31" s="20" t="str">
        <x:v>未保存长值；列表Tooltip/详情三行/备注两行未全测。</x:v>
      </x:c>
      <x:c r="I31" s="20" t="str">
        <x:v>规范／检查建议</x:v>
      </x:c>
    </x:row>
    <x:row r="32" ht="52" customHeight="1">
      <x:c r="A32" s="20" t="str">
        <x:v>UI27</x:v>
      </x:c>
      <x:c r="B32" s="20" t="str">
        <x:v>通用间距</x:v>
      </x:c>
      <x:c r="C32" s="20" t="str">
        <x:v>间距Token与页面留白</x:v>
      </x:c>
      <x:c r="D32" s="20" t="str">
        <x:v>部分已核</x:v>
      </x:c>
      <x:c r="E32" s="20" t="str">
        <x:v>已打开表单label间距8、项间距24、双列间距24局部符合。</x:v>
      </x:c>
      <x:c r="F32" s="20" t="str">
        <x:v>E02、E10、E14</x:v>
      </x:c>
      <x:c r="G32" s="20" t="str">
        <x:v>—</x:v>
      </x:c>
      <x:c r="H32" s="20" t="str">
        <x:v>完整页面/组件间距Token矩阵未量测。</x:v>
      </x:c>
      <x:c r="I32" s="20" t="str">
        <x:v>规范／检查建议</x:v>
      </x:c>
    </x:row>
    <x:row r="33" ht="52" customHeight="1">
      <x:c r="A33" s="20" t="str">
        <x:v>UI28</x:v>
      </x:c>
      <x:c r="B33" s="20" t="str">
        <x:v>按钮</x:v>
      </x:c>
      <x:c r="C33" s="20" t="str">
        <x:v>主次、危险和状态语义</x:v>
      </x:c>
      <x:c r="D33" s="20" t="str">
        <x:v>部分已核</x:v>
      </x:c>
      <x:c r="E33" s="20" t="str">
        <x:v>新增/查询主按钮及删除文字危险色可见；未提交变更。</x:v>
      </x:c>
      <x:c r="F33" s="20" t="str">
        <x:v>E01、E13、E20</x:v>
      </x:c>
      <x:c r="G33" s="20" t="str">
        <x:v>—</x:v>
      </x:c>
      <x:c r="H33" s="20" t="str">
        <x:v>hover/active、防重和真实成功反馈未测。</x:v>
      </x:c>
      <x:c r="I33" s="20" t="str">
        <x:v>规范／检查建议</x:v>
      </x:c>
    </x:row>
    <x:row r="34" ht="52" customHeight="1">
      <x:c r="A34" s="20" t="str">
        <x:v>UI29</x:v>
      </x:c>
      <x:c r="B34" s="20" t="str">
        <x:v>数据展示</x:v>
      </x:c>
      <x:c r="C34" s="20" t="str">
        <x:v>缺失值与真实零值</x:v>
      </x:c>
      <x:c r="D34" s="20" t="str">
        <x:v>有实测问题</x:v>
      </x:c>
      <x:c r="E34" s="20" t="str">
        <x:v>空值—、真实整数值可見；实际数字列左对齐。</x:v>
      </x:c>
      <x:c r="F34" s="20" t="str">
        <x:v>E15、E16、E20</x:v>
      </x:c>
      <x:c r="G34" s="20" t="str">
        <x:v>FE02</x:v>
      </x:c>
      <x:c r="H34" s="20" t="str">
        <x:v>金额、重量、体积、百分比完整样本不在本页。</x:v>
      </x:c>
      <x:c r="I34" s="20" t="str">
        <x:v>规范／检查建议</x:v>
      </x:c>
    </x:row>
    <x:row r="35" ht="52" customHeight="1">
      <x:c r="A35" s="20" t="str">
        <x:v>UI30</x:v>
      </x:c>
      <x:c r="B35" s="20" t="str">
        <x:v>时间展示</x:v>
      </x:c>
      <x:c r="C35" s="20" t="str">
        <x:v>日期、分钟与秒格式</x:v>
      </x:c>
      <x:c r="D35" s="20" t="str">
        <x:v>部分已核</x:v>
      </x:c>
      <x:c r="E35" s="20" t="str">
        <x:v>汇率生效日2024-01-01，未使用斜线。</x:v>
      </x:c>
      <x:c r="F35" s="20" t="str">
        <x:v>E16、E17</x:v>
      </x:c>
      <x:c r="G35" s="20" t="str">
        <x:v>—</x:v>
      </x:c>
      <x:c r="H35" s="20" t="str">
        <x:v>分钟/秒、时区、跨日与其他字段场景未测。</x:v>
      </x:c>
      <x:c r="I35" s="20" t="str">
        <x:v>规范／检查建议</x:v>
      </x:c>
    </x:row>
    <x:row r="36" ht="52" customHeight="1">
      <x:c r="A36" s="20" t="str">
        <x:v>UI31</x:v>
      </x:c>
      <x:c r="B36" s="20" t="str">
        <x:v>表单布局</x:v>
      </x:c>
      <x:c r="C36" s="20" t="str">
        <x:v>字段上下排与宽度</x:v>
      </x:c>
      <x:c r="D36" s="20" t="str">
        <x:v>部分已核</x:v>
      </x:c>
      <x:c r="E36" s="20" t="str">
        <x:v>1440双列上下排；1280币种单列，Modal内容滚动且标题/底部可达。</x:v>
      </x:c>
      <x:c r="F36" s="20" t="str">
        <x:v>E10、E14、E28</x:v>
      </x:c>
      <x:c r="G36" s="20" t="str">
        <x:v>—</x:v>
      </x:c>
      <x:c r="H36" s="20" t="str">
        <x:v>其他表单/长字段及宽度例外未全查。</x:v>
      </x:c>
      <x:c r="I36" s="20" t="str">
        <x:v>规范／检查建议</x:v>
      </x:c>
    </x:row>
    <x:row r="37" ht="52" customHeight="1">
      <x:c r="A37" s="20" t="str">
        <x:v>UI32</x:v>
      </x:c>
      <x:c r="B37" s="20" t="str">
        <x:v>比对方法</x:v>
      </x:c>
      <x:c r="C37" s="20" t="str">
        <x:v>可复现的UI证据</x:v>
      </x:c>
      <x:c r="D37" s="20" t="str">
        <x:v>取证已记录</x:v>
      </x:c>
      <x:c r="E37" s="20" t="str">
        <x:v>截图原图、URL、CSS视口、像素尺寸、源版本和DOM量测均留存。</x:v>
      </x:c>
      <x:c r="F37" s="20" t="str">
        <x:v>E01、E25、E32</x:v>
      </x:c>
      <x:c r="G37" s="20" t="str">
        <x:v>—</x:v>
      </x:c>
      <x:c r="H37" s="20" t="str">
        <x:v>未提供部署Build；未设整页像素相似度门槛。</x:v>
      </x:c>
      <x:c r="I37" s="20" t="str">
        <x:v>规范／检查建议</x:v>
      </x:c>
    </x:row>
    <x:row r="38" ht="52" customHeight="1">
      <x:c r="A38" s="20" t="str">
        <x:v>UI33</x:v>
      </x:c>
      <x:c r="B38" s="20" t="str">
        <x:v>页签Tabs</x:v>
      </x:c>
      <x:c r="C38" s="20" t="str">
        <x:v>适用范围、结构与密度</x:v>
      </x:c>
      <x:c r="D38" s="20" t="str">
        <x:v>观察差异，待确认</x:v>
      </x:c>
      <x:c r="E38" s="20" t="str">
        <x:v>详情Tabs40px及适用上下文已观察；触达冲突另处理。</x:v>
      </x:c>
      <x:c r="F38" s="20" t="str">
        <x:v>E21、E25</x:v>
      </x:c>
      <x:c r="G38" s="20" t="str">
        <x:v>DQ01、DQ03</x:v>
      </x:c>
      <x:c r="H38" s="20" t="str">
        <x:v>页头/列表变体密度、数值徽标全矩阵未测。</x:v>
      </x:c>
      <x:c r="I38" s="20" t="str">
        <x:v>规范／检查建议</x:v>
      </x:c>
    </x:row>
    <x:row r="39" ht="52" customHeight="1">
      <x:c r="A39" s="20" t="str">
        <x:v>UI34</x:v>
      </x:c>
      <x:c r="B39" s="20" t="str">
        <x:v>页签Tabs</x:v>
      </x:c>
      <x:c r="C39" s="20" t="str">
        <x:v>内容切换、键盘与响应式</x:v>
      </x:c>
      <x:c r="D39" s="20" t="str">
        <x:v>有实测问题</x:v>
      </x:c>
      <x:c r="E39" s="20" t="str">
        <x:v>Zone点击可切内容；缺ARIA语义，End未到末项。</x:v>
      </x:c>
      <x:c r="F39" s="20" t="str">
        <x:v>E21、E22、E25</x:v>
      </x:c>
      <x:c r="G39" s="20" t="str">
        <x:v>FE05</x:v>
      </x:c>
      <x:c r="H39" s="20" t="str">
        <x:v>Home/左右键和加载/数量/跨端回归需完整补测。</x:v>
      </x:c>
      <x:c r="I39" s="20" t="str">
        <x:v>规范／检查建议</x:v>
      </x:c>
    </x:row>
    <x:row r="40" ht="52" customHeight="1">
      <x:c r="A40" s="20" t="str">
        <x:v>UI35</x:v>
      </x:c>
      <x:c r="B40" s="20" t="str">
        <x:v>服务单元</x:v>
      </x:c>
      <x:c r="C40" s="20" t="str">
        <x:v>新建独立表单页与返回上下文</x:v>
      </x:c>
      <x:c r="D40" s="20" t="str">
        <x:v>本次URL未覆盖</x:v>
      </x:c>
      <x:c r="E40" s="20" t="str">
        <x:v>服务单元独立新建页不在此次基础配置URL。</x:v>
      </x:c>
      <x:c r="F40" s="20" t="str">
        <x:v>—</x:v>
      </x:c>
      <x:c r="G40" s="20" t="str">
        <x:v>—</x:v>
      </x:c>
      <x:c r="H40" s="20" t="str">
        <x:v>需对应入口和DEC23。</x:v>
      </x:c>
      <x:c r="I40" s="20" t="str">
        <x:v>组合复用</x:v>
      </x:c>
    </x:row>
    <x:row r="41" ht="52" customHeight="1">
      <x:c r="A41" s="20" t="str">
        <x:v>UI36</x:v>
      </x:c>
      <x:c r="B41" s="20" t="str">
        <x:v>服务单元列表</x:v>
      </x:c>
      <x:c r="C41" s="20" t="str">
        <x:v>创建入口位置与重复标题</x:v>
      </x:c>
      <x:c r="D41" s="20" t="str">
        <x:v>本次URL未覆盖</x:v>
      </x:c>
      <x:c r="E41" s="20" t="str">
        <x:v>服务单元人工/AI创建入口未查。</x:v>
      </x:c>
      <x:c r="F41" s="20" t="str">
        <x:v>—</x:v>
      </x:c>
      <x:c r="G41" s="20" t="str">
        <x:v>—</x:v>
      </x:c>
      <x:c r="H41" s="20" t="str">
        <x:v>需服务单元列表交付入口。</x:v>
      </x:c>
      <x:c r="I41" s="20" t="str">
        <x:v>直接复用</x:v>
      </x:c>
    </x:row>
    <x:row r="42" ht="52" customHeight="1">
      <x:c r="A42" s="20" t="str">
        <x:v>UI37</x:v>
      </x:c>
      <x:c r="B42" s="20" t="str">
        <x:v>AI 建档</x:v>
      </x:c>
      <x:c r="C42" s="20" t="str">
        <x:v>生成、待确认与执行状态分层</x:v>
      </x:c>
      <x:c r="D42" s="20" t="str">
        <x:v>本次URL未覆盖</x:v>
      </x:c>
      <x:c r="E42" s="20" t="str">
        <x:v>未执行AI生成、确认、执行链路。</x:v>
      </x:c>
      <x:c r="F42" s="20" t="str">
        <x:v>—</x:v>
      </x:c>
      <x:c r="G42" s="20" t="str">
        <x:v>—</x:v>
      </x:c>
      <x:c r="H42" s="20" t="str">
        <x:v>需批准AI状态及材料；本次未调用外部模型。</x:v>
      </x:c>
      <x:c r="I42" s="20" t="str">
        <x:v>规范／检查建议</x:v>
      </x:c>
    </x:row>
    <x:row r="43" ht="52" customHeight="1">
      <x:c r="A43" s="20" t="str">
        <x:v>UI38</x:v>
      </x:c>
      <x:c r="B43" s="20" t="str">
        <x:v>上传材料</x:v>
      </x:c>
      <x:c r="C43" s="20" t="str">
        <x:v>格式大小、进度、取消与重试</x:v>
      </x:c>
      <x:c r="D43" s="20" t="str">
        <x:v>本次URL未覆盖</x:v>
      </x:c>
      <x:c r="E43" s="20" t="str">
        <x:v>未发现/验证该URL的材料上传流程。</x:v>
      </x:c>
      <x:c r="F43" s="20" t="str">
        <x:v>—</x:v>
      </x:c>
      <x:c r="G43" s="20" t="str">
        <x:v>—</x:v>
      </x:c>
      <x:c r="H43" s="20" t="str">
        <x:v>需材料上传入口、类型/大小基线和材料。</x:v>
      </x:c>
      <x:c r="I43" s="20" t="str">
        <x:v>规范／检查建议</x:v>
      </x:c>
    </x:row>
    <x:row r="44" ht="52" customHeight="1">
      <x:c r="A44" s="20" t="str">
        <x:v>UI39</x:v>
      </x:c>
      <x:c r="B44" s="20" t="str">
        <x:v>通用色彩与图标</x:v>
      </x:c>
      <x:c r="C44" s="20" t="str">
        <x:v>背景、语义色、圆角与图标</x:v>
      </x:c>
      <x:c r="D44" s="20" t="str">
        <x:v>有实测问题</x:v>
      </x:c>
      <x:c r="E44" s="20" t="str">
        <x:v>页面/卡片、输入/Modal圆角部分符合；两类Drawer为0px。</x:v>
      </x:c>
      <x:c r="F44" s="20" t="str">
        <x:v>E19、E21、E23、E28</x:v>
      </x:c>
      <x:c r="G44" s="20" t="str">
        <x:v>FE06</x:v>
      </x:c>
      <x:c r="H44" s="20" t="str">
        <x:v>其他语义色/图标/hover全部矩阵未核。</x:v>
      </x:c>
      <x:c r="I44" s="20" t="str">
        <x:v>规范／检查建议</x:v>
      </x:c>
    </x:row>
    <x:row r="45" ht="52" customHeight="1">
      <x:c r="A45" s="20" t="str">
        <x:v>UI40</x:v>
      </x:c>
      <x:c r="B45" s="20" t="str">
        <x:v>布局与表单规格</x:v>
      </x:c>
      <x:c r="C45" s="20" t="str">
        <x:v>页头类型、输入高度与错误定位</x:v>
      </x:c>
      <x:c r="D45" s="20" t="str">
        <x:v>部分已核</x:v>
      </x:c>
      <x:c r="E45" s="20" t="str">
        <x:v>已查输入外框32、必填左*、默认上下排；未触发错误提交。</x:v>
      </x:c>
      <x:c r="F45" s="20" t="str">
        <x:v>E02、E14、E28</x:v>
      </x:c>
      <x:c r="G45" s="20" t="str">
        <x:v>DQ03</x:v>
      </x:c>
      <x:c r="H45" s="20" t="str">
        <x:v>页头全部模板、错误定位与项目例外未全测。</x:v>
      </x:c>
      <x:c r="I45" s="20" t="str">
        <x:v>规范／检查建议</x:v>
      </x:c>
    </x:row>
    <x:row r="46" ht="52" customHeight="1">
      <x:c r="A46" s="20" t="str">
        <x:v>UI41</x:v>
      </x:c>
      <x:c r="B46" s="20" t="str">
        <x:v>关联字段展示</x:v>
      </x:c>
      <x:c r="C46" s="20" t="str">
        <x:v>关联ID、名称与编码跨视图一致性</x:v>
      </x:c>
      <x:c r="D46" s="20" t="str">
        <x:v>观察差异，待确认</x:v>
      </x:c>
      <x:c r="E46" s="20" t="str">
        <x:v>列表关联ID/枚举与详情/编辑标签不同。</x:v>
      </x:c>
      <x:c r="F46" s="20" t="str">
        <x:v>E06、E08、E19、E22、E23</x:v>
      </x:c>
      <x:c r="G46" s="20" t="str">
        <x:v>DQ02</x:v>
      </x:c>
      <x:c r="H46" s="20" t="str">
        <x:v>需字段批准映射；不判真实关联错误。</x:v>
      </x:c>
      <x:c r="I46" s="20" t="str">
        <x:v>按批准组件</x:v>
      </x:c>
    </x:row>
    <x:row r="47" ht="52" customHeight="1">
      <x:c r="A47" s="20" t="str">
        <x:v>UI42</x:v>
      </x:c>
      <x:c r="B47" s="20" t="str">
        <x:v>全局行内编辑</x:v>
      </x:c>
      <x:c r="C47" s="20" t="str">
        <x:v>行内编辑组件、状态与数据保护</x:v>
      </x:c>
      <x:c r="D47" s="20" t="str">
        <x:v>本次URL未覆盖</x:v>
      </x:c>
      <x:c r="E47" s="20" t="str">
        <x:v>18对象使用表单编辑，未获得该全局行内编辑组件场景。</x:v>
      </x:c>
      <x:c r="F47" s="20" t="str">
        <x:v>—</x:v>
      </x:c>
      <x:c r="G47" s="20" t="str">
        <x:v>—</x:v>
      </x:c>
      <x:c r="H47" s="20" t="str">
        <x:v>需批准组件规范DEC30及实际入口。</x:v>
      </x:c>
      <x:c r="I47" s="20" t="str">
        <x:v>无法覆盖</x:v>
      </x:c>
    </x:row>
    <x:row r="48" ht="52" customHeight="1">
      <x:c r="A48" s="20" t="str">
        <x:v>UI43</x:v>
      </x:c>
      <x:c r="B48" s="20" t="str">
        <x:v>实际提供排序/筛选的列表</x:v>
      </x:c>
      <x:c r="C48" s="20" t="str">
        <x:v>排序循环、组合排序与条件保持</x:v>
      </x:c>
      <x:c r="D48" s="20" t="str">
        <x:v>部分已核</x:v>
      </x:c>
      <x:c r="E48" s="20" t="str">
        <x:v>国家关键词查询/重置已测；18列表未观察排序入口。</x:v>
      </x:c>
      <x:c r="F48" s="20" t="str">
        <x:v>E01、E05、L18</x:v>
      </x:c>
      <x:c r="G48" s="20" t="str">
        <x:v>FE01</x:v>
      </x:c>
      <x:c r="H48" s="20" t="str">
        <x:v>多条件、多页条件保持和排序需交付/数据确认。</x:v>
      </x:c>
      <x:c r="I48" s="20" t="str">
        <x:v>公共基准补充（按需裁剪）</x:v>
      </x:c>
    </x:row>
    <x:row r="49" ht="52" customHeight="1">
      <x:c r="A49" s="20" t="str">
        <x:v>UI44</x:v>
      </x:c>
      <x:c r="B49" s="20" t="str">
        <x:v>本批新增/编辑/行内编辑表单</x:v>
      </x:c>
      <x:c r="C49" s="20" t="str">
        <x:v>输入校验触发、错误定位与回显</x:v>
      </x:c>
      <x:c r="D49" s="20" t="str">
        <x:v>部分已核</x:v>
      </x:c>
      <x:c r="E49" s="20" t="str">
        <x:v>只读编码、默认必填样式、501→500前端限长已核。</x:v>
      </x:c>
      <x:c r="F49" s="20" t="str">
        <x:v>E02、E27、E28</x:v>
      </x:c>
      <x:c r="G49" s="20" t="str">
        <x:v>FE07</x:v>
      </x:c>
      <x:c r="H49" s="20" t="str">
        <x:v>未点保存触发错误；唯一性/范围/时机按批准字段规则。</x:v>
      </x:c>
      <x:c r="I49" s="20" t="str">
        <x:v>公共基准补充（按需裁剪）</x:v>
      </x:c>
    </x:row>
    <x:row r="50" ht="52" customHeight="1">
      <x:c r="A50" s="20" t="str">
        <x:v>UI45</x:v>
      </x:c>
      <x:c r="B50" s="20" t="str">
        <x:v>实际提供选择控件的表单</x:v>
      </x:c>
      <x:c r="C50" s="20" t="str">
        <x:v>默认选中、搜索、多选与级联反馈</x:v>
      </x:c>
      <x:c r="D50" s="20" t="str">
        <x:v>观察差异，待确认</x:v>
      </x:c>
      <x:c r="E50" s="20" t="str">
        <x:v>邮编/Zone成员异步最终选择名称已查，列表标签差异待确认。</x:v>
      </x:c>
      <x:c r="F50" s="20" t="str">
        <x:v>E08、E23、E28</x:v>
      </x:c>
      <x:c r="G50" s="20" t="str">
        <x:v>DQ02</x:v>
      </x:c>
      <x:c r="H50" s="20" t="str">
        <x:v>搜索/清空/级联变更/失败/保存未测。</x:v>
      </x:c>
      <x:c r="I50" s="20" t="str">
        <x:v>公共基准补充（按需裁剪）</x:v>
      </x:c>
    </x:row>
    <x:row r="51" ht="52" customHeight="1">
      <x:c r="A51" s="20" t="str">
        <x:v>UI46</x:v>
      </x:c>
      <x:c r="B51" s="20" t="str">
        <x:v>已确认需二次确认的危险操作</x:v>
      </x:c>
      <x:c r="C51" s="20" t="str">
        <x:v>影响范围、取消与确认后的反馈</x:v>
      </x:c>
      <x:c r="D51" s="20" t="str">
        <x:v>未执行写入风险操作</x:v>
      </x:c>
      <x:c r="E51" s="20" t="str">
        <x:v>未点击删除/启停/批量，未验证危险确认和真实写回。</x:v>
      </x:c>
      <x:c r="F51" s="20" t="str">
        <x:v>E01、E20</x:v>
      </x:c>
      <x:c r="G51" s="20" t="str">
        <x:v>—</x:v>
      </x:c>
      <x:c r="H51" s="20" t="str">
        <x:v>需批准可清理专用数据和明确确认契约。</x:v>
      </x:c>
      <x:c r="I51" s="20" t="str">
        <x:v>公共基准补充（按需裁剪）</x:v>
      </x:c>
    </x:row>
    <x:row r="52" ht="52" customHeight="1">
      <x:c r="A52" s="20" t="str">
        <x:v>UI47</x:v>
      </x:c>
      <x:c r="B52" s="20" t="str">
        <x:v>查询、提交、保存与长任务</x:v>
      </x:c>
      <x:c r="C52" s="20" t="str">
        <x:v>加载、防重、失败恢复及成功后同步</x:v>
      </x:c>
      <x:c r="D52" s="20" t="str">
        <x:v>部分已核</x:v>
      </x:c>
      <x:c r="E52" s="20" t="str">
        <x:v>查询完成与重置返回已观察；其他加载层级待确认。</x:v>
      </x:c>
      <x:c r="F52" s="20" t="str">
        <x:v>E01、E05、E26</x:v>
      </x:c>
      <x:c r="G52" s="20" t="str">
        <x:v>DQ05</x:v>
      </x:c>
      <x:c r="H52" s="20" t="str">
        <x:v>可控慢响应、失败、防重、保存/真实读回未测。</x:v>
      </x:c>
      <x:c r="I52" s="20" t="str">
        <x:v>公共基准补充（按需裁剪）</x:v>
      </x:c>
    </x:row>
    <x:row r="53" ht="52" customHeight="1">
      <x:c r="A53" s="20" t="str">
        <x:v>UI48</x:v>
      </x:c>
      <x:c r="B53" s="20" t="str">
        <x:v>编辑、独立表单、详情与行内编辑</x:v>
      </x:c>
      <x:c r="C53" s="20" t="str">
        <x:v>取消、关闭、返回和未保存内容保护</x:v>
      </x:c>
      <x:c r="D53" s="20" t="str">
        <x:v>部分已核</x:v>
      </x:c>
      <x:c r="E53" s="20" t="str">
        <x:v>国家临时名称、货物说明输入取消后重开恢复原值；Zone成员取消返回上下文。</x:v>
      </x:c>
      <x:c r="F53" s="20" t="str">
        <x:v>E03、E04、E23、E27</x:v>
      </x:c>
      <x:c r="G53" s="20" t="str">
        <x:v>—</x:v>
      </x:c>
      <x:c r="H53" s="20" t="str">
        <x:v>关闭/返回/刷新、草稿及全模块保存保护未完整测试。</x:v>
      </x:c>
      <x:c r="I53" s="20" t="str">
        <x:v>公共基准补充（按需裁剪）</x:v>
      </x:c>
    </x:row>
    <x:row r="54" ht="52" customHeight="1">
      <x:c r="A54" s="20" t="str">
        <x:v>UI49</x:v>
      </x:c>
      <x:c r="B54" s="20" t="str">
        <x:v>本批支持端与已交付辅助能力</x:v>
      </x:c>
      <x:c r="C54" s="20" t="str">
        <x:v>键盘核心操作、标签与条件性帮助</x:v>
      </x:c>
      <x:c r="D54" s="20" t="str">
        <x:v>有实测问题</x:v>
      </x:c>
      <x:c r="E54" s="20" t="str">
        <x:v>输入Tab可前进、焦点可见；Tabs End失败与字段名称缺失。</x:v>
      </x:c>
      <x:c r="F54" s="20" t="str">
        <x:v>E03、E25、E32</x:v>
      </x:c>
      <x:c r="G54" s="20" t="str">
        <x:v>FE05、FE07</x:v>
      </x:c>
      <x:c r="H54" s="20" t="str">
        <x:v>完整读屏/核心键盘、多语言、帮助/应用快键未覆盖。</x:v>
      </x:c>
      <x:c r="I54" s="20" t="str">
        <x:v>公共基准补充（按需裁剪）</x:v>
      </x:c>
    </x:row>
  </x:sheetData>
  <x:pageMargins left="0.7" right="0.7" top="0.75" bottom="0.75" header="0.3" footer="0.3"/>
  <x:tableParts count="1">
    <x:tablePart xmlns:r="http://schemas.openxmlformats.org/officeDocument/2006/relationships" r:id="R7ee4f4b4501c49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7" hidden="0" customWidth="1"/>
    <x:col min="4" max="4" width="62" hidden="0" customWidth="1"/>
    <x:col min="5" max="5" width="25" hidden="0" customWidth="1"/>
    <x:col min="6" max="6" width="17" hidden="0" customWidth="1"/>
    <x:col min="7" max="7" width="33" hidden="0" customWidth="1"/>
    <x:col min="8" max="8" width="60" hidden="0" customWidth="1"/>
    <x:col min="9" max="9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页面实例与实际操作范围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5" t="str">
        <x:v>18条列表实例＋11条表单/详情实例；一个对象的观察不能替代其他对象的全部case。列表现有1—2条，不满足多页测试。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9" customHeight="1">
      <x:c r="A5" s="17" t="str">
        <x:v>范围ID</x:v>
      </x:c>
      <x:c r="B5" s="18" t="str">
        <x:v>类型</x:v>
      </x:c>
      <x:c r="C5" s="18" t="str">
        <x:v>对象/场景</x:v>
      </x:c>
      <x:c r="D5" s="18" t="str">
        <x:v>URL</x:v>
      </x:c>
      <x:c r="E5" s="18" t="str">
        <x:v>CSS视口</x:v>
      </x:c>
      <x:c r="F5" s="18" t="str">
        <x:v>列表记录数</x:v>
      </x:c>
      <x:c r="G5" s="18" t="str">
        <x:v>截图ID</x:v>
      </x:c>
      <x:c r="H5" s="18" t="str">
        <x:v>已做动作/内容</x:v>
      </x:c>
      <x:c r="I5" s="19" t="str">
        <x:v>未覆盖范围</x:v>
      </x:c>
    </x:row>
    <x:row r="6" ht="52" customHeight="1">
      <x:c r="A6" s="20" t="str">
        <x:v>PL01</x:v>
      </x:c>
      <x:c r="B6" s="20" t="str">
        <x:v>列表</x:v>
      </x:c>
      <x:c r="C6" s="20" t="str">
        <x:v>国家</x:v>
      </x:c>
      <x:c r="D6" s="20" t="str">
        <x:v>https://localhost/pcs/system-config/master-data?group=location&amp;resource=country</x:v>
      </x:c>
      <x:c r="E6" s="20" t="str">
        <x:v>1440×800</x:v>
      </x:c>
      <x:c r="F6" s="24" t="n">
        <x:v>1</x:v>
      </x:c>
      <x:c r="G6" s="20" t="str">
        <x:v>L01</x:v>
      </x:c>
      <x:c r="H6" s="20" t="str">
        <x:v>字段：编码、名称、状态、操作；当前实际记录已查看。</x:v>
      </x:c>
      <x:c r="I6" s="20" t="str">
        <x:v>未测试各对象全部状态、CRUD和多页数据。</x:v>
      </x:c>
    </x:row>
    <x:row r="7" ht="52" customHeight="1">
      <x:c r="A7" s="20" t="str">
        <x:v>PL02</x:v>
      </x:c>
      <x:c r="B7" s="20" t="str">
        <x:v>列表</x:v>
      </x:c>
      <x:c r="C7" s="20" t="str">
        <x:v>省 / 州</x:v>
      </x:c>
      <x:c r="D7" s="20" t="str">
        <x:v>https://localhost/pcs/system-config/master-data?group=location&amp;resource=province</x:v>
      </x:c>
      <x:c r="E7" s="20" t="str">
        <x:v>1440×800</x:v>
      </x:c>
      <x:c r="F7" s="24" t="n">
        <x:v>1</x:v>
      </x:c>
      <x:c r="G7" s="20" t="str">
        <x:v>L02</x:v>
      </x:c>
      <x:c r="H7" s="20" t="str">
        <x:v>字段：编码、名称、国家、状态、操作；当前实际记录已查看。</x:v>
      </x:c>
      <x:c r="I7" s="20" t="str">
        <x:v>未测试各对象全部状态、CRUD和多页数据。</x:v>
      </x:c>
    </x:row>
    <x:row r="8" ht="52" customHeight="1">
      <x:c r="A8" s="20" t="str">
        <x:v>PL03</x:v>
      </x:c>
      <x:c r="B8" s="20" t="str">
        <x:v>列表</x:v>
      </x:c>
      <x:c r="C8" s="20" t="str">
        <x:v>城市</x:v>
      </x:c>
      <x:c r="D8" s="20" t="str">
        <x:v>https://localhost/pcs/system-config/master-data?group=location&amp;resource=city</x:v>
      </x:c>
      <x:c r="E8" s="20" t="str">
        <x:v>1440×800</x:v>
      </x:c>
      <x:c r="F8" s="24" t="n">
        <x:v>1</x:v>
      </x:c>
      <x:c r="G8" s="20" t="str">
        <x:v>L03</x:v>
      </x:c>
      <x:c r="H8" s="20" t="str">
        <x:v>字段：编码、名称、国家、省 / 州、状态、操作；当前实际记录已查看。</x:v>
      </x:c>
      <x:c r="I8" s="20" t="str">
        <x:v>未测试各对象全部状态、CRUD和多页数据。</x:v>
      </x:c>
    </x:row>
    <x:row r="9" ht="52" customHeight="1">
      <x:c r="A9" s="20" t="str">
        <x:v>PL04</x:v>
      </x:c>
      <x:c r="B9" s="20" t="str">
        <x:v>列表</x:v>
      </x:c>
      <x:c r="C9" s="20" t="str">
        <x:v>区县</x:v>
      </x:c>
      <x:c r="D9" s="20" t="str">
        <x:v>https://localhost/pcs/system-config/master-data?group=location&amp;resource=district</x:v>
      </x:c>
      <x:c r="E9" s="20" t="str">
        <x:v>1440×800</x:v>
      </x:c>
      <x:c r="F9" s="24" t="n">
        <x:v>1</x:v>
      </x:c>
      <x:c r="G9" s="20" t="str">
        <x:v>L04</x:v>
      </x:c>
      <x:c r="H9" s="20" t="str">
        <x:v>字段：编码、名称、城市、状态、操作；当前实际记录已查看。</x:v>
      </x:c>
      <x:c r="I9" s="20" t="str">
        <x:v>未测试各对象全部状态、CRUD和多页数据。</x:v>
      </x:c>
    </x:row>
    <x:row r="10" ht="52" customHeight="1">
      <x:c r="A10" s="20" t="str">
        <x:v>PL05</x:v>
      </x:c>
      <x:c r="B10" s="20" t="str">
        <x:v>列表</x:v>
      </x:c>
      <x:c r="C10" s="20" t="str">
        <x:v>邮编</x:v>
      </x:c>
      <x:c r="D10" s="20" t="str">
        <x:v>https://localhost/pcs/system-config/master-data?group=location&amp;resource=postal_code</x:v>
      </x:c>
      <x:c r="E10" s="20" t="str">
        <x:v>1440×800</x:v>
      </x:c>
      <x:c r="F10" s="24" t="n">
        <x:v>1</x:v>
      </x:c>
      <x:c r="G10" s="20" t="str">
        <x:v>L05</x:v>
      </x:c>
      <x:c r="H10" s="20" t="str">
        <x:v>字段：邮编、结束邮编、国家、状态、操作；当前实际记录已查看。</x:v>
      </x:c>
      <x:c r="I10" s="20" t="str">
        <x:v>未测试各对象全部状态、CRUD和多页数据。</x:v>
      </x:c>
    </x:row>
    <x:row r="11" ht="52" customHeight="1">
      <x:c r="A11" s="20" t="str">
        <x:v>PL06</x:v>
      </x:c>
      <x:c r="B11" s="20" t="str">
        <x:v>列表</x:v>
      </x:c>
      <x:c r="C11" s="20" t="str">
        <x:v>机场</x:v>
      </x:c>
      <x:c r="D11" s="20" t="str">
        <x:v>https://localhost/pcs/system-config/master-data?group=location&amp;resource=airport</x:v>
      </x:c>
      <x:c r="E11" s="20" t="str">
        <x:v>1440×800</x:v>
      </x:c>
      <x:c r="F11" s="24" t="n">
        <x:v>1</x:v>
      </x:c>
      <x:c r="G11" s="20" t="str">
        <x:v>L06</x:v>
      </x:c>
      <x:c r="H11" s="20" t="str">
        <x:v>字段：编码、名称、ICAO、国家、城市、状态、操作；当前实际记录已查看。</x:v>
      </x:c>
      <x:c r="I11" s="20" t="str">
        <x:v>未测试各对象全部状态、CRUD和多页数据。</x:v>
      </x:c>
    </x:row>
    <x:row r="12" ht="52" customHeight="1">
      <x:c r="A12" s="20" t="str">
        <x:v>PL07</x:v>
      </x:c>
      <x:c r="B12" s="20" t="str">
        <x:v>列表</x:v>
      </x:c>
      <x:c r="C12" s="20" t="str">
        <x:v>港口</x:v>
      </x:c>
      <x:c r="D12" s="20" t="str">
        <x:v>https://localhost/pcs/system-config/master-data?group=location&amp;resource=port</x:v>
      </x:c>
      <x:c r="E12" s="20" t="str">
        <x:v>1440×800</x:v>
      </x:c>
      <x:c r="F12" s="24" t="n">
        <x:v>1</x:v>
      </x:c>
      <x:c r="G12" s="20" t="str">
        <x:v>L07</x:v>
      </x:c>
      <x:c r="H12" s="20" t="str">
        <x:v>字段：编码、名称、国家、城市、状态、操作；当前实际记录已查看。</x:v>
      </x:c>
      <x:c r="I12" s="20" t="str">
        <x:v>未测试各对象全部状态、CRUD和多页数据。</x:v>
      </x:c>
    </x:row>
    <x:row r="13" ht="52" customHeight="1">
      <x:c r="A13" s="20" t="str">
        <x:v>PL08</x:v>
      </x:c>
      <x:c r="B13" s="20" t="str">
        <x:v>列表</x:v>
      </x:c>
      <x:c r="C13" s="20" t="str">
        <x:v>仓库</x:v>
      </x:c>
      <x:c r="D13" s="20" t="str">
        <x:v>https://localhost/pcs/system-config/master-data?group=location&amp;resource=warehouse</x:v>
      </x:c>
      <x:c r="E13" s="20" t="str">
        <x:v>1440×800</x:v>
      </x:c>
      <x:c r="F13" s="24" t="n">
        <x:v>1</x:v>
      </x:c>
      <x:c r="G13" s="20" t="str">
        <x:v>L08</x:v>
      </x:c>
      <x:c r="H13" s="20" t="str">
        <x:v>字段：编码、名称、国家、城市、地址、状态、操作；当前实际记录已查看。</x:v>
      </x:c>
      <x:c r="I13" s="20" t="str">
        <x:v>未测试各对象全部状态、CRUD和多页数据。</x:v>
      </x:c>
    </x:row>
    <x:row r="14" ht="52" customHeight="1">
      <x:c r="A14" s="20" t="str">
        <x:v>PL09</x:v>
      </x:c>
      <x:c r="B14" s="20" t="str">
        <x:v>列表</x:v>
      </x:c>
      <x:c r="C14" s="20" t="str">
        <x:v>航空公司</x:v>
      </x:c>
      <x:c r="D14" s="20" t="str">
        <x:v>https://localhost/pcs/system-config/master-data?group=dictionary&amp;resource=airline</x:v>
      </x:c>
      <x:c r="E14" s="20" t="str">
        <x:v>1440×800</x:v>
      </x:c>
      <x:c r="F14" s="24" t="n">
        <x:v>1</x:v>
      </x:c>
      <x:c r="G14" s="20" t="str">
        <x:v>L09</x:v>
      </x:c>
      <x:c r="H14" s="20" t="str">
        <x:v>字段：编码、名称、ICAO、国家、状态、操作；当前实际记录已查看。</x:v>
      </x:c>
      <x:c r="I14" s="20" t="str">
        <x:v>未测试各对象全部状态、CRUD和多页数据。</x:v>
      </x:c>
    </x:row>
    <x:row r="15" ht="52" customHeight="1">
      <x:c r="A15" s="20" t="str">
        <x:v>PL10</x:v>
      </x:c>
      <x:c r="B15" s="20" t="str">
        <x:v>列表</x:v>
      </x:c>
      <x:c r="C15" s="20" t="str">
        <x:v>运输方式</x:v>
      </x:c>
      <x:c r="D15" s="20" t="str">
        <x:v>https://localhost/pcs/system-config/master-data?group=dictionary&amp;resource=transport_mode</x:v>
      </x:c>
      <x:c r="E15" s="20" t="str">
        <x:v>1440×800</x:v>
      </x:c>
      <x:c r="F15" s="24" t="n">
        <x:v>1</x:v>
      </x:c>
      <x:c r="G15" s="20" t="str">
        <x:v>L10</x:v>
      </x:c>
      <x:c r="H15" s="20" t="str">
        <x:v>字段：编码、名称、状态、操作；当前实际记录已查看。</x:v>
      </x:c>
      <x:c r="I15" s="20" t="str">
        <x:v>未测试各对象全部状态、CRUD和多页数据。</x:v>
      </x:c>
    </x:row>
    <x:row r="16" ht="52" customHeight="1">
      <x:c r="A16" s="20" t="str">
        <x:v>PL11</x:v>
      </x:c>
      <x:c r="B16" s="20" t="str">
        <x:v>列表</x:v>
      </x:c>
      <x:c r="C16" s="20" t="str">
        <x:v>货物类型</x:v>
      </x:c>
      <x:c r="D16" s="20" t="str">
        <x:v>https://localhost/pcs/system-config/master-data?group=dictionary&amp;resource=cargo_type</x:v>
      </x:c>
      <x:c r="E16" s="20" t="str">
        <x:v>1440×800</x:v>
      </x:c>
      <x:c r="F16" s="24" t="n">
        <x:v>1</x:v>
      </x:c>
      <x:c r="G16" s="20" t="str">
        <x:v>L11</x:v>
      </x:c>
      <x:c r="H16" s="20" t="str">
        <x:v>字段：编码、名称、说明、状态、操作；当前实际记录已查看。</x:v>
      </x:c>
      <x:c r="I16" s="20" t="str">
        <x:v>未测试各对象全部状态、CRUD和多页数据。</x:v>
      </x:c>
    </x:row>
    <x:row r="17" ht="52" customHeight="1">
      <x:c r="A17" s="20" t="str">
        <x:v>PL12</x:v>
      </x:c>
      <x:c r="B17" s="20" t="str">
        <x:v>列表</x:v>
      </x:c>
      <x:c r="C17" s="20" t="str">
        <x:v>包装类型</x:v>
      </x:c>
      <x:c r="D17" s="20" t="str">
        <x:v>https://localhost/pcs/system-config/master-data?group=dictionary&amp;resource=packaging_type</x:v>
      </x:c>
      <x:c r="E17" s="20" t="str">
        <x:v>1440×800</x:v>
      </x:c>
      <x:c r="F17" s="24" t="n">
        <x:v>1</x:v>
      </x:c>
      <x:c r="G17" s="20" t="str">
        <x:v>L12</x:v>
      </x:c>
      <x:c r="H17" s="20" t="str">
        <x:v>字段：编码、名称、说明、状态、操作；当前实际记录已查看。</x:v>
      </x:c>
      <x:c r="I17" s="20" t="str">
        <x:v>未测试各对象全部状态、CRUD和多页数据。</x:v>
      </x:c>
    </x:row>
    <x:row r="18" ht="52" customHeight="1">
      <x:c r="A18" s="20" t="str">
        <x:v>PL13</x:v>
      </x:c>
      <x:c r="B18" s="20" t="str">
        <x:v>列表</x:v>
      </x:c>
      <x:c r="C18" s="20" t="str">
        <x:v>监管方式</x:v>
      </x:c>
      <x:c r="D18" s="20" t="str">
        <x:v>https://localhost/pcs/system-config/master-data?group=dictionary&amp;resource=supervision_mode</x:v>
      </x:c>
      <x:c r="E18" s="20" t="str">
        <x:v>1440×800</x:v>
      </x:c>
      <x:c r="F18" s="24" t="n">
        <x:v>1</x:v>
      </x:c>
      <x:c r="G18" s="20" t="str">
        <x:v>L13</x:v>
      </x:c>
      <x:c r="H18" s="20" t="str">
        <x:v>字段：编码、名称、说明、状态、操作；当前实际记录已查看。</x:v>
      </x:c>
      <x:c r="I18" s="20" t="str">
        <x:v>未测试各对象全部状态、CRUD和多页数据。</x:v>
      </x:c>
    </x:row>
    <x:row r="19" ht="52" customHeight="1">
      <x:c r="A19" s="20" t="str">
        <x:v>PL14</x:v>
      </x:c>
      <x:c r="B19" s="20" t="str">
        <x:v>列表</x:v>
      </x:c>
      <x:c r="C19" s="20" t="str">
        <x:v>费用项</x:v>
      </x:c>
      <x:c r="D19" s="20" t="str">
        <x:v>https://localhost/pcs/system-config/master-data?group=fee&amp;resource=fee_item</x:v>
      </x:c>
      <x:c r="E19" s="20" t="str">
        <x:v>1440×800</x:v>
      </x:c>
      <x:c r="F19" s="24" t="n">
        <x:v>1</x:v>
      </x:c>
      <x:c r="G19" s="20" t="str">
        <x:v>L14</x:v>
      </x:c>
      <x:c r="H19" s="20" t="str">
        <x:v>字段：编码、名称、分组、默认币种、状态、操作；当前实际记录已查看。</x:v>
      </x:c>
      <x:c r="I19" s="20" t="str">
        <x:v>未测试各对象全部状态、CRUD和多页数据。</x:v>
      </x:c>
    </x:row>
    <x:row r="20" ht="52" customHeight="1">
      <x:c r="A20" s="20" t="str">
        <x:v>PL15</x:v>
      </x:c>
      <x:c r="B20" s="20" t="str">
        <x:v>列表</x:v>
      </x:c>
      <x:c r="C20" s="20" t="str">
        <x:v>币种</x:v>
      </x:c>
      <x:c r="D20" s="20" t="str">
        <x:v>https://localhost/pcs/system-config/master-data?group=finance&amp;resource=currency</x:v>
      </x:c>
      <x:c r="E20" s="20" t="str">
        <x:v>1440×800</x:v>
      </x:c>
      <x:c r="F20" s="24" t="n">
        <x:v>2</x:v>
      </x:c>
      <x:c r="G20" s="20" t="str">
        <x:v>L15</x:v>
      </x:c>
      <x:c r="H20" s="20" t="str">
        <x:v>字段：编码、名称、符号、小数位、状态、操作；当前实际记录已查看。</x:v>
      </x:c>
      <x:c r="I20" s="20" t="str">
        <x:v>未测试各对象全部状态、CRUD和多页数据。</x:v>
      </x:c>
    </x:row>
    <x:row r="21" ht="52" customHeight="1">
      <x:c r="A21" s="20" t="str">
        <x:v>PL16</x:v>
      </x:c>
      <x:c r="B21" s="20" t="str">
        <x:v>列表</x:v>
      </x:c>
      <x:c r="C21" s="20" t="str">
        <x:v>汇率</x:v>
      </x:c>
      <x:c r="D21" s="20" t="str">
        <x:v>https://localhost/pcs/system-config/master-data?group=finance&amp;resource=exchange_rate</x:v>
      </x:c>
      <x:c r="E21" s="20" t="str">
        <x:v>1440×800</x:v>
      </x:c>
      <x:c r="F21" s="24" t="n">
        <x:v>1</x:v>
      </x:c>
      <x:c r="G21" s="20" t="str">
        <x:v>L16</x:v>
      </x:c>
      <x:c r="H21" s="20" t="str">
        <x:v>字段：源币种、目标币种、直接倍率、生效日、结束日、状态、操作；当前实际记录已查看。</x:v>
      </x:c>
      <x:c r="I21" s="20" t="str">
        <x:v>未测试各对象全部状态、CRUD和多页数据。</x:v>
      </x:c>
    </x:row>
    <x:row r="22" ht="52" customHeight="1">
      <x:c r="A22" s="20" t="str">
        <x:v>PL17</x:v>
      </x:c>
      <x:c r="B22" s="20" t="str">
        <x:v>列表</x:v>
      </x:c>
      <x:c r="C22" s="20" t="str">
        <x:v>航线区域</x:v>
      </x:c>
      <x:c r="D22" s="20" t="str">
        <x:v>https://localhost/pcs/system-config/master-data?group=routing&amp;resource=air_region</x:v>
      </x:c>
      <x:c r="E22" s="20" t="str">
        <x:v>1440×800</x:v>
      </x:c>
      <x:c r="F22" s="24" t="n">
        <x:v>1</x:v>
      </x:c>
      <x:c r="G22" s="20" t="str">
        <x:v>L17</x:v>
      </x:c>
      <x:c r="H22" s="20" t="str">
        <x:v>字段：编码、名称、状态、操作；当前实际记录已查看。</x:v>
      </x:c>
      <x:c r="I22" s="20" t="str">
        <x:v>未测试各对象全部状态、CRUD和多页数据。</x:v>
      </x:c>
    </x:row>
    <x:row r="23" ht="52" customHeight="1">
      <x:c r="A23" s="20" t="str">
        <x:v>PL18</x:v>
      </x:c>
      <x:c r="B23" s="20" t="str">
        <x:v>列表</x:v>
      </x:c>
      <x:c r="C23" s="20" t="str">
        <x:v>Zone</x:v>
      </x:c>
      <x:c r="D23" s="20" t="str">
        <x:v>https://localhost/pcs/system-config/master-data?group=routing&amp;resource=reference_zone</x:v>
      </x:c>
      <x:c r="E23" s="20" t="str">
        <x:v>1440×800</x:v>
      </x:c>
      <x:c r="F23" s="24" t="n">
        <x:v>1</x:v>
      </x:c>
      <x:c r="G23" s="20" t="str">
        <x:v>L18</x:v>
      </x:c>
      <x:c r="H23" s="20" t="str">
        <x:v>字段：编码、名称、服务商范围、方案编码、版本、状态、操作；当前实际记录已查看。</x:v>
      </x:c>
      <x:c r="I23" s="20" t="str">
        <x:v>未测试各对象全部状态、CRUD和多页数据。</x:v>
      </x:c>
    </x:row>
    <x:row r="24" ht="52" customHeight="1">
      <x:c r="A24" s="20" t="str">
        <x:v>FR01</x:v>
      </x:c>
      <x:c r="B24" s="20" t="str">
        <x:v>编辑表单</x:v>
      </x:c>
      <x:c r="C24" s="20" t="str">
        <x:v>国家编辑</x:v>
      </x:c>
      <x:c r="D24" s="20" t="str">
        <x:v>https://localhost/pcs/system-config/master-data?group=location&amp;resource=country</x:v>
      </x:c>
      <x:c r="E24" s="20" t="str">
        <x:v>见对应截图元数据</x:v>
      </x:c>
      <x:c r="F24" s="24"/>
      <x:c r="G24" s="20" t="str">
        <x:v>E02、E03、E04、E32</x:v>
      </x:c>
      <x:c r="H24" s="20" t="str">
        <x:v>禁用编码、字段样式、取消回显、label关联</x:v>
      </x:c>
      <x:c r="I24" s="20" t="str">
        <x:v>仅验证已记录动作；其他状态见用例覆盖。</x:v>
      </x:c>
    </x:row>
    <x:row r="25" ht="52" customHeight="1">
      <x:c r="A25" s="20" t="str">
        <x:v>FR02</x:v>
      </x:c>
      <x:c r="B25" s="20" t="str">
        <x:v>编辑表单</x:v>
      </x:c>
      <x:c r="C25" s="20" t="str">
        <x:v>邮编编辑</x:v>
      </x:c>
      <x:c r="D25" s="20" t="str">
        <x:v>https://localhost/pcs/system-config/master-data?group=location&amp;resource=postal_code</x:v>
      </x:c>
      <x:c r="E25" s="20" t="str">
        <x:v>见对应截图元数据</x:v>
      </x:c>
      <x:c r="F25" s="24"/>
      <x:c r="G25" s="20" t="str">
        <x:v>E08</x:v>
      </x:c>
      <x:c r="H25" s="20" t="str">
        <x:v>异步国家名称回显；未保存/清空/级联</x:v>
      </x:c>
      <x:c r="I25" s="20" t="str">
        <x:v>仅验证已记录动作；其他状态见用例覆盖。</x:v>
      </x:c>
    </x:row>
    <x:row r="26" ht="52" customHeight="1">
      <x:c r="A26" s="20" t="str">
        <x:v>FR03</x:v>
      </x:c>
      <x:c r="B26" s="20" t="str">
        <x:v>编辑表单</x:v>
      </x:c>
      <x:c r="C26" s="20" t="str">
        <x:v>航空公司编辑</x:v>
      </x:c>
      <x:c r="D26" s="20" t="str">
        <x:v>https://localhost/pcs/system-config/master-data?group=dictionary&amp;resource=airline</x:v>
      </x:c>
      <x:c r="E26" s="20" t="str">
        <x:v>见对应截图元数据</x:v>
      </x:c>
      <x:c r="F26" s="24"/>
      <x:c r="G26" s="20" t="str">
        <x:v>E10</x:v>
      </x:c>
      <x:c r="H26" s="20" t="str">
        <x:v>字段与必填/只读及双列布局</x:v>
      </x:c>
      <x:c r="I26" s="20" t="str">
        <x:v>仅验证已记录动作；其他状态见用例覆盖。</x:v>
      </x:c>
    </x:row>
    <x:row r="27" ht="52" customHeight="1">
      <x:c r="A27" s="20" t="str">
        <x:v>FR04</x:v>
      </x:c>
      <x:c r="B27" s="20" t="str">
        <x:v>编辑表单</x:v>
      </x:c>
      <x:c r="C27" s="20" t="str">
        <x:v>货物类型编辑</x:v>
      </x:c>
      <x:c r="D27" s="20" t="str">
        <x:v>https://localhost/pcs/system-config/master-data?group=dictionary&amp;resource=cargo_type</x:v>
      </x:c>
      <x:c r="E27" s="20" t="str">
        <x:v>见对应截图元数据</x:v>
      </x:c>
      <x:c r="F27" s="24"/>
      <x:c r="G27" s="20" t="str">
        <x:v>E12、E27</x:v>
      </x:c>
      <x:c r="H27" s="20" t="str">
        <x:v>说明501→500；取消后重开值为空</x:v>
      </x:c>
      <x:c r="I27" s="20" t="str">
        <x:v>仅验证已记录动作；其他状态见用例覆盖。</x:v>
      </x:c>
    </x:row>
    <x:row r="28" ht="52" customHeight="1">
      <x:c r="A28" s="20" t="str">
        <x:v>FR05</x:v>
      </x:c>
      <x:c r="B28" s="20" t="str">
        <x:v>编辑表单</x:v>
      </x:c>
      <x:c r="C28" s="20" t="str">
        <x:v>费用项编辑</x:v>
      </x:c>
      <x:c r="D28" s="20" t="str">
        <x:v>https://localhost/pcs/system-config/master-data?group=fee&amp;resource=fee_item</x:v>
      </x:c>
      <x:c r="E28" s="20" t="str">
        <x:v>见对应截图元数据</x:v>
      </x:c>
      <x:c r="F28" s="24"/>
      <x:c r="G28" s="20" t="str">
        <x:v>E14</x:v>
      </x:c>
      <x:c r="H28" s="20" t="str">
        <x:v>分组/币种文本输入、label颜色与布局</x:v>
      </x:c>
      <x:c r="I28" s="20" t="str">
        <x:v>仅验证已记录动作；其他状态见用例覆盖。</x:v>
      </x:c>
    </x:row>
    <x:row r="29" ht="52" customHeight="1">
      <x:c r="A29" s="20" t="str">
        <x:v>FR06</x:v>
      </x:c>
      <x:c r="B29" s="20" t="str">
        <x:v>编辑表单</x:v>
      </x:c>
      <x:c r="C29" s="20" t="str">
        <x:v>已生效汇率编辑</x:v>
      </x:c>
      <x:c r="D29" s="20" t="str">
        <x:v>https://localhost/pcs/system-config/master-data?group=finance&amp;resource=exchange_rate</x:v>
      </x:c>
      <x:c r="E29" s="20" t="str">
        <x:v>见对应截图元数据</x:v>
      </x:c>
      <x:c r="F29" s="24"/>
      <x:c r="G29" s="20" t="str">
        <x:v>E17</x:v>
      </x:c>
      <x:c r="H29" s="20" t="str">
        <x:v>源/目标/倍率/生效日只读；未改结束日/状态</x:v>
      </x:c>
      <x:c r="I29" s="20" t="str">
        <x:v>仅验证已记录动作；其他状态见用例覆盖。</x:v>
      </x:c>
    </x:row>
    <x:row r="30" ht="52" customHeight="1">
      <x:c r="A30" s="20" t="str">
        <x:v>FR07</x:v>
      </x:c>
      <x:c r="B30" s="20" t="str">
        <x:v>编辑表单</x:v>
      </x:c>
      <x:c r="C30" s="20" t="str">
        <x:v>币种编辑</x:v>
      </x:c>
      <x:c r="D30" s="20" t="str">
        <x:v>https://localhost/pcs/system-config/master-data?group=finance&amp;resource=currency</x:v>
      </x:c>
      <x:c r="E30" s="20" t="str">
        <x:v>见对应截图元数据</x:v>
      </x:c>
      <x:c r="F30" s="24"/>
      <x:c r="G30" s="20" t="str">
        <x:v>E28</x:v>
      </x:c>
      <x:c r="H30" s="20" t="str">
        <x:v>CNY编码只读、数值显示、1280单列及内部滚动</x:v>
      </x:c>
      <x:c r="I30" s="20" t="str">
        <x:v>仅验证已记录动作；其他状态见用例覆盖。</x:v>
      </x:c>
    </x:row>
    <x:row r="31" ht="52" customHeight="1">
      <x:c r="A31" s="20" t="str">
        <x:v>FR08</x:v>
      </x:c>
      <x:c r="B31" s="20" t="str">
        <x:v>编辑表单</x:v>
      </x:c>
      <x:c r="C31" s="20" t="str">
        <x:v>Zone成员编辑</x:v>
      </x:c>
      <x:c r="D31" s="20" t="str">
        <x:v>https://localhost/pcs/system-config/master-data?group=routing&amp;resource=reference_zone</x:v>
      </x:c>
      <x:c r="E31" s="20" t="str">
        <x:v>见对应截图元数据</x:v>
      </x:c>
      <x:c r="F31" s="24"/>
      <x:c r="G31" s="20" t="str">
        <x:v>E23</x:v>
      </x:c>
      <x:c r="H31" s="20" t="str">
        <x:v>最终标签回显；取消返回成员上下文，未改字段</x:v>
      </x:c>
      <x:c r="I31" s="20" t="str">
        <x:v>仅验证已记录动作；其他状态见用例覆盖。</x:v>
      </x:c>
    </x:row>
    <x:row r="32" ht="52" customHeight="1">
      <x:c r="A32" s="20" t="str">
        <x:v>FR09</x:v>
      </x:c>
      <x:c r="B32" s="20" t="str">
        <x:v>新增表单</x:v>
      </x:c>
      <x:c r="C32" s="20" t="str">
        <x:v>国家新增</x:v>
      </x:c>
      <x:c r="D32" s="20" t="str">
        <x:v>https://localhost/pcs/system-config/master-data?group=location&amp;resource=country&amp;create=1</x:v>
      </x:c>
      <x:c r="E32" s="20" t="str">
        <x:v>见对应截图元数据</x:v>
      </x:c>
      <x:c r="F32" s="24"/>
      <x:c r="G32" s="20" t="str">
        <x:v>E29</x:v>
      </x:c>
      <x:c r="H32" s="20" t="str">
        <x:v>当前对象入口、编码可输入、默认状态；未保存</x:v>
      </x:c>
      <x:c r="I32" s="20" t="str">
        <x:v>仅验证已记录动作；其他状态见用例覆盖。</x:v>
      </x:c>
    </x:row>
    <x:row r="33" ht="52" customHeight="1">
      <x:c r="A33" s="20" t="str">
        <x:v>FR10</x:v>
      </x:c>
      <x:c r="B33" s="20" t="str">
        <x:v>详情</x:v>
      </x:c>
      <x:c r="C33" s="20" t="str">
        <x:v>航线区域详情</x:v>
      </x:c>
      <x:c r="D33" s="20" t="str">
        <x:v>https://localhost/pcs/system-config/master-data?group=routing&amp;resource=air_region</x:v>
      </x:c>
      <x:c r="E33" s="20" t="str">
        <x:v>见对应截图元数据</x:v>
      </x:c>
      <x:c r="F33" s="24"/>
      <x:c r="G33" s="20" t="str">
        <x:v>E19</x:v>
      </x:c>
      <x:c r="H33" s="20" t="str">
        <x:v>右Drawer基本信息；国家关系DOM已读，未单独切到关系页留证</x:v>
      </x:c>
      <x:c r="I33" s="20" t="str">
        <x:v>仅验证已记录动作；其他状态见用例覆盖。</x:v>
      </x:c>
    </x:row>
    <x:row r="34" ht="52" customHeight="1">
      <x:c r="A34" s="20" t="str">
        <x:v>FR11</x:v>
      </x:c>
      <x:c r="B34" s="20" t="str">
        <x:v>详情</x:v>
      </x:c>
      <x:c r="C34" s="20" t="str">
        <x:v>Zone详情</x:v>
      </x:c>
      <x:c r="D34" s="20" t="str">
        <x:v>https://localhost/pcs/system-config/master-data?group=routing&amp;resource=reference_zone</x:v>
      </x:c>
      <x:c r="E34" s="20" t="str">
        <x:v>见对应截图元数据</x:v>
      </x:c>
      <x:c r="F34" s="24"/>
      <x:c r="G34" s="20" t="str">
        <x:v>E21、E22、E25</x:v>
      </x:c>
      <x:c r="H34" s="20" t="str">
        <x:v>基本信息/成员切换、标签映射、ARIA/End与边缘样式</x:v>
      </x:c>
      <x:c r="I34" s="20" t="str">
        <x:v>仅验证已记录动作；其他状态见用例覆盖。</x:v>
      </x:c>
    </x:row>
  </x:sheetData>
  <x:pageMargins left="0.7" right="0.7" top="0.75" bottom="0.75" header="0.3" footer="0.3"/>
  <x:tableParts count="1">
    <x:tablePart xmlns:r="http://schemas.openxmlformats.org/officeDocument/2006/relationships" r:id="Rbed5f8d19e94491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7" hidden="0" customWidth="1"/>
    <x:col min="4" max="4" width="27" hidden="0" customWidth="1"/>
    <x:col min="5" max="5" width="24" hidden="0" customWidth="1"/>
    <x:col min="6" max="6" width="67" hidden="0" customWidth="1"/>
    <x:col min="7" max="7" width="27" hidden="0" customWidth="1"/>
    <x:col min="8" max="8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截图证据索引与原图</x:v>
      </x:c>
      <x:c r="B2" s="2"/>
      <x:c r="C2" s="2"/>
      <x:c r="D2" s="2"/>
      <x:c r="E2" s="2"/>
      <x:c r="F2" s="2"/>
      <x:c r="G2" s="2"/>
      <x:c r="H2" s="2"/>
    </x:row>
    <x:row r="3" ht="24" customHeight="1">
      <x:c r="A3" s="5" t="str">
        <x:v>48张浏览器原始截图；目录给出原图单元格地址。CSS视口与截图像素尺寸分别记录，图文报告可直接点击证据编号。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9" customHeight="1">
      <x:c r="A5" s="17" t="str">
        <x:v>截图ID</x:v>
      </x:c>
      <x:c r="B5" s="18" t="str">
        <x:v>截图内容</x:v>
      </x:c>
      <x:c r="C5" s="18" t="str">
        <x:v>采集时间·上海</x:v>
      </x:c>
      <x:c r="D5" s="18" t="str">
        <x:v>CSS视口</x:v>
      </x:c>
      <x:c r="E5" s="18" t="str">
        <x:v>图片尺寸</x:v>
      </x:c>
      <x:c r="F5" s="18" t="str">
        <x:v>实际URL</x:v>
      </x:c>
      <x:c r="G5" s="18" t="str">
        <x:v>原图位置</x:v>
      </x:c>
      <x:c r="H5" s="19" t="str">
        <x:v>截取范围说明</x:v>
      </x:c>
    </x:row>
    <x:row r="6" ht="52" customHeight="1">
      <x:c r="A6" s="20" t="str">
        <x:v>E01</x:v>
      </x:c>
      <x:c r="B6" s="20" t="str">
        <x:v>国家列表，1440px桌面基准</x:v>
      </x:c>
      <x:c r="C6" s="25" t="d">
        <x:v>2026-10-12T16:29:04.000Z</x:v>
      </x:c>
      <x:c r="D6" s="20" t="str">
        <x:v>1440×1000 CSS px</x:v>
      </x:c>
      <x:c r="E6" s="20" t="str">
        <x:v>1440×896 px</x:v>
      </x:c>
      <x:c r="F6" s="20" t="str">
        <x:v>https://localhost/pcs/system-config/master-data?group=location&amp;resource=country</x:v>
      </x:c>
      <x:c r="G6" s="20" t="str">
        <x:v>截图证据!A59</x:v>
      </x:c>
      <x:c r="H6" s="20" t="str">
        <x:v>可见区域截图；图片尺寸与CSS视口分别记录</x:v>
      </x:c>
    </x:row>
    <x:row r="7" ht="52" customHeight="1">
      <x:c r="A7" s="20" t="str">
        <x:v>E02</x:v>
      </x:c>
      <x:c r="B7" s="20" t="str">
        <x:v>国家编辑表单，只打开未保存</x:v>
      </x:c>
      <x:c r="C7" s="25" t="d">
        <x:v>2026-10-12T16:30:38.000Z</x:v>
      </x:c>
      <x:c r="D7" s="20" t="str">
        <x:v>1440×1000 CSS px</x:v>
      </x:c>
      <x:c r="E7" s="20" t="str">
        <x:v>1440×896 px</x:v>
      </x:c>
      <x:c r="F7" s="20" t="str">
        <x:v>https://localhost/pcs/system-config/master-data?group=location&amp;resource=country</x:v>
      </x:c>
      <x:c r="G7" s="20" t="str">
        <x:v>截图证据!A89</x:v>
      </x:c>
      <x:c r="H7" s="20" t="str">
        <x:v>可见区域截图；图片尺寸与CSS视口分别记录</x:v>
      </x:c>
    </x:row>
    <x:row r="8" ht="52" customHeight="1">
      <x:c r="A8" s="20" t="str">
        <x:v>E03</x:v>
      </x:c>
      <x:c r="B8" s="20" t="str">
        <x:v>国家编辑临时输入，后续取消，不保存</x:v>
      </x:c>
      <x:c r="C8" s="25" t="d">
        <x:v>2026-10-12T16:32:39.000Z</x:v>
      </x:c>
      <x:c r="D8" s="20" t="str">
        <x:v>1440×1000 CSS px</x:v>
      </x:c>
      <x:c r="E8" s="20" t="str">
        <x:v>1440×896 px</x:v>
      </x:c>
      <x:c r="F8" s="20" t="str">
        <x:v>https://localhost/pcs/system-config/master-data?group=location&amp;resource=country</x:v>
      </x:c>
      <x:c r="G8" s="20" t="str">
        <x:v>截图证据!A119</x:v>
      </x:c>
      <x:c r="H8" s="20" t="str">
        <x:v>可见区域截图；图片尺寸与CSS视口分别记录</x:v>
      </x:c>
    </x:row>
    <x:row r="9" ht="52" customHeight="1">
      <x:c r="A9" s="20" t="str">
        <x:v>E04</x:v>
      </x:c>
      <x:c r="B9" s="20" t="str">
        <x:v>取消后再次打开，中文名称恢复中国</x:v>
      </x:c>
      <x:c r="C9" s="25" t="d">
        <x:v>2026-10-12T16:33:35.000Z</x:v>
      </x:c>
      <x:c r="D9" s="20" t="str">
        <x:v>1440×1000 CSS px</x:v>
      </x:c>
      <x:c r="E9" s="20" t="str">
        <x:v>1440×896 px</x:v>
      </x:c>
      <x:c r="F9" s="20" t="str">
        <x:v>https://localhost/pcs/system-config/master-data?group=location&amp;resource=country</x:v>
      </x:c>
      <x:c r="G9" s="20" t="str">
        <x:v>截图证据!A149</x:v>
      </x:c>
      <x:c r="H9" s="20" t="str">
        <x:v>可见区域截图；图片尺寸与CSS视口分别记录</x:v>
      </x:c>
    </x:row>
    <x:row r="10" ht="52" customHeight="1">
      <x:c r="A10" s="20" t="str">
        <x:v>E05</x:v>
      </x:c>
      <x:c r="B10" s="20" t="str">
        <x:v>国家列表无匹配结果与分页空态</x:v>
      </x:c>
      <x:c r="C10" s="25" t="d">
        <x:v>2026-10-12T16:33:36.000Z</x:v>
      </x:c>
      <x:c r="D10" s="20" t="str">
        <x:v>1440×1000 CSS px</x:v>
      </x:c>
      <x:c r="E10" s="20" t="str">
        <x:v>1440×896 px</x:v>
      </x:c>
      <x:c r="F10" s="20" t="str">
        <x:v>https://localhost/pcs/system-config/master-data?group=location&amp;resource=country</x:v>
      </x:c>
      <x:c r="G10" s="20" t="str">
        <x:v>截图证据!A179</x:v>
      </x:c>
      <x:c r="H10" s="20" t="str">
        <x:v>可见区域截图；图片尺寸与CSS视口分别记录</x:v>
      </x:c>
    </x:row>
    <x:row r="11" ht="52" customHeight="1">
      <x:c r="A11" s="20" t="str">
        <x:v>E06</x:v>
      </x:c>
      <x:c r="B11" s="20" t="str">
        <x:v>邮编列表国家显示内部ID</x:v>
      </x:c>
      <x:c r="C11" s="25" t="d">
        <x:v>2026-10-12T16:34:13.000Z</x:v>
      </x:c>
      <x:c r="D11" s="20" t="str">
        <x:v>1440×1000 CSS px</x:v>
      </x:c>
      <x:c r="E11" s="20" t="str">
        <x:v>1440×896 px</x:v>
      </x:c>
      <x:c r="F11" s="20" t="str">
        <x:v>https://localhost/pcs/system-config/master-data?group=location&amp;resource=postal_code</x:v>
      </x:c>
      <x:c r="G11" s="20" t="str">
        <x:v>截图证据!A209</x:v>
      </x:c>
      <x:c r="H11" s="20" t="str">
        <x:v>可见区域截图；图片尺寸与CSS视口分别记录</x:v>
      </x:c>
    </x:row>
    <x:row r="12" ht="52" customHeight="1">
      <x:c r="A12" s="20" t="str">
        <x:v>E08</x:v>
      </x:c>
      <x:c r="B12" s="20" t="str">
        <x:v>邮编编辑关联国家稳定回显：中国 CN</x:v>
      </x:c>
      <x:c r="C12" s="25" t="d">
        <x:v>2026-10-12T16:34:57.000Z</x:v>
      </x:c>
      <x:c r="D12" s="20" t="str">
        <x:v>1440×1000 CSS px</x:v>
      </x:c>
      <x:c r="E12" s="20" t="str">
        <x:v>1440×896 px</x:v>
      </x:c>
      <x:c r="F12" s="20" t="str">
        <x:v>https://localhost/pcs/system-config/master-data?group=location&amp;resource=postal_code</x:v>
      </x:c>
      <x:c r="G12" s="20" t="str">
        <x:v>截图证据!A239</x:v>
      </x:c>
      <x:c r="H12" s="20" t="str">
        <x:v>可见区域截图；图片尺寸与CSS视口分别记录</x:v>
      </x:c>
    </x:row>
    <x:row r="13" ht="52" customHeight="1">
      <x:c r="A13" s="20" t="str">
        <x:v>E10</x:v>
      </x:c>
      <x:c r="B13" s="20" t="str">
        <x:v>航空公司编辑表单，稳定渲染后</x:v>
      </x:c>
      <x:c r="C13" s="25" t="d">
        <x:v>2026-10-12T16:36:09.000Z</x:v>
      </x:c>
      <x:c r="D13" s="20" t="str">
        <x:v>1440×1000 CSS px</x:v>
      </x:c>
      <x:c r="E13" s="20" t="str">
        <x:v>1440×896 px</x:v>
      </x:c>
      <x:c r="F13" s="20" t="str">
        <x:v>https://localhost/pcs/system-config/master-data?group=dictionary&amp;resource=airline</x:v>
      </x:c>
      <x:c r="G13" s="20" t="str">
        <x:v>截图证据!A269</x:v>
      </x:c>
      <x:c r="H13" s="20" t="str">
        <x:v>可见区域截图；图片尺寸与CSS视口分别记录</x:v>
      </x:c>
    </x:row>
    <x:row r="14" ht="52" customHeight="1">
      <x:c r="A14" s="20" t="str">
        <x:v>E11</x:v>
      </x:c>
      <x:c r="B14" s="20" t="str">
        <x:v>货物类型列表</x:v>
      </x:c>
      <x:c r="C14" s="25" t="d">
        <x:v>2026-10-12T16:40:33.000Z</x:v>
      </x:c>
      <x:c r="D14" s="20" t="str">
        <x:v>1440×1000 CSS px</x:v>
      </x:c>
      <x:c r="E14" s="20" t="str">
        <x:v>1440×896 px</x:v>
      </x:c>
      <x:c r="F14" s="20" t="str">
        <x:v>https://localhost/pcs/system-config/master-data?group=dictionary&amp;resource=cargo_type</x:v>
      </x:c>
      <x:c r="G14" s="20" t="str">
        <x:v>截图证据!A299</x:v>
      </x:c>
      <x:c r="H14" s="20" t="str">
        <x:v>可见区域截图；图片尺寸与CSS视口分别记录</x:v>
      </x:c>
    </x:row>
    <x:row r="15" ht="52" customHeight="1">
      <x:c r="A15" s="20" t="str">
        <x:v>E12</x:v>
      </x:c>
      <x:c r="B15" s="20" t="str">
        <x:v>货物类型编辑，说明框与表单布局</x:v>
      </x:c>
      <x:c r="C15" s="25" t="d">
        <x:v>2026-10-12T16:41:34.000Z</x:v>
      </x:c>
      <x:c r="D15" s="20" t="str">
        <x:v>1440×1000 CSS px</x:v>
      </x:c>
      <x:c r="E15" s="20" t="str">
        <x:v>1440×896 px</x:v>
      </x:c>
      <x:c r="F15" s="20" t="str">
        <x:v>https://localhost/pcs/system-config/master-data?group=dictionary&amp;resource=cargo_type</x:v>
      </x:c>
      <x:c r="G15" s="20" t="str">
        <x:v>截图证据!A329</x:v>
      </x:c>
      <x:c r="H15" s="20" t="str">
        <x:v>可见区域截图；图片尺寸与CSS视口分别记录</x:v>
      </x:c>
    </x:row>
    <x:row r="16" ht="52" customHeight="1">
      <x:c r="A16" s="20" t="str">
        <x:v>E13</x:v>
      </x:c>
      <x:c r="B16" s="20" t="str">
        <x:v>费用项列表</x:v>
      </x:c>
      <x:c r="C16" s="25" t="d">
        <x:v>2026-10-12T16:42:16.000Z</x:v>
      </x:c>
      <x:c r="D16" s="20" t="str">
        <x:v>1440×1000 CSS px</x:v>
      </x:c>
      <x:c r="E16" s="20" t="str">
        <x:v>1440×896 px</x:v>
      </x:c>
      <x:c r="F16" s="20" t="str">
        <x:v>https://localhost/pcs/system-config/master-data?group=fee&amp;resource=fee_item</x:v>
      </x:c>
      <x:c r="G16" s="20" t="str">
        <x:v>截图证据!A359</x:v>
      </x:c>
      <x:c r="H16" s="20" t="str">
        <x:v>可见区域截图；图片尺寸与CSS视口分别记录</x:v>
      </x:c>
    </x:row>
    <x:row r="17" ht="52" customHeight="1">
      <x:c r="A17" s="20" t="str">
        <x:v>E14</x:v>
      </x:c>
      <x:c r="B17" s="20" t="str">
        <x:v>费用项编辑表单</x:v>
      </x:c>
      <x:c r="C17" s="25" t="d">
        <x:v>2026-10-12T16:42:57.000Z</x:v>
      </x:c>
      <x:c r="D17" s="20" t="str">
        <x:v>1440×1000 CSS px</x:v>
      </x:c>
      <x:c r="E17" s="20" t="str">
        <x:v>1440×896 px</x:v>
      </x:c>
      <x:c r="F17" s="20" t="str">
        <x:v>https://localhost/pcs/system-config/master-data?group=fee&amp;resource=fee_item</x:v>
      </x:c>
      <x:c r="G17" s="20" t="str">
        <x:v>截图证据!A389</x:v>
      </x:c>
      <x:c r="H17" s="20" t="str">
        <x:v>可见区域截图；图片尺寸与CSS视口分别记录</x:v>
      </x:c>
    </x:row>
    <x:row r="18" ht="52" customHeight="1">
      <x:c r="A18" s="20" t="str">
        <x:v>E15</x:v>
      </x:c>
      <x:c r="B18" s="20" t="str">
        <x:v>币种列表，数字对齐</x:v>
      </x:c>
      <x:c r="C18" s="25" t="d">
        <x:v>2026-10-12T16:43:34.000Z</x:v>
      </x:c>
      <x:c r="D18" s="20" t="str">
        <x:v>1440×1000 CSS px</x:v>
      </x:c>
      <x:c r="E18" s="20" t="str">
        <x:v>1440×896 px</x:v>
      </x:c>
      <x:c r="F18" s="20" t="str">
        <x:v>https://localhost/pcs/system-config/master-data?group=finance&amp;resource=currency</x:v>
      </x:c>
      <x:c r="G18" s="20" t="str">
        <x:v>截图证据!A419</x:v>
      </x:c>
      <x:c r="H18" s="20" t="str">
        <x:v>可见区域截图；图片尺寸与CSS视口分别记录</x:v>
      </x:c>
    </x:row>
    <x:row r="19" ht="52" customHeight="1">
      <x:c r="A19" s="20" t="str">
        <x:v>E16</x:v>
      </x:c>
      <x:c r="B19" s="20" t="str">
        <x:v>汇率列表和日期、数值列</x:v>
      </x:c>
      <x:c r="C19" s="25" t="d">
        <x:v>2026-10-12T16:44:01.000Z</x:v>
      </x:c>
      <x:c r="D19" s="20" t="str">
        <x:v>1440×1000 CSS px</x:v>
      </x:c>
      <x:c r="E19" s="20" t="str">
        <x:v>1440×896 px</x:v>
      </x:c>
      <x:c r="F19" s="20" t="str">
        <x:v>https://localhost/pcs/system-config/master-data?group=finance&amp;resource=exchange_rate</x:v>
      </x:c>
      <x:c r="G19" s="20" t="str">
        <x:v>截图证据!A449</x:v>
      </x:c>
      <x:c r="H19" s="20" t="str">
        <x:v>可见区域截图；图片尺寸与CSS视口分别记录</x:v>
      </x:c>
    </x:row>
    <x:row r="20" ht="52" customHeight="1">
      <x:c r="A20" s="20" t="str">
        <x:v>E17</x:v>
      </x:c>
      <x:c r="B20" s="20" t="str">
        <x:v>已生效汇率编辑，只读与可编辑字段</x:v>
      </x:c>
      <x:c r="C20" s="25" t="d">
        <x:v>2026-10-12T16:44:40.000Z</x:v>
      </x:c>
      <x:c r="D20" s="20" t="str">
        <x:v>1440×1000 CSS px</x:v>
      </x:c>
      <x:c r="E20" s="20" t="str">
        <x:v>1440×896 px</x:v>
      </x:c>
      <x:c r="F20" s="20" t="str">
        <x:v>https://localhost/pcs/system-config/master-data?group=finance&amp;resource=exchange_rate</x:v>
      </x:c>
      <x:c r="G20" s="20" t="str">
        <x:v>截图证据!A479</x:v>
      </x:c>
      <x:c r="H20" s="20" t="str">
        <x:v>可见区域截图；图片尺寸与CSS视口分别记录</x:v>
      </x:c>
    </x:row>
    <x:row r="21" ht="52" customHeight="1">
      <x:c r="A21" s="20" t="str">
        <x:v>E18</x:v>
      </x:c>
      <x:c r="B21" s="20" t="str">
        <x:v>航线区域列表</x:v>
      </x:c>
      <x:c r="C21" s="25" t="d">
        <x:v>2026-10-12T16:46:00.000Z</x:v>
      </x:c>
      <x:c r="D21" s="20" t="str">
        <x:v>1440×1000 CSS px</x:v>
      </x:c>
      <x:c r="E21" s="20" t="str">
        <x:v>1440×896 px</x:v>
      </x:c>
      <x:c r="F21" s="20" t="str">
        <x:v>https://localhost/pcs/system-config/master-data?group=routing&amp;resource=air_region</x:v>
      </x:c>
      <x:c r="G21" s="20" t="str">
        <x:v>截图证据!A509</x:v>
      </x:c>
      <x:c r="H21" s="20" t="str">
        <x:v>可见区域截图；图片尺寸与CSS视口分别记录</x:v>
      </x:c>
    </x:row>
    <x:row r="22" ht="52" customHeight="1">
      <x:c r="A22" s="20" t="str">
        <x:v>E19</x:v>
      </x:c>
      <x:c r="B22" s="20" t="str">
        <x:v>航线区域详情及国家关系</x:v>
      </x:c>
      <x:c r="C22" s="25" t="d">
        <x:v>2026-10-12T16:46:18.000Z</x:v>
      </x:c>
      <x:c r="D22" s="20" t="str">
        <x:v>1440×1000 CSS px</x:v>
      </x:c>
      <x:c r="E22" s="20" t="str">
        <x:v>1440×896 px</x:v>
      </x:c>
      <x:c r="F22" s="20" t="str">
        <x:v>https://localhost/pcs/system-config/master-data?group=routing&amp;resource=air_region</x:v>
      </x:c>
      <x:c r="G22" s="20" t="str">
        <x:v>截图证据!A539</x:v>
      </x:c>
      <x:c r="H22" s="20" t="str">
        <x:v>可见区域截图；图片尺寸与CSS视口分别记录</x:v>
      </x:c>
    </x:row>
    <x:row r="23" ht="52" customHeight="1">
      <x:c r="A23" s="20" t="str">
        <x:v>E20</x:v>
      </x:c>
      <x:c r="B23" s="20" t="str">
        <x:v>Zone列表</x:v>
      </x:c>
      <x:c r="C23" s="25" t="d">
        <x:v>2026-10-12T16:47:32.000Z</x:v>
      </x:c>
      <x:c r="D23" s="20" t="str">
        <x:v>1440×1000 CSS px</x:v>
      </x:c>
      <x:c r="E23" s="20" t="str">
        <x:v>1440×896 px</x:v>
      </x:c>
      <x:c r="F23" s="20" t="str">
        <x:v>https://localhost/pcs/system-config/master-data?group=routing&amp;resource=reference_zone</x:v>
      </x:c>
      <x:c r="G23" s="20" t="str">
        <x:v>截图证据!A569</x:v>
      </x:c>
      <x:c r="H23" s="20" t="str">
        <x:v>可见区域截图；图片尺寸与CSS视口分别记录</x:v>
      </x:c>
    </x:row>
    <x:row r="24" ht="52" customHeight="1">
      <x:c r="A24" s="20" t="str">
        <x:v>E21</x:v>
      </x:c>
      <x:c r="B24" s="20" t="str">
        <x:v>Zone详情基本信息与Tabs</x:v>
      </x:c>
      <x:c r="C24" s="25" t="d">
        <x:v>2026-10-12T16:48:34.000Z</x:v>
      </x:c>
      <x:c r="D24" s="20" t="str">
        <x:v>1440×1000 CSS px</x:v>
      </x:c>
      <x:c r="E24" s="20" t="str">
        <x:v>1440×896 px</x:v>
      </x:c>
      <x:c r="F24" s="20" t="str">
        <x:v>https://localhost/pcs/system-config/master-data?group=routing&amp;resource=reference_zone</x:v>
      </x:c>
      <x:c r="G24" s="20" t="str">
        <x:v>截图证据!A599</x:v>
      </x:c>
      <x:c r="H24" s="20" t="str">
        <x:v>可见区域截图；图片尺寸与CSS视口分别记录</x:v>
      </x:c>
    </x:row>
    <x:row r="25" ht="52" customHeight="1">
      <x:c r="A25" s="20" t="str">
        <x:v>E22</x:v>
      </x:c>
      <x:c r="B25" s="20" t="str">
        <x:v>Zone成员页签，1440×800视口</x:v>
      </x:c>
      <x:c r="C25" s="25" t="d">
        <x:v>2026-10-12T16:50:51.999Z</x:v>
      </x:c>
      <x:c r="D25" s="20" t="str">
        <x:v>1440×800 CSS px</x:v>
      </x:c>
      <x:c r="E25" s="20" t="str">
        <x:v>1425×792 px</x:v>
      </x:c>
      <x:c r="F25" s="20" t="str">
        <x:v>https://localhost/pcs/system-config/master-data?group=routing&amp;resource=reference_zone</x:v>
      </x:c>
      <x:c r="G25" s="20" t="str">
        <x:v>截图证据!A629</x:v>
      </x:c>
      <x:c r="H25" s="20" t="str">
        <x:v>可见区域截图；图片尺寸与CSS视口分别记录</x:v>
      </x:c>
    </x:row>
    <x:row r="26" ht="52" customHeight="1">
      <x:c r="A26" s="20" t="str">
        <x:v>E23</x:v>
      </x:c>
      <x:c r="B26" s="20" t="str">
        <x:v>Zone成员编辑稳定回显，国家/中国 CN/包含</x:v>
      </x:c>
      <x:c r="C26" s="25" t="d">
        <x:v>2026-10-12T16:52:51.000Z</x:v>
      </x:c>
      <x:c r="D26" s="20" t="str">
        <x:v>1440×800 CSS px</x:v>
      </x:c>
      <x:c r="E26" s="20" t="str">
        <x:v>1425×792 px</x:v>
      </x:c>
      <x:c r="F26" s="20" t="str">
        <x:v>https://localhost/pcs/system-config/master-data?group=routing&amp;resource=reference_zone</x:v>
      </x:c>
      <x:c r="G26" s="20" t="str">
        <x:v>截图证据!A657</x:v>
      </x:c>
      <x:c r="H26" s="20" t="str">
        <x:v>可见区域截图；图片尺寸与CSS视口分别记录</x:v>
      </x:c>
    </x:row>
    <x:row r="27" ht="52" customHeight="1">
      <x:c r="A27" s="20" t="str">
        <x:v>E24</x:v>
      </x:c>
      <x:c r="B27" s="20" t="str">
        <x:v>Zone列表，1280×800桌面边界</x:v>
      </x:c>
      <x:c r="C27" s="25" t="d">
        <x:v>2026-10-12T17:00:55.000Z</x:v>
      </x:c>
      <x:c r="D27" s="20" t="str">
        <x:v>1280×800 CSS px</x:v>
      </x:c>
      <x:c r="E27" s="20" t="str">
        <x:v>1265×791 px</x:v>
      </x:c>
      <x:c r="F27" s="20" t="str">
        <x:v>https://localhost/pcs/system-config/master-data?group=routing&amp;resource=reference_zone</x:v>
      </x:c>
      <x:c r="G27" s="20" t="str">
        <x:v>截图证据!A685</x:v>
      </x:c>
      <x:c r="H27" s="20" t="str">
        <x:v>可见区域截图；图片尺寸与CSS视口分别记录</x:v>
      </x:c>
    </x:row>
    <x:row r="28" ht="52" customHeight="1">
      <x:c r="A28" s="20" t="str">
        <x:v>L01</x:v>
      </x:c>
      <x:c r="B28" s="20" t="str">
        <x:v>国家</x:v>
      </x:c>
      <x:c r="C28" s="25" t="d">
        <x:v>2026-10-12T16:53:30.000Z</x:v>
      </x:c>
      <x:c r="D28" s="20" t="str">
        <x:v>1440×800 CSS px</x:v>
      </x:c>
      <x:c r="E28" s="20" t="str">
        <x:v>1425×792 px</x:v>
      </x:c>
      <x:c r="F28" s="20" t="str">
        <x:v>https://localhost/pcs/system-config/master-data?group=location&amp;resource=country</x:v>
      </x:c>
      <x:c r="G28" s="20" t="str">
        <x:v>截图证据!A716</x:v>
      </x:c>
      <x:c r="H28" s="20" t="str">
        <x:v>可见区域截图；图片尺寸与CSS视口分别记录</x:v>
      </x:c>
    </x:row>
    <x:row r="29" ht="52" customHeight="1">
      <x:c r="A29" s="20" t="str">
        <x:v>L02</x:v>
      </x:c>
      <x:c r="B29" s="20" t="str">
        <x:v>省 / 州</x:v>
      </x:c>
      <x:c r="C29" s="25" t="d">
        <x:v>2026-10-12T16:53:31.000Z</x:v>
      </x:c>
      <x:c r="D29" s="20" t="str">
        <x:v>1440×800 CSS px</x:v>
      </x:c>
      <x:c r="E29" s="20" t="str">
        <x:v>1425×792 px</x:v>
      </x:c>
      <x:c r="F29" s="20" t="str">
        <x:v>https://localhost/pcs/system-config/master-data?group=location&amp;resource=province</x:v>
      </x:c>
      <x:c r="G29" s="20" t="str">
        <x:v>截图证据!A744</x:v>
      </x:c>
      <x:c r="H29" s="20" t="str">
        <x:v>可见区域截图；图片尺寸与CSS视口分别记录</x:v>
      </x:c>
    </x:row>
    <x:row r="30" ht="52" customHeight="1">
      <x:c r="A30" s="20" t="str">
        <x:v>L03</x:v>
      </x:c>
      <x:c r="B30" s="20" t="str">
        <x:v>城市</x:v>
      </x:c>
      <x:c r="C30" s="25" t="d">
        <x:v>2026-10-12T16:53:31.000Z</x:v>
      </x:c>
      <x:c r="D30" s="20" t="str">
        <x:v>1440×800 CSS px</x:v>
      </x:c>
      <x:c r="E30" s="20" t="str">
        <x:v>1425×792 px</x:v>
      </x:c>
      <x:c r="F30" s="20" t="str">
        <x:v>https://localhost/pcs/system-config/master-data?group=location&amp;resource=city</x:v>
      </x:c>
      <x:c r="G30" s="20" t="str">
        <x:v>截图证据!A772</x:v>
      </x:c>
      <x:c r="H30" s="20" t="str">
        <x:v>可见区域截图；图片尺寸与CSS视口分别记录</x:v>
      </x:c>
    </x:row>
    <x:row r="31" ht="52" customHeight="1">
      <x:c r="A31" s="20" t="str">
        <x:v>L04</x:v>
      </x:c>
      <x:c r="B31" s="20" t="str">
        <x:v>区县</x:v>
      </x:c>
      <x:c r="C31" s="25" t="d">
        <x:v>2026-10-12T16:53:32.000Z</x:v>
      </x:c>
      <x:c r="D31" s="20" t="str">
        <x:v>1440×800 CSS px</x:v>
      </x:c>
      <x:c r="E31" s="20" t="str">
        <x:v>1425×792 px</x:v>
      </x:c>
      <x:c r="F31" s="20" t="str">
        <x:v>https://localhost/pcs/system-config/master-data?group=location&amp;resource=district</x:v>
      </x:c>
      <x:c r="G31" s="20" t="str">
        <x:v>截图证据!A800</x:v>
      </x:c>
      <x:c r="H31" s="20" t="str">
        <x:v>可见区域截图；图片尺寸与CSS视口分别记录</x:v>
      </x:c>
    </x:row>
    <x:row r="32" ht="52" customHeight="1">
      <x:c r="A32" s="20" t="str">
        <x:v>L05</x:v>
      </x:c>
      <x:c r="B32" s="20" t="str">
        <x:v>邮编</x:v>
      </x:c>
      <x:c r="C32" s="25" t="d">
        <x:v>2026-10-12T16:53:32.000Z</x:v>
      </x:c>
      <x:c r="D32" s="20" t="str">
        <x:v>1440×800 CSS px</x:v>
      </x:c>
      <x:c r="E32" s="20" t="str">
        <x:v>1425×792 px</x:v>
      </x:c>
      <x:c r="F32" s="20" t="str">
        <x:v>https://localhost/pcs/system-config/master-data?group=location&amp;resource=postal_code</x:v>
      </x:c>
      <x:c r="G32" s="20" t="str">
        <x:v>截图证据!A828</x:v>
      </x:c>
      <x:c r="H32" s="20" t="str">
        <x:v>可见区域截图；图片尺寸与CSS视口分别记录</x:v>
      </x:c>
    </x:row>
    <x:row r="33" ht="52" customHeight="1">
      <x:c r="A33" s="20" t="str">
        <x:v>L06</x:v>
      </x:c>
      <x:c r="B33" s="20" t="str">
        <x:v>机场</x:v>
      </x:c>
      <x:c r="C33" s="25" t="d">
        <x:v>2026-10-12T16:53:33.000Z</x:v>
      </x:c>
      <x:c r="D33" s="20" t="str">
        <x:v>1440×800 CSS px</x:v>
      </x:c>
      <x:c r="E33" s="20" t="str">
        <x:v>1425×792 px</x:v>
      </x:c>
      <x:c r="F33" s="20" t="str">
        <x:v>https://localhost/pcs/system-config/master-data?group=location&amp;resource=airport</x:v>
      </x:c>
      <x:c r="G33" s="20" t="str">
        <x:v>截图证据!A856</x:v>
      </x:c>
      <x:c r="H33" s="20" t="str">
        <x:v>可见区域截图；图片尺寸与CSS视口分别记录</x:v>
      </x:c>
    </x:row>
    <x:row r="34" ht="52" customHeight="1">
      <x:c r="A34" s="20" t="str">
        <x:v>L07</x:v>
      </x:c>
      <x:c r="B34" s="20" t="str">
        <x:v>港口</x:v>
      </x:c>
      <x:c r="C34" s="25" t="d">
        <x:v>2026-10-12T16:53:33.000Z</x:v>
      </x:c>
      <x:c r="D34" s="20" t="str">
        <x:v>1440×800 CSS px</x:v>
      </x:c>
      <x:c r="E34" s="20" t="str">
        <x:v>1425×792 px</x:v>
      </x:c>
      <x:c r="F34" s="20" t="str">
        <x:v>https://localhost/pcs/system-config/master-data?group=location&amp;resource=port</x:v>
      </x:c>
      <x:c r="G34" s="20" t="str">
        <x:v>截图证据!A884</x:v>
      </x:c>
      <x:c r="H34" s="20" t="str">
        <x:v>可见区域截图；图片尺寸与CSS视口分别记录</x:v>
      </x:c>
    </x:row>
    <x:row r="35" ht="52" customHeight="1">
      <x:c r="A35" s="20" t="str">
        <x:v>L08</x:v>
      </x:c>
      <x:c r="B35" s="20" t="str">
        <x:v>仓库</x:v>
      </x:c>
      <x:c r="C35" s="25" t="d">
        <x:v>2026-10-12T16:53:34.000Z</x:v>
      </x:c>
      <x:c r="D35" s="20" t="str">
        <x:v>1440×800 CSS px</x:v>
      </x:c>
      <x:c r="E35" s="20" t="str">
        <x:v>1425×792 px</x:v>
      </x:c>
      <x:c r="F35" s="20" t="str">
        <x:v>https://localhost/pcs/system-config/master-data?group=location&amp;resource=warehouse</x:v>
      </x:c>
      <x:c r="G35" s="20" t="str">
        <x:v>截图证据!A912</x:v>
      </x:c>
      <x:c r="H35" s="20" t="str">
        <x:v>可见区域截图；图片尺寸与CSS视口分别记录</x:v>
      </x:c>
    </x:row>
    <x:row r="36" ht="52" customHeight="1">
      <x:c r="A36" s="20" t="str">
        <x:v>L09</x:v>
      </x:c>
      <x:c r="B36" s="20" t="str">
        <x:v>航空公司</x:v>
      </x:c>
      <x:c r="C36" s="25" t="d">
        <x:v>2026-10-12T16:54:26.000Z</x:v>
      </x:c>
      <x:c r="D36" s="20" t="str">
        <x:v>1440×800 CSS px</x:v>
      </x:c>
      <x:c r="E36" s="20" t="str">
        <x:v>1425×792 px</x:v>
      </x:c>
      <x:c r="F36" s="20" t="str">
        <x:v>https://localhost/pcs/system-config/master-data?group=dictionary&amp;resource=airline</x:v>
      </x:c>
      <x:c r="G36" s="20" t="str">
        <x:v>截图证据!A940</x:v>
      </x:c>
      <x:c r="H36" s="20" t="str">
        <x:v>可见区域截图；图片尺寸与CSS视口分别记录</x:v>
      </x:c>
    </x:row>
    <x:row r="37" ht="52" customHeight="1">
      <x:c r="A37" s="20" t="str">
        <x:v>L10</x:v>
      </x:c>
      <x:c r="B37" s="20" t="str">
        <x:v>运输方式</x:v>
      </x:c>
      <x:c r="C37" s="25" t="d">
        <x:v>2026-10-12T16:54:26.999Z</x:v>
      </x:c>
      <x:c r="D37" s="20" t="str">
        <x:v>1440×800 CSS px</x:v>
      </x:c>
      <x:c r="E37" s="20" t="str">
        <x:v>1425×792 px</x:v>
      </x:c>
      <x:c r="F37" s="20" t="str">
        <x:v>https://localhost/pcs/system-config/master-data?group=dictionary&amp;resource=transport_mode</x:v>
      </x:c>
      <x:c r="G37" s="20" t="str">
        <x:v>截图证据!A968</x:v>
      </x:c>
      <x:c r="H37" s="20" t="str">
        <x:v>可见区域截图；图片尺寸与CSS视口分别记录</x:v>
      </x:c>
    </x:row>
    <x:row r="38" ht="52" customHeight="1">
      <x:c r="A38" s="20" t="str">
        <x:v>L11</x:v>
      </x:c>
      <x:c r="B38" s="20" t="str">
        <x:v>货物类型</x:v>
      </x:c>
      <x:c r="C38" s="25" t="d">
        <x:v>2026-10-12T16:54:26.999Z</x:v>
      </x:c>
      <x:c r="D38" s="20" t="str">
        <x:v>1440×800 CSS px</x:v>
      </x:c>
      <x:c r="E38" s="20" t="str">
        <x:v>1425×792 px</x:v>
      </x:c>
      <x:c r="F38" s="20" t="str">
        <x:v>https://localhost/pcs/system-config/master-data?group=dictionary&amp;resource=cargo_type</x:v>
      </x:c>
      <x:c r="G38" s="20" t="str">
        <x:v>截图证据!A996</x:v>
      </x:c>
      <x:c r="H38" s="20" t="str">
        <x:v>可见区域截图；图片尺寸与CSS视口分别记录</x:v>
      </x:c>
    </x:row>
    <x:row r="39" ht="52" customHeight="1">
      <x:c r="A39" s="20" t="str">
        <x:v>L12</x:v>
      </x:c>
      <x:c r="B39" s="20" t="str">
        <x:v>包装类型</x:v>
      </x:c>
      <x:c r="C39" s="25" t="d">
        <x:v>2026-10-12T16:54:26.999Z</x:v>
      </x:c>
      <x:c r="D39" s="20" t="str">
        <x:v>1440×800 CSS px</x:v>
      </x:c>
      <x:c r="E39" s="20" t="str">
        <x:v>1425×792 px</x:v>
      </x:c>
      <x:c r="F39" s="20" t="str">
        <x:v>https://localhost/pcs/system-config/master-data?group=dictionary&amp;resource=packaging_type</x:v>
      </x:c>
      <x:c r="G39" s="20" t="str">
        <x:v>截图证据!A1024</x:v>
      </x:c>
      <x:c r="H39" s="20" t="str">
        <x:v>可见区域截图；图片尺寸与CSS视口分别记录</x:v>
      </x:c>
    </x:row>
    <x:row r="40" ht="52" customHeight="1">
      <x:c r="A40" s="20" t="str">
        <x:v>L13</x:v>
      </x:c>
      <x:c r="B40" s="20" t="str">
        <x:v>监管方式</x:v>
      </x:c>
      <x:c r="C40" s="25" t="d">
        <x:v>2026-10-12T16:54:28.000Z</x:v>
      </x:c>
      <x:c r="D40" s="20" t="str">
        <x:v>1440×800 CSS px</x:v>
      </x:c>
      <x:c r="E40" s="20" t="str">
        <x:v>1425×792 px</x:v>
      </x:c>
      <x:c r="F40" s="20" t="str">
        <x:v>https://localhost/pcs/system-config/master-data?group=dictionary&amp;resource=supervision_mode</x:v>
      </x:c>
      <x:c r="G40" s="20" t="str">
        <x:v>截图证据!A1052</x:v>
      </x:c>
      <x:c r="H40" s="20" t="str">
        <x:v>可见区域截图；图片尺寸与CSS视口分别记录</x:v>
      </x:c>
    </x:row>
    <x:row r="41" ht="52" customHeight="1">
      <x:c r="A41" s="20" t="str">
        <x:v>L14</x:v>
      </x:c>
      <x:c r="B41" s="20" t="str">
        <x:v>费用项</x:v>
      </x:c>
      <x:c r="C41" s="25" t="d">
        <x:v>2026-10-12T16:54:28.000Z</x:v>
      </x:c>
      <x:c r="D41" s="20" t="str">
        <x:v>1440×800 CSS px</x:v>
      </x:c>
      <x:c r="E41" s="20" t="str">
        <x:v>1425×792 px</x:v>
      </x:c>
      <x:c r="F41" s="20" t="str">
        <x:v>https://localhost/pcs/system-config/master-data?group=fee&amp;resource=fee_item</x:v>
      </x:c>
      <x:c r="G41" s="20" t="str">
        <x:v>截图证据!A1080</x:v>
      </x:c>
      <x:c r="H41" s="20" t="str">
        <x:v>可见区域截图；图片尺寸与CSS视口分别记录</x:v>
      </x:c>
    </x:row>
    <x:row r="42" ht="52" customHeight="1">
      <x:c r="A42" s="20" t="str">
        <x:v>L15</x:v>
      </x:c>
      <x:c r="B42" s="20" t="str">
        <x:v>币种</x:v>
      </x:c>
      <x:c r="C42" s="25" t="d">
        <x:v>2026-10-12T16:54:29.000Z</x:v>
      </x:c>
      <x:c r="D42" s="20" t="str">
        <x:v>1440×800 CSS px</x:v>
      </x:c>
      <x:c r="E42" s="20" t="str">
        <x:v>1425×792 px</x:v>
      </x:c>
      <x:c r="F42" s="20" t="str">
        <x:v>https://localhost/pcs/system-config/master-data?group=finance&amp;resource=currency</x:v>
      </x:c>
      <x:c r="G42" s="20" t="str">
        <x:v>截图证据!A1108</x:v>
      </x:c>
      <x:c r="H42" s="20" t="str">
        <x:v>可见区域截图；图片尺寸与CSS视口分别记录</x:v>
      </x:c>
    </x:row>
    <x:row r="43" ht="52" customHeight="1">
      <x:c r="A43" s="20" t="str">
        <x:v>L16</x:v>
      </x:c>
      <x:c r="B43" s="20" t="str">
        <x:v>汇率</x:v>
      </x:c>
      <x:c r="C43" s="25" t="d">
        <x:v>2026-10-12T16:54:29.000Z</x:v>
      </x:c>
      <x:c r="D43" s="20" t="str">
        <x:v>1440×800 CSS px</x:v>
      </x:c>
      <x:c r="E43" s="20" t="str">
        <x:v>1425×792 px</x:v>
      </x:c>
      <x:c r="F43" s="20" t="str">
        <x:v>https://localhost/pcs/system-config/master-data?group=finance&amp;resource=exchange_rate</x:v>
      </x:c>
      <x:c r="G43" s="20" t="str">
        <x:v>截图证据!A1136</x:v>
      </x:c>
      <x:c r="H43" s="20" t="str">
        <x:v>可见区域截图；图片尺寸与CSS视口分别记录</x:v>
      </x:c>
    </x:row>
    <x:row r="44" ht="52" customHeight="1">
      <x:c r="A44" s="20" t="str">
        <x:v>L17</x:v>
      </x:c>
      <x:c r="B44" s="20" t="str">
        <x:v>航线区域</x:v>
      </x:c>
      <x:c r="C44" s="25" t="d">
        <x:v>2026-10-12T16:54:30.000Z</x:v>
      </x:c>
      <x:c r="D44" s="20" t="str">
        <x:v>1440×800 CSS px</x:v>
      </x:c>
      <x:c r="E44" s="20" t="str">
        <x:v>1425×792 px</x:v>
      </x:c>
      <x:c r="F44" s="20" t="str">
        <x:v>https://localhost/pcs/system-config/master-data?group=routing&amp;resource=air_region</x:v>
      </x:c>
      <x:c r="G44" s="20" t="str">
        <x:v>截图证据!A1164</x:v>
      </x:c>
      <x:c r="H44" s="20" t="str">
        <x:v>可见区域截图；图片尺寸与CSS视口分别记录</x:v>
      </x:c>
    </x:row>
    <x:row r="45" ht="52" customHeight="1">
      <x:c r="A45" s="20" t="str">
        <x:v>L18</x:v>
      </x:c>
      <x:c r="B45" s="20" t="str">
        <x:v>Zone</x:v>
      </x:c>
      <x:c r="C45" s="25" t="d">
        <x:v>2026-10-12T16:54:30.000Z</x:v>
      </x:c>
      <x:c r="D45" s="20" t="str">
        <x:v>1440×800 CSS px</x:v>
      </x:c>
      <x:c r="E45" s="20" t="str">
        <x:v>1425×792 px</x:v>
      </x:c>
      <x:c r="F45" s="20" t="str">
        <x:v>https://localhost/pcs/system-config/master-data?group=routing&amp;resource=reference_zone</x:v>
      </x:c>
      <x:c r="G45" s="20" t="str">
        <x:v>截图证据!A1192</x:v>
      </x:c>
      <x:c r="H45" s="20" t="str">
        <x:v>可见区域截图；图片尺寸与CSS视口分别记录</x:v>
      </x:c>
    </x:row>
    <x:row r="46" ht="52" customHeight="1">
      <x:c r="A46" s="20" t="str">
        <x:v>E25</x:v>
      </x:c>
      <x:c r="B46" s="20" t="str">
        <x:v>1280px详情Tabs，End键后仍停留基本信息</x:v>
      </x:c>
      <x:c r="C46" s="25" t="d">
        <x:v>2026-10-12T17:02:13.000Z</x:v>
      </x:c>
      <x:c r="D46" s="20" t="str">
        <x:v>1280×800 CSS px</x:v>
      </x:c>
      <x:c r="E46" s="20" t="str">
        <x:v>1280×800 px</x:v>
      </x:c>
      <x:c r="F46" s="20" t="str">
        <x:v>https://localhost/pcs/system-config/master-data?group=routing&amp;resource=reference_zone</x:v>
      </x:c>
      <x:c r="G46" s="20" t="str">
        <x:v>截图证据!A1220</x:v>
      </x:c>
      <x:c r="H46" s="20" t="str">
        <x:v>可见区域截图；图片尺寸与CSS视口分别记录</x:v>
      </x:c>
    </x:row>
    <x:row r="47" ht="52" customHeight="1">
      <x:c r="A47" s="20" t="str">
        <x:v>E26</x:v>
      </x:c>
      <x:c r="B47" s="20" t="str">
        <x:v>应用刷新启动阶段全页Spin，未作为稳定列表判定</x:v>
      </x:c>
      <x:c r="C47" s="25" t="d">
        <x:v>2026-10-12T17:06:20.000Z</x:v>
      </x:c>
      <x:c r="D47" s="20" t="str">
        <x:v>1280×800 CSS px</x:v>
      </x:c>
      <x:c r="E47" s="20" t="str">
        <x:v>1265×791 px</x:v>
      </x:c>
      <x:c r="F47" s="20" t="str">
        <x:v>https://localhost/pcs/system-config/master-data?group=routing&amp;resource=reference_zone</x:v>
      </x:c>
      <x:c r="G47" s="20" t="str">
        <x:v>截图证据!A1250</x:v>
      </x:c>
      <x:c r="H47" s="20" t="str">
        <x:v>刷新启动阶段截图；未认定为页面数据加载的稳定结果</x:v>
      </x:c>
    </x:row>
    <x:row r="48" ht="52" customHeight="1">
      <x:c r="A48" s="20" t="str">
        <x:v>E27</x:v>
      </x:c>
      <x:c r="B48" s="20" t="str">
        <x:v>说明输入501字后前端保留500字，未保存</x:v>
      </x:c>
      <x:c r="C48" s="25" t="d">
        <x:v>2026-10-12T17:13:09.000Z</x:v>
      </x:c>
      <x:c r="D48" s="20" t="str">
        <x:v>1280×800 CSS px</x:v>
      </x:c>
      <x:c r="E48" s="20" t="str">
        <x:v>1280×800 px</x:v>
      </x:c>
      <x:c r="F48" s="20" t="str">
        <x:v>https://localhost/pcs/system-config/master-data?group=dictionary&amp;resource=cargo_type</x:v>
      </x:c>
      <x:c r="G48" s="20" t="str">
        <x:v>截图证据!A1281</x:v>
      </x:c>
      <x:c r="H48" s="20" t="str">
        <x:v>可见区域截图；图片尺寸与CSS视口分别记录</x:v>
      </x:c>
    </x:row>
    <x:row r="49" ht="52" customHeight="1">
      <x:c r="A49" s="20" t="str">
        <x:v>E28</x:v>
      </x:c>
      <x:c r="B49" s="20" t="str">
        <x:v>币种编辑表单，1280px桌面视口</x:v>
      </x:c>
      <x:c r="C49" s="25" t="d">
        <x:v>2026-10-12T17:15:53.000Z</x:v>
      </x:c>
      <x:c r="D49" s="20" t="str">
        <x:v>1280×800 CSS px</x:v>
      </x:c>
      <x:c r="E49" s="20" t="str">
        <x:v>1280×800 px</x:v>
      </x:c>
      <x:c r="F49" s="20" t="str">
        <x:v>https://localhost/pcs/system-config/master-data?group=finance&amp;resource=currency</x:v>
      </x:c>
      <x:c r="G49" s="20" t="str">
        <x:v>截图证据!A1311</x:v>
      </x:c>
      <x:c r="H49" s="20" t="str">
        <x:v>可见区域截图；图片尺寸与CSS视口分别记录</x:v>
      </x:c>
    </x:row>
    <x:row r="50" ht="52" customHeight="1">
      <x:c r="A50" s="20" t="str">
        <x:v>E29</x:v>
      </x:c>
      <x:c r="B50" s="20" t="str">
        <x:v>新增国家表单，编码可输入且默认状态启用，未保存</x:v>
      </x:c>
      <x:c r="C50" s="25" t="d">
        <x:v>2026-10-12T17:18:53.000Z</x:v>
      </x:c>
      <x:c r="D50" s="20" t="str">
        <x:v>1280×800 CSS px</x:v>
      </x:c>
      <x:c r="E50" s="20" t="str">
        <x:v>1280×800 px</x:v>
      </x:c>
      <x:c r="F50" s="20" t="str">
        <x:v>https://localhost/pcs/system-config/master-data?group=location&amp;resource=country&amp;create=1</x:v>
      </x:c>
      <x:c r="G50" s="20" t="str">
        <x:v>截图证据!A1341</x:v>
      </x:c>
      <x:c r="H50" s="20" t="str">
        <x:v>可见区域截图；图片尺寸与CSS视口分别记录</x:v>
      </x:c>
    </x:row>
    <x:row r="51" ht="52" customHeight="1">
      <x:c r="A51" s="20" t="str">
        <x:v>E30</x:v>
      </x:c>
      <x:c r="B51" s="20" t="str">
        <x:v>Zone横向滚动前，固定列与操作裁切</x:v>
      </x:c>
      <x:c r="C51" s="25" t="d">
        <x:v>2026-10-12T17:23:43.000Z</x:v>
      </x:c>
      <x:c r="D51" s="20" t="str">
        <x:v>1280×800 CSS px</x:v>
      </x:c>
      <x:c r="E51" s="20" t="str">
        <x:v>1265×791 px</x:v>
      </x:c>
      <x:c r="F51" s="20" t="str">
        <x:v>https://localhost/pcs/system-config/master-data?group=routing&amp;resource=reference_zone</x:v>
      </x:c>
      <x:c r="G51" s="20" t="str">
        <x:v>截图证据!A1371</x:v>
      </x:c>
      <x:c r="H51" s="20" t="str">
        <x:v>可见区域截图；图片尺寸与CSS视口分别记录</x:v>
      </x:c>
    </x:row>
    <x:row r="52" ht="52" customHeight="1">
      <x:c r="A52" s="20" t="str">
        <x:v>E31</x:v>
      </x:c>
      <x:c r="B52" s="20" t="str">
        <x:v>Zone水平滚动后，左右固定列仍可定位</x:v>
      </x:c>
      <x:c r="C52" s="25" t="d">
        <x:v>2026-10-12T17:24:17.000Z</x:v>
      </x:c>
      <x:c r="D52" s="20" t="str">
        <x:v>1280×800 CSS px</x:v>
      </x:c>
      <x:c r="E52" s="20" t="str">
        <x:v>1265×791 px</x:v>
      </x:c>
      <x:c r="F52" s="20" t="str">
        <x:v>https://localhost/pcs/system-config/master-data?group=routing&amp;resource=reference_zone</x:v>
      </x:c>
      <x:c r="G52" s="20" t="str">
        <x:v>截图证据!A1402</x:v>
      </x:c>
      <x:c r="H52" s="20" t="str">
        <x:v>可见区域截图；图片尺寸与CSS视口分别记录</x:v>
      </x:c>
    </x:row>
    <x:row r="53" ht="52" customHeight="1">
      <x:c r="A53" s="20" t="str">
        <x:v>E32</x:v>
      </x:c>
      <x:c r="B53" s="20" t="str">
        <x:v>国家字段未关联label，DOM与截图对应</x:v>
      </x:c>
      <x:c r="C53" s="25" t="d">
        <x:v>2026-10-12T17:28:22.999Z</x:v>
      </x:c>
      <x:c r="D53" s="20" t="str">
        <x:v>1280×800 CSS px</x:v>
      </x:c>
      <x:c r="E53" s="20" t="str">
        <x:v>1280×800 px</x:v>
      </x:c>
      <x:c r="F53" s="20" t="str">
        <x:v>https://localhost/pcs/system-config/master-data?group=location&amp;resource=country</x:v>
      </x:c>
      <x:c r="G53" s="20" t="str">
        <x:v>截图证据!A1433</x:v>
      </x:c>
      <x:c r="H53" s="20" t="str">
        <x:v>可见区域截图；图片尺寸与CSS视口分别记录</x:v>
      </x:c>
    </x:row>
    <x:row r="59" ht="18" customHeight="1">
      <x:c r="A59" s="26" t="str">
        <x:v>E01  国家列表，1440px桌面基准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18" customHeight="1">
      <x:c r="A60" s="27" t="str">
        <x:v>https://localhost/pcs/system-config/master-data?group=location&amp;resource=country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18" customHeight="1">
      <x:c r="A61" s="1" t="str">
        <x:v>2026-10-12 16:29:04 上海时间｜CSS视口 1440×1000 CSS px｜原图 1440×896 px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 ht="18" customHeight="1">
      <x:c r="A89" s="26" t="str">
        <x:v>E02  国家编辑表单，只打开未保存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 ht="18" customHeight="1">
      <x:c r="A90" s="27" t="str">
        <x:v>https://localhost/pcs/system-config/master-data?group=location&amp;resource=country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 ht="18" customHeight="1">
      <x:c r="A91" s="1" t="str">
        <x:v>2026-10-12 16:30:38 上海时间｜CSS视口 1440×1000 CSS px｜原图 1440×896 px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 ht="18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 ht="18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 ht="18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 ht="18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 ht="18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 ht="18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 ht="18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 ht="18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 ht="18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 ht="18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 ht="18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 ht="18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 ht="18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 ht="18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 ht="18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 ht="18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 ht="18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 ht="18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 ht="18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 ht="18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 ht="18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 ht="18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 ht="18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 ht="18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 ht="18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 ht="18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 ht="18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 ht="18" customHeight="1">
      <x:c r="A119" s="26" t="str">
        <x:v>E03  国家编辑临时输入，后续取消，不保存</x:v>
      </x:c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 ht="18" customHeight="1">
      <x:c r="A120" s="27" t="str">
        <x:v>https://localhost/pcs/system-config/master-data?group=location&amp;resource=country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 ht="18" customHeight="1">
      <x:c r="A121" s="1" t="str">
        <x:v>2026-10-12 16:32:39 上海时间｜CSS视口 1440×1000 CSS px｜原图 1440×896 px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  <x:row r="122" ht="18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</x:row>
    <x:row r="123" ht="18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</x:row>
    <x:row r="124" ht="18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</x:row>
    <x:row r="125" ht="18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</x:row>
    <x:row r="126" ht="18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</x:row>
    <x:row r="127" ht="18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</x:row>
    <x:row r="128" ht="18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</x:row>
    <x:row r="129" ht="18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</x:row>
    <x:row r="130" ht="18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</x:row>
    <x:row r="131" ht="18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</x:row>
    <x:row r="132" ht="18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</x:row>
    <x:row r="133" ht="18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</x:row>
    <x:row r="134" ht="18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</x:row>
    <x:row r="135" ht="18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</x:row>
    <x:row r="136" ht="18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</x:row>
    <x:row r="137" ht="18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</x:row>
    <x:row r="138" ht="18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</x:row>
    <x:row r="139" ht="18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</x:row>
    <x:row r="140" ht="18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</x:row>
    <x:row r="141" ht="18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</x:row>
    <x:row r="142" ht="18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</x:row>
    <x:row r="143" ht="18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</x:row>
    <x:row r="144" ht="18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</x:row>
    <x:row r="145" ht="18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</x:row>
    <x:row r="146" ht="18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</x:row>
    <x:row r="147" ht="18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</x:row>
    <x:row r="148" ht="18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</x:row>
    <x:row r="149" ht="18" customHeight="1">
      <x:c r="A149" s="26" t="str">
        <x:v>E04  取消后再次打开，中文名称恢复中国</x:v>
      </x:c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</x:row>
    <x:row r="150" ht="18" customHeight="1">
      <x:c r="A150" s="27" t="str">
        <x:v>https://localhost/pcs/system-config/master-data?group=location&amp;resource=country</x:v>
      </x:c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</x:row>
    <x:row r="151" ht="18" customHeight="1">
      <x:c r="A151" s="1" t="str">
        <x:v>2026-10-12 16:33:35 上海时间｜CSS视口 1440×1000 CSS px｜原图 1440×896 px</x:v>
      </x:c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</x:row>
    <x:row r="152" ht="18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</x:row>
    <x:row r="153" ht="18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</x:row>
    <x:row r="154" ht="18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</x:row>
    <x:row r="155" ht="18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</x:row>
    <x:row r="156" ht="18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</x:row>
    <x:row r="157" ht="18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</x:row>
    <x:row r="158" ht="18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</x:row>
    <x:row r="159" ht="18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</x:row>
    <x:row r="160" ht="18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</x:row>
    <x:row r="161" ht="18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</x:row>
    <x:row r="162" ht="18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</x:row>
    <x:row r="163" ht="18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</x:row>
    <x:row r="164" ht="18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</x:row>
    <x:row r="165" ht="18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</x:row>
    <x:row r="166" ht="18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</x:row>
    <x:row r="167" ht="18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</x:row>
    <x:row r="168" ht="18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</x:row>
    <x:row r="169" ht="18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</x:row>
    <x:row r="170" ht="18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</x:row>
    <x:row r="171" ht="18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</x:row>
    <x:row r="172" ht="18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</x:row>
    <x:row r="173" ht="18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</x:row>
    <x:row r="174" ht="18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</x:row>
    <x:row r="175" ht="18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</x:row>
    <x:row r="176" ht="18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</x:row>
    <x:row r="177" ht="18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</x:row>
    <x:row r="178" ht="18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</x:row>
    <x:row r="179" ht="18" customHeight="1">
      <x:c r="A179" s="26" t="str">
        <x:v>E05  国家列表无匹配结果与分页空态</x:v>
      </x:c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</x:row>
    <x:row r="180" ht="18" customHeight="1">
      <x:c r="A180" s="27" t="str">
        <x:v>https://localhost/pcs/system-config/master-data?group=location&amp;resource=country</x:v>
      </x:c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</x:row>
    <x:row r="181" ht="18" customHeight="1">
      <x:c r="A181" s="1" t="str">
        <x:v>2026-10-12 16:33:36 上海时间｜CSS视口 1440×1000 CSS px｜原图 1440×896 px</x:v>
      </x:c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</x:row>
    <x:row r="182" ht="18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</x:row>
    <x:row r="183" ht="18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</x:row>
    <x:row r="184" ht="18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</x:row>
    <x:row r="185" ht="18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</x:row>
    <x:row r="186" ht="18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</x:row>
    <x:row r="187" ht="18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</x:row>
    <x:row r="188" ht="18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</x:row>
    <x:row r="189" ht="18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</x:row>
    <x:row r="190" ht="18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</x:row>
    <x:row r="191" ht="18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</x:row>
    <x:row r="192" ht="18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</x:row>
    <x:row r="193" ht="18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</x:row>
    <x:row r="194" ht="18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</x:row>
    <x:row r="195" ht="18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</x:row>
    <x:row r="196" ht="18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</x:row>
    <x:row r="197" ht="18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</x:row>
    <x:row r="198" ht="18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</x:row>
    <x:row r="199" ht="18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</x:row>
    <x:row r="200" ht="18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</x:row>
    <x:row r="201" ht="18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</x:row>
    <x:row r="202" ht="18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</x:row>
    <x:row r="203" ht="18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</x:row>
    <x:row r="204" ht="18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</x:row>
    <x:row r="205" ht="18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</x:row>
    <x:row r="206" ht="18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</x:row>
    <x:row r="207" ht="18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</x:row>
    <x:row r="208" ht="18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</x:row>
    <x:row r="209" ht="18" customHeight="1">
      <x:c r="A209" s="26" t="str">
        <x:v>E06  邮编列表国家显示内部ID</x:v>
      </x:c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</x:row>
    <x:row r="210" ht="18" customHeight="1">
      <x:c r="A210" s="27" t="str">
        <x:v>https://localhost/pcs/system-config/master-data?group=location&amp;resource=postal_code</x:v>
      </x:c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</x:row>
    <x:row r="211" ht="18" customHeight="1">
      <x:c r="A211" s="1" t="str">
        <x:v>2026-10-12 16:34:13 上海时间｜CSS视口 1440×1000 CSS px｜原图 1440×896 px</x:v>
      </x:c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</x:row>
    <x:row r="212" ht="18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</x:row>
    <x:row r="213" ht="18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</x:row>
    <x:row r="214" ht="18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</x:row>
    <x:row r="215" ht="18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</x:row>
    <x:row r="216" ht="18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</x:row>
    <x:row r="217" ht="18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</x:row>
    <x:row r="218" ht="18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</x:row>
    <x:row r="219" ht="18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</x:row>
    <x:row r="220" ht="18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</x:row>
    <x:row r="221" ht="18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</x:row>
    <x:row r="222" ht="18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</x:row>
    <x:row r="223" ht="18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</x:row>
    <x:row r="224" ht="18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</x:row>
    <x:row r="225" ht="18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</x:row>
    <x:row r="226" ht="18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</x:row>
    <x:row r="227" ht="18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</x:row>
    <x:row r="228" ht="18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</x:row>
    <x:row r="229" ht="18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</x:row>
    <x:row r="230" ht="18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</x:row>
    <x:row r="231" ht="18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</x:row>
    <x:row r="232" ht="18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</x:row>
    <x:row r="233" ht="18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</x:row>
    <x:row r="234" ht="18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</x:row>
    <x:row r="235" ht="18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</x:row>
    <x:row r="236" ht="18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</x:row>
    <x:row r="237" ht="18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</x:row>
    <x:row r="238" ht="18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</x:row>
    <x:row r="239" ht="18" customHeight="1">
      <x:c r="A239" s="26" t="str">
        <x:v>E08  邮编编辑关联国家稳定回显：中国 CN</x:v>
      </x:c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</x:row>
    <x:row r="240" ht="18" customHeight="1">
      <x:c r="A240" s="27" t="str">
        <x:v>https://localhost/pcs/system-config/master-data?group=location&amp;resource=postal_code</x:v>
      </x:c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</x:row>
    <x:row r="241" ht="18" customHeight="1">
      <x:c r="A241" s="1" t="str">
        <x:v>2026-10-12 16:34:57 上海时间｜CSS视口 1440×1000 CSS px｜原图 1440×896 px</x:v>
      </x:c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</x:row>
    <x:row r="242" ht="18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</x:row>
    <x:row r="243" ht="18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</x:row>
    <x:row r="244" ht="18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</x:row>
    <x:row r="245" ht="18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</x:row>
    <x:row r="246" ht="18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</x:row>
    <x:row r="247" ht="18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</x:row>
    <x:row r="248" ht="18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</x:row>
    <x:row r="249" ht="18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</x:row>
    <x:row r="250" ht="18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</x:row>
    <x:row r="251" ht="18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</x:row>
    <x:row r="252" ht="18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</x:row>
    <x:row r="253" ht="18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</x:row>
    <x:row r="254" ht="18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</x:row>
    <x:row r="255" ht="18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</x:row>
    <x:row r="256" ht="18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</x:row>
    <x:row r="257" ht="18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</x:row>
    <x:row r="258" ht="18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</x:row>
    <x:row r="259" ht="18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</x:row>
    <x:row r="260" ht="18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</x:row>
    <x:row r="261" ht="18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</x:row>
    <x:row r="262" ht="18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</x:row>
    <x:row r="263" ht="18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</x:row>
    <x:row r="264" ht="18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</x:row>
    <x:row r="265" ht="18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</x:row>
    <x:row r="266" ht="18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</x:row>
    <x:row r="267" ht="18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</x:row>
    <x:row r="268" ht="18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</x:row>
    <x:row r="269" ht="18" customHeight="1">
      <x:c r="A269" s="26" t="str">
        <x:v>E10  航空公司编辑表单，稳定渲染后</x:v>
      </x:c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</x:row>
    <x:row r="270" ht="18" customHeight="1">
      <x:c r="A270" s="27" t="str">
        <x:v>https://localhost/pcs/system-config/master-data?group=dictionary&amp;resource=airline</x:v>
      </x:c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</x:row>
    <x:row r="271" ht="18" customHeight="1">
      <x:c r="A271" s="1" t="str">
        <x:v>2026-10-12 16:36:09 上海时间｜CSS视口 1440×1000 CSS px｜原图 1440×896 px</x:v>
      </x:c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</x:row>
    <x:row r="272" ht="18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</x:row>
    <x:row r="273" ht="18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</x:row>
    <x:row r="274" ht="18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</x:row>
    <x:row r="275" ht="18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</x:row>
    <x:row r="276" ht="18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</x:row>
    <x:row r="277" ht="18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</x:row>
    <x:row r="278" ht="18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</x:row>
    <x:row r="279" ht="18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</x:row>
    <x:row r="280" ht="18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</x:row>
    <x:row r="281" ht="18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</x:row>
    <x:row r="282" ht="18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</x:row>
    <x:row r="283" ht="18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</x:row>
    <x:row r="284" ht="18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</x:row>
    <x:row r="285" ht="18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</x:row>
    <x:row r="286" ht="18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</x:row>
    <x:row r="287" ht="18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</x:row>
    <x:row r="288" ht="18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</x:row>
    <x:row r="289" ht="18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</x:row>
    <x:row r="290" ht="18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</x:row>
    <x:row r="291" ht="18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</x:row>
    <x:row r="292" ht="18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</x:row>
    <x:row r="293" ht="18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</x:row>
    <x:row r="294" ht="18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</x:row>
    <x:row r="295" ht="18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</x:row>
    <x:row r="296" ht="18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</x:row>
    <x:row r="297" ht="18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</x:row>
    <x:row r="298" ht="18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</x:row>
    <x:row r="299" ht="18" customHeight="1">
      <x:c r="A299" s="26" t="str">
        <x:v>E11  货物类型列表</x:v>
      </x:c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</x:row>
    <x:row r="300" ht="18" customHeight="1">
      <x:c r="A300" s="27" t="str">
        <x:v>https://localhost/pcs/system-config/master-data?group=dictionary&amp;resource=cargo_type</x:v>
      </x:c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</x:row>
    <x:row r="301" ht="18" customHeight="1">
      <x:c r="A301" s="1" t="str">
        <x:v>2026-10-12 16:40:33 上海时间｜CSS视口 1440×1000 CSS px｜原图 1440×896 px</x:v>
      </x:c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</x:row>
    <x:row r="302" ht="18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</x:row>
    <x:row r="303" ht="18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</x:row>
    <x:row r="304" ht="18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</x:row>
    <x:row r="305" ht="18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</x:row>
    <x:row r="306" ht="18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</x:row>
    <x:row r="307" ht="18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</x:row>
    <x:row r="308" ht="18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</x:row>
    <x:row r="309" ht="18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</x:row>
    <x:row r="310" ht="18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</x:row>
    <x:row r="311" ht="18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</x:row>
    <x:row r="312" ht="18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</x:row>
    <x:row r="313" ht="18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</x:row>
    <x:row r="314" ht="18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</x:row>
    <x:row r="315" ht="18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</x:row>
    <x:row r="316" ht="18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</x:row>
    <x:row r="317" ht="18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</x:row>
    <x:row r="318" ht="18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</x:row>
    <x:row r="319" ht="18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</x:row>
    <x:row r="320" ht="18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</x:row>
    <x:row r="321" ht="18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</x:row>
    <x:row r="322" ht="18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</x:row>
    <x:row r="323" ht="18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</x:row>
    <x:row r="324" ht="18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</x:row>
    <x:row r="325" ht="18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</x:row>
    <x:row r="326" ht="18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</x:row>
    <x:row r="327" ht="18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</x:row>
    <x:row r="328" ht="18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</x:row>
    <x:row r="329" ht="18" customHeight="1">
      <x:c r="A329" s="26" t="str">
        <x:v>E12  货物类型编辑，说明框与表单布局</x:v>
      </x:c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</x:row>
    <x:row r="330" ht="18" customHeight="1">
      <x:c r="A330" s="27" t="str">
        <x:v>https://localhost/pcs/system-config/master-data?group=dictionary&amp;resource=cargo_type</x:v>
      </x:c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</x:row>
    <x:row r="331" ht="18" customHeight="1">
      <x:c r="A331" s="1" t="str">
        <x:v>2026-10-12 16:41:34 上海时间｜CSS视口 1440×1000 CSS px｜原图 1440×896 px</x:v>
      </x:c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</x:row>
    <x:row r="332" ht="18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</x:row>
    <x:row r="333" ht="18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</x:row>
    <x:row r="334" ht="18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</x:row>
    <x:row r="335" ht="18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</x:row>
    <x:row r="336" ht="18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</x:row>
    <x:row r="337" ht="18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</x:row>
    <x:row r="338" ht="18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</x:row>
    <x:row r="339" ht="18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</x:row>
    <x:row r="340" ht="18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</x:row>
    <x:row r="341" ht="18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</x:row>
    <x:row r="342" ht="18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</x:row>
    <x:row r="343" ht="18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</x:row>
    <x:row r="344" ht="18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</x:row>
    <x:row r="345" ht="18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</x:row>
    <x:row r="346" ht="18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</x:row>
    <x:row r="347" ht="18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</x:row>
    <x:row r="348" ht="18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</x:row>
    <x:row r="349" ht="18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</x:row>
    <x:row r="350" ht="18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</x:row>
    <x:row r="351" ht="18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</x:row>
    <x:row r="352" ht="18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</x:row>
    <x:row r="353" ht="18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</x:row>
    <x:row r="354" ht="18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</x:row>
    <x:row r="355" ht="18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</x:row>
    <x:row r="356" ht="18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</x:row>
    <x:row r="357" ht="18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</x:row>
    <x:row r="358" ht="18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</x:row>
    <x:row r="359" ht="18" customHeight="1">
      <x:c r="A359" s="26" t="str">
        <x:v>E13  费用项列表</x:v>
      </x:c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</x:row>
    <x:row r="360" ht="18" customHeight="1">
      <x:c r="A360" s="27" t="str">
        <x:v>https://localhost/pcs/system-config/master-data?group=fee&amp;resource=fee_item</x:v>
      </x:c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</x:row>
    <x:row r="361" ht="18" customHeight="1">
      <x:c r="A361" s="1" t="str">
        <x:v>2026-10-12 16:42:16 上海时间｜CSS视口 1440×1000 CSS px｜原图 1440×896 px</x:v>
      </x:c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</x:row>
    <x:row r="362" ht="18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</x:row>
    <x:row r="363" ht="18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</x:row>
    <x:row r="364" ht="18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</x:row>
    <x:row r="365" ht="18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</x:row>
    <x:row r="366" ht="18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</x:row>
    <x:row r="367" ht="18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</x:row>
    <x:row r="368" ht="18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</x:row>
    <x:row r="369" ht="18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</x:row>
    <x:row r="370" ht="18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</x:row>
    <x:row r="371" ht="18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</x:row>
    <x:row r="372" ht="18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</x:row>
    <x:row r="373" ht="18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</x:row>
    <x:row r="374" ht="18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</x:row>
    <x:row r="375" ht="18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</x:row>
    <x:row r="376" ht="18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</x:row>
    <x:row r="377" ht="18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</x:row>
    <x:row r="378" ht="18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</x:row>
    <x:row r="379" ht="18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</x:row>
    <x:row r="380" ht="18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</x:row>
    <x:row r="381" ht="18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</x:row>
    <x:row r="382" ht="18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</x:row>
    <x:row r="383" ht="18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</x:row>
    <x:row r="384" ht="18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</x:row>
    <x:row r="385" ht="18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</x:row>
    <x:row r="386" ht="18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</x:row>
    <x:row r="387" ht="18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</x:row>
    <x:row r="388" ht="18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</x:row>
    <x:row r="389" ht="18" customHeight="1">
      <x:c r="A389" s="26" t="str">
        <x:v>E14  费用项编辑表单</x:v>
      </x:c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</x:row>
    <x:row r="390" ht="18" customHeight="1">
      <x:c r="A390" s="27" t="str">
        <x:v>https://localhost/pcs/system-config/master-data?group=fee&amp;resource=fee_item</x:v>
      </x:c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</x:row>
    <x:row r="391" ht="18" customHeight="1">
      <x:c r="A391" s="1" t="str">
        <x:v>2026-10-12 16:42:57 上海时间｜CSS视口 1440×1000 CSS px｜原图 1440×896 px</x:v>
      </x:c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</x:row>
    <x:row r="392" ht="18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</x:row>
    <x:row r="393" ht="18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</x:row>
    <x:row r="394" ht="18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</x:row>
    <x:row r="395" ht="18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</x:row>
    <x:row r="396" ht="18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</x:row>
    <x:row r="397" ht="18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</x:row>
    <x:row r="398" ht="18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</x:row>
    <x:row r="399" ht="18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</x:row>
    <x:row r="400" ht="18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</x:row>
    <x:row r="401" ht="18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</x:row>
    <x:row r="402" ht="18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</x:row>
    <x:row r="403" ht="18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</x:row>
    <x:row r="404" ht="18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</x:row>
    <x:row r="405" ht="18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</x:row>
    <x:row r="406" ht="18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</x:row>
    <x:row r="407" ht="18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</x:row>
    <x:row r="408" ht="18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</x:row>
    <x:row r="409" ht="18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</x:row>
    <x:row r="410" ht="18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</x:row>
    <x:row r="411" ht="18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</x:row>
    <x:row r="412" ht="18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</x:row>
    <x:row r="413" ht="18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</x:row>
    <x:row r="414" ht="18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</x:row>
    <x:row r="415" ht="18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</x:row>
    <x:row r="416" ht="18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</x:row>
    <x:row r="417" ht="18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</x:row>
    <x:row r="418" ht="18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</x:row>
    <x:row r="419" ht="18" customHeight="1">
      <x:c r="A419" s="26" t="str">
        <x:v>E15  币种列表，数字对齐</x:v>
      </x:c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</x:row>
    <x:row r="420" ht="18" customHeight="1">
      <x:c r="A420" s="27" t="str">
        <x:v>https://localhost/pcs/system-config/master-data?group=finance&amp;resource=currency</x:v>
      </x:c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</x:row>
    <x:row r="421" ht="18" customHeight="1">
      <x:c r="A421" s="1" t="str">
        <x:v>2026-10-12 16:43:34 上海时间｜CSS视口 1440×1000 CSS px｜原图 1440×896 px</x:v>
      </x:c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</x:row>
    <x:row r="422" ht="18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</x:row>
    <x:row r="423" ht="18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</x:row>
    <x:row r="424" ht="18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</x:row>
    <x:row r="425" ht="18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</x:row>
    <x:row r="426" ht="18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</x:row>
    <x:row r="427" ht="18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</x:row>
    <x:row r="428" ht="18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</x:row>
    <x:row r="429" ht="18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</x:row>
    <x:row r="430" ht="18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</x:row>
    <x:row r="431" ht="18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</x:row>
    <x:row r="432" ht="18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</x:row>
    <x:row r="433" ht="18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</x:row>
    <x:row r="434" ht="18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</x:row>
    <x:row r="435" ht="18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</x:row>
    <x:row r="436" ht="18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</x:row>
    <x:row r="437" ht="18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</x:row>
    <x:row r="438" ht="18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</x:row>
    <x:row r="439" ht="18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</x:row>
    <x:row r="440" ht="18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</x:row>
    <x:row r="441" ht="18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</x:row>
    <x:row r="442" ht="18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</x:row>
    <x:row r="443" ht="18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</x:row>
    <x:row r="444" ht="18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</x:row>
    <x:row r="445" ht="18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</x:row>
    <x:row r="446" ht="18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</x:row>
    <x:row r="447" ht="18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</x:row>
    <x:row r="448" ht="18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</x:row>
    <x:row r="449" ht="18" customHeight="1">
      <x:c r="A449" s="26" t="str">
        <x:v>E16  汇率列表和日期、数值列</x:v>
      </x:c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</x:row>
    <x:row r="450" ht="18" customHeight="1">
      <x:c r="A450" s="27" t="str">
        <x:v>https://localhost/pcs/system-config/master-data?group=finance&amp;resource=exchange_rate</x:v>
      </x:c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</x:row>
    <x:row r="451" ht="18" customHeight="1">
      <x:c r="A451" s="1" t="str">
        <x:v>2026-10-12 16:44:01 上海时间｜CSS视口 1440×1000 CSS px｜原图 1440×896 px</x:v>
      </x:c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</x:row>
    <x:row r="452" ht="18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</x:row>
    <x:row r="453" ht="18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</x:row>
    <x:row r="454" ht="18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</x:row>
    <x:row r="455" ht="18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</x:row>
    <x:row r="456" ht="18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</x:row>
    <x:row r="457" ht="18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</x:row>
    <x:row r="458" ht="18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</x:row>
    <x:row r="459" ht="18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</x:row>
    <x:row r="460" ht="18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</x:row>
    <x:row r="461" ht="18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</x:row>
    <x:row r="462" ht="18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</x:row>
    <x:row r="463" ht="18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</x:row>
    <x:row r="464" ht="18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</x:row>
    <x:row r="465" ht="18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</x:row>
    <x:row r="466" ht="18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</x:row>
    <x:row r="467" ht="18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</x:row>
    <x:row r="468" ht="18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</x:row>
    <x:row r="469" ht="18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</x:row>
    <x:row r="470" ht="18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</x:row>
    <x:row r="471" ht="18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</x:row>
    <x:row r="472" ht="18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</x:row>
    <x:row r="473" ht="18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</x:row>
    <x:row r="474" ht="18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</x:row>
    <x:row r="475" ht="18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</x:row>
    <x:row r="476" ht="18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</x:row>
    <x:row r="477" ht="18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</x:row>
    <x:row r="478" ht="18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</x:row>
    <x:row r="479" ht="18" customHeight="1">
      <x:c r="A479" s="26" t="str">
        <x:v>E17  已生效汇率编辑，只读与可编辑字段</x:v>
      </x:c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</x:row>
    <x:row r="480" ht="18" customHeight="1">
      <x:c r="A480" s="27" t="str">
        <x:v>https://localhost/pcs/system-config/master-data?group=finance&amp;resource=exchange_rate</x:v>
      </x:c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</x:row>
    <x:row r="481" ht="18" customHeight="1">
      <x:c r="A481" s="1" t="str">
        <x:v>2026-10-12 16:44:40 上海时间｜CSS视口 1440×1000 CSS px｜原图 1440×896 px</x:v>
      </x:c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</x:row>
    <x:row r="482" ht="18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</x:row>
    <x:row r="483" ht="18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</x:row>
    <x:row r="484" ht="18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</x:row>
    <x:row r="485" ht="18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</x:row>
    <x:row r="486" ht="18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</x:row>
    <x:row r="487" ht="18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</x:row>
    <x:row r="488" ht="18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</x:row>
    <x:row r="489" ht="18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</x:row>
    <x:row r="490" ht="18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</x:row>
    <x:row r="491" ht="18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</x:row>
    <x:row r="492" ht="18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</x:row>
    <x:row r="493" ht="18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</x:row>
    <x:row r="494" ht="18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</x:row>
    <x:row r="495" ht="18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</x:row>
    <x:row r="496" ht="18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</x:row>
    <x:row r="497" ht="18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</x:row>
    <x:row r="498" ht="18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</x:row>
    <x:row r="499" ht="18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</x:row>
    <x:row r="500" ht="18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</x:row>
    <x:row r="501" ht="18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</x:row>
    <x:row r="502" ht="18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</x:row>
    <x:row r="503" ht="18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</x:row>
    <x:row r="504" ht="18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</x:row>
    <x:row r="505" ht="18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</x:row>
    <x:row r="506" ht="18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</x:row>
    <x:row r="507" ht="18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</x:row>
    <x:row r="508" ht="18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</x:row>
    <x:row r="509" ht="18" customHeight="1">
      <x:c r="A509" s="26" t="str">
        <x:v>E18  航线区域列表</x:v>
      </x:c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</x:row>
    <x:row r="510" ht="18" customHeight="1">
      <x:c r="A510" s="27" t="str">
        <x:v>https://localhost/pcs/system-config/master-data?group=routing&amp;resource=air_region</x:v>
      </x:c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</x:row>
    <x:row r="511" ht="18" customHeight="1">
      <x:c r="A511" s="1" t="str">
        <x:v>2026-10-12 16:46:00 上海时间｜CSS视口 1440×1000 CSS px｜原图 1440×896 px</x:v>
      </x:c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</x:row>
    <x:row r="512" ht="18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</x:row>
    <x:row r="513" ht="18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</x:row>
    <x:row r="514" ht="18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</x:row>
    <x:row r="515" ht="18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</x:row>
    <x:row r="516" ht="18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</x:row>
    <x:row r="517" ht="18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</x:row>
    <x:row r="518" ht="18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</x:row>
    <x:row r="519" ht="18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</x:row>
    <x:row r="520" ht="18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</x:row>
    <x:row r="521" ht="18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</x:row>
    <x:row r="522" ht="18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</x:row>
    <x:row r="523" ht="18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</x:row>
    <x:row r="524" ht="18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</x:row>
    <x:row r="525" ht="18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</x:row>
    <x:row r="526" ht="18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</x:row>
    <x:row r="527" ht="18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</x:row>
    <x:row r="528" ht="18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</x:row>
    <x:row r="529" ht="18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</x:row>
    <x:row r="530" ht="18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</x:row>
    <x:row r="531" ht="18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</x:row>
    <x:row r="532" ht="18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</x:row>
    <x:row r="533" ht="18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</x:row>
    <x:row r="534" ht="18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</x:row>
    <x:row r="535" ht="18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</x:row>
    <x:row r="536" ht="18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</x:row>
    <x:row r="537" ht="18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</x:row>
    <x:row r="538" ht="18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</x:row>
    <x:row r="539" ht="18" customHeight="1">
      <x:c r="A539" s="26" t="str">
        <x:v>E19  航线区域详情及国家关系</x:v>
      </x:c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</x:row>
    <x:row r="540" ht="18" customHeight="1">
      <x:c r="A540" s="27" t="str">
        <x:v>https://localhost/pcs/system-config/master-data?group=routing&amp;resource=air_region</x:v>
      </x:c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</x:row>
    <x:row r="541" ht="18" customHeight="1">
      <x:c r="A541" s="1" t="str">
        <x:v>2026-10-12 16:46:18 上海时间｜CSS视口 1440×1000 CSS px｜原图 1440×896 px</x:v>
      </x:c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</x:row>
    <x:row r="542" ht="18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</x:row>
    <x:row r="543" ht="18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</x:row>
    <x:row r="544" ht="18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</x:row>
    <x:row r="545" ht="18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</x:row>
    <x:row r="546" ht="18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</x:row>
    <x:row r="547" ht="18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</x:row>
    <x:row r="548" ht="18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</x:row>
    <x:row r="549" ht="18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</x:row>
    <x:row r="550" ht="18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</x:row>
    <x:row r="551" ht="18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</x:row>
    <x:row r="552" ht="18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</x:row>
    <x:row r="553" ht="18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</x:row>
    <x:row r="554" ht="18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</x:row>
    <x:row r="555" ht="18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</x:row>
    <x:row r="556" ht="18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</x:row>
    <x:row r="557" ht="18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</x:row>
    <x:row r="558" ht="18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</x:row>
    <x:row r="559" ht="18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</x:row>
    <x:row r="560" ht="18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</x:row>
    <x:row r="561" ht="18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</x:row>
    <x:row r="562" ht="18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</x:row>
    <x:row r="563" ht="18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</x:row>
    <x:row r="564" ht="18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</x:row>
    <x:row r="565" ht="18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</x:row>
    <x:row r="566" ht="18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</x:row>
    <x:row r="567" ht="18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</x:row>
    <x:row r="568" ht="18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</x:row>
    <x:row r="569" ht="18" customHeight="1">
      <x:c r="A569" s="26" t="str">
        <x:v>E20  Zone列表</x:v>
      </x:c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</x:row>
    <x:row r="570" ht="18" customHeight="1">
      <x:c r="A570" s="27" t="str">
        <x:v>https://localhost/pcs/system-config/master-data?group=routing&amp;resource=reference_zone</x:v>
      </x:c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</x:row>
    <x:row r="571" ht="18" customHeight="1">
      <x:c r="A571" s="1" t="str">
        <x:v>2026-10-12 16:47:32 上海时间｜CSS视口 1440×1000 CSS px｜原图 1440×896 px</x:v>
      </x:c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</x:row>
    <x:row r="572" ht="18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</x:row>
    <x:row r="573" ht="18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</x:row>
    <x:row r="574" ht="18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</x:row>
    <x:row r="575" ht="18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</x:row>
    <x:row r="576" ht="18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</x:row>
    <x:row r="577" ht="18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</x:row>
    <x:row r="578" ht="18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</x:row>
    <x:row r="579" ht="18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</x:row>
    <x:row r="580" ht="18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</x:row>
    <x:row r="581" ht="18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</x:row>
    <x:row r="582" ht="18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</x:row>
    <x:row r="583" ht="18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</x:row>
    <x:row r="584" ht="18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</x:row>
    <x:row r="585" ht="18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</x:row>
    <x:row r="586" ht="18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</x:row>
    <x:row r="587" ht="18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</x:row>
    <x:row r="588" ht="18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</x:row>
    <x:row r="589" ht="18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</x:row>
    <x:row r="590" ht="18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</x:row>
    <x:row r="591" ht="18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</x:row>
    <x:row r="592" ht="18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</x:row>
    <x:row r="593" ht="18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</x:row>
    <x:row r="594" ht="18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</x:row>
    <x:row r="595" ht="18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</x:row>
    <x:row r="596" ht="18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</x:row>
    <x:row r="597" ht="18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</x:row>
    <x:row r="598" ht="18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</x:row>
    <x:row r="599" ht="18" customHeight="1">
      <x:c r="A599" s="26" t="str">
        <x:v>E21  Zone详情基本信息与Tabs</x:v>
      </x:c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</x:row>
    <x:row r="600" ht="18" customHeight="1">
      <x:c r="A600" s="27" t="str">
        <x:v>https://localhost/pcs/system-config/master-data?group=routing&amp;resource=reference_zone</x:v>
      </x:c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</x:row>
    <x:row r="601" ht="18" customHeight="1">
      <x:c r="A601" s="1" t="str">
        <x:v>2026-10-12 16:48:34 上海时间｜CSS视口 1440×1000 CSS px｜原图 1440×896 px</x:v>
      </x:c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</x:row>
    <x:row r="602" ht="18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</x:row>
    <x:row r="603" ht="18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</x:row>
    <x:row r="604" ht="18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</x:row>
    <x:row r="605" ht="18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</x:row>
    <x:row r="606" ht="18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</x:row>
    <x:row r="607" ht="18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</x:row>
    <x:row r="608" ht="18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</x:row>
    <x:row r="609" ht="18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</x:row>
    <x:row r="610" ht="18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</x:row>
    <x:row r="611" ht="18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</x:row>
    <x:row r="612" ht="18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</x:row>
    <x:row r="613" ht="18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</x:row>
    <x:row r="614" ht="18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</x:row>
    <x:row r="615" ht="18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</x:row>
    <x:row r="616" ht="18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</x:row>
    <x:row r="617" ht="18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</x:row>
    <x:row r="618" ht="18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</x:row>
    <x:row r="619" ht="18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</x:row>
    <x:row r="620" ht="18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</x:row>
    <x:row r="621" ht="18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</x:row>
    <x:row r="622" ht="18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</x:row>
    <x:row r="623" ht="18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</x:row>
    <x:row r="624" ht="18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</x:row>
    <x:row r="625" ht="18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</x:row>
    <x:row r="626" ht="18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</x:row>
    <x:row r="627" ht="18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</x:row>
    <x:row r="628" ht="18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</x:row>
    <x:row r="629" ht="18" customHeight="1">
      <x:c r="A629" s="26" t="str">
        <x:v>E22  Zone成员页签，1440×800视口</x:v>
      </x:c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</x:row>
    <x:row r="630" ht="18" customHeight="1">
      <x:c r="A630" s="27" t="str">
        <x:v>https://localhost/pcs/system-config/master-data?group=routing&amp;resource=reference_zone</x:v>
      </x:c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</x:row>
    <x:row r="631" ht="18" customHeight="1">
      <x:c r="A631" s="1" t="str">
        <x:v>2026-10-12 16:50:52 上海时间｜CSS视口 1440×800 CSS px｜原图 1425×792 px</x:v>
      </x:c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</x:row>
    <x:row r="632" ht="18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</x:row>
    <x:row r="633" ht="18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</x:row>
    <x:row r="634" ht="18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</x:row>
    <x:row r="635" ht="18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</x:row>
    <x:row r="636" ht="18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</x:row>
    <x:row r="637" ht="18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</x:row>
    <x:row r="638" ht="18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</x:row>
    <x:row r="639" ht="18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</x:row>
    <x:row r="640" ht="18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</x:row>
    <x:row r="641" ht="18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</x:row>
    <x:row r="642" ht="18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</x:row>
    <x:row r="643" ht="18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</x:row>
    <x:row r="644" ht="18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</x:row>
    <x:row r="645" ht="18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</x:row>
    <x:row r="646" ht="18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</x:row>
    <x:row r="647" ht="18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</x:row>
    <x:row r="648" ht="18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</x:row>
    <x:row r="649" ht="18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</x:row>
    <x:row r="650" ht="18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</x:row>
    <x:row r="651" ht="18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</x:row>
    <x:row r="652" ht="18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</x:row>
    <x:row r="653" ht="18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</x:row>
    <x:row r="654" ht="18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</x:row>
    <x:row r="655" ht="18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</x:row>
    <x:row r="656" ht="18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</x:row>
    <x:row r="657" ht="18" customHeight="1">
      <x:c r="A657" s="26" t="str">
        <x:v>E23  Zone成员编辑稳定回显，国家/中国 CN/包含</x:v>
      </x:c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</x:row>
    <x:row r="658" ht="18" customHeight="1">
      <x:c r="A658" s="27" t="str">
        <x:v>https://localhost/pcs/system-config/master-data?group=routing&amp;resource=reference_zone</x:v>
      </x:c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</x:row>
    <x:row r="659" ht="18" customHeight="1">
      <x:c r="A659" s="1" t="str">
        <x:v>2026-10-12 16:52:51 上海时间｜CSS视口 1440×800 CSS px｜原图 1425×792 px</x:v>
      </x:c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</x:row>
    <x:row r="660" ht="18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</x:row>
    <x:row r="661" ht="18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</x:row>
    <x:row r="662" ht="18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</x:row>
    <x:row r="663" ht="18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</x:row>
    <x:row r="664" ht="18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</x:row>
    <x:row r="665" ht="18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</x:row>
    <x:row r="666" ht="18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</x:row>
    <x:row r="667" ht="18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</x:row>
    <x:row r="668" ht="18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</x:row>
    <x:row r="669" ht="18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</x:row>
    <x:row r="670" ht="18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</x:row>
    <x:row r="671" ht="18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</x:row>
    <x:row r="672" ht="18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</x:row>
    <x:row r="673" ht="18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</x:row>
    <x:row r="674" ht="18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</x:row>
    <x:row r="675" ht="18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</x:row>
    <x:row r="676" ht="18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</x:row>
    <x:row r="677" ht="18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</x:row>
    <x:row r="678" ht="18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</x:row>
    <x:row r="679" ht="18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</x:row>
    <x:row r="680" ht="18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</x:row>
    <x:row r="681" ht="18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</x:row>
    <x:row r="682" ht="18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</x:row>
    <x:row r="683" ht="18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</x:row>
    <x:row r="684" ht="18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</x:row>
    <x:row r="685" ht="18" customHeight="1">
      <x:c r="A685" s="26" t="str">
        <x:v>E24  Zone列表，1280×800桌面边界</x:v>
      </x:c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</x:row>
    <x:row r="686" ht="18" customHeight="1">
      <x:c r="A686" s="27" t="str">
        <x:v>https://localhost/pcs/system-config/master-data?group=routing&amp;resource=reference_zone</x:v>
      </x:c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</x:row>
    <x:row r="687" ht="18" customHeight="1">
      <x:c r="A687" s="1" t="str">
        <x:v>2026-10-12 17:00:55 上海时间｜CSS视口 1280×800 CSS px｜原图 1265×791 px</x:v>
      </x:c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</x:row>
    <x:row r="688" ht="18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</x:row>
    <x:row r="689" ht="18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</x:row>
    <x:row r="690" ht="18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</x:row>
    <x:row r="691" ht="18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</x:row>
    <x:row r="692" ht="18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</x:row>
    <x:row r="693" ht="18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</x:row>
    <x:row r="694" ht="18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</x:row>
    <x:row r="695" ht="18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</x:row>
    <x:row r="696" ht="18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</x:row>
    <x:row r="697" ht="18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</x:row>
    <x:row r="698" ht="18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</x:row>
    <x:row r="699" ht="18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</x:row>
    <x:row r="700" ht="18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</x:row>
    <x:row r="701" ht="18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</x:row>
    <x:row r="702" ht="18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</x:row>
    <x:row r="703" ht="18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</x:row>
    <x:row r="704" ht="18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</x:row>
    <x:row r="705" ht="18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</x:row>
    <x:row r="706" ht="18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</x:row>
    <x:row r="707" ht="18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</x:row>
    <x:row r="708" ht="18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</x:row>
    <x:row r="709" ht="18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</x:row>
    <x:row r="710" ht="18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</x:row>
    <x:row r="711" ht="18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</x:row>
    <x:row r="712" ht="18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</x:row>
    <x:row r="713" ht="18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</x:row>
    <x:row r="714" ht="18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</x:row>
    <x:row r="715" ht="18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</x:row>
    <x:row r="716" ht="18" customHeight="1">
      <x:c r="A716" s="26" t="str">
        <x:v>L01  国家</x:v>
      </x:c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</x:row>
    <x:row r="717" ht="18" customHeight="1">
      <x:c r="A717" s="27" t="str">
        <x:v>https://localhost/pcs/system-config/master-data?group=location&amp;resource=country</x:v>
      </x:c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</x:row>
    <x:row r="718" ht="18" customHeight="1">
      <x:c r="A718" s="1" t="str">
        <x:v>2026-10-12 16:53:30 上海时间｜CSS视口 1440×800 CSS px｜原图 1425×792 px</x:v>
      </x:c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</x:row>
    <x:row r="719" ht="18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</x:row>
    <x:row r="720" ht="18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</x:row>
    <x:row r="721" ht="18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</x:row>
    <x:row r="722" ht="18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</x:row>
    <x:row r="723" ht="18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</x:row>
    <x:row r="724" ht="18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</x:row>
    <x:row r="725" ht="18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</x:row>
    <x:row r="726" ht="18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</x:row>
    <x:row r="727" ht="18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</x:row>
    <x:row r="728" ht="18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</x:row>
    <x:row r="729" ht="18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</x:row>
    <x:row r="730" ht="18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</x:row>
    <x:row r="731" ht="18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</x:row>
    <x:row r="732" ht="18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</x:row>
    <x:row r="733" ht="18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</x:row>
    <x:row r="734" ht="18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</x:row>
    <x:row r="735" ht="18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</x:row>
    <x:row r="736" ht="18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</x:row>
    <x:row r="737" ht="18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</x:row>
    <x:row r="738" ht="18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</x:row>
    <x:row r="739" ht="18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</x:row>
    <x:row r="740" ht="18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</x:row>
    <x:row r="741" ht="18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</x:row>
    <x:row r="742" ht="18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</x:row>
    <x:row r="743" ht="18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</x:row>
    <x:row r="744" ht="18" customHeight="1">
      <x:c r="A744" s="26" t="str">
        <x:v>L02  省 / 州</x:v>
      </x:c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</x:row>
    <x:row r="745" ht="18" customHeight="1">
      <x:c r="A745" s="27" t="str">
        <x:v>https://localhost/pcs/system-config/master-data?group=location&amp;resource=province</x:v>
      </x:c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</x:row>
    <x:row r="746" ht="18" customHeight="1">
      <x:c r="A746" s="1" t="str">
        <x:v>2026-10-12 16:53:31 上海时间｜CSS视口 1440×800 CSS px｜原图 1425×792 px</x:v>
      </x:c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</x:row>
    <x:row r="747" ht="18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</x:row>
    <x:row r="748" ht="18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</x:row>
    <x:row r="749" ht="18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</x:row>
    <x:row r="750" ht="18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</x:row>
    <x:row r="751" ht="18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</x:row>
    <x:row r="752" ht="18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</x:row>
    <x:row r="753" ht="18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</x:row>
    <x:row r="754" ht="18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</x:row>
    <x:row r="755" ht="18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</x:row>
    <x:row r="756" ht="18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</x:row>
    <x:row r="757" ht="18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</x:row>
    <x:row r="758" ht="18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</x:row>
    <x:row r="759" ht="18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</x:row>
    <x:row r="760" ht="18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</x:row>
    <x:row r="761" ht="18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</x:row>
    <x:row r="762" ht="18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</x:row>
    <x:row r="763" ht="18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</x:row>
    <x:row r="764" ht="18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</x:row>
    <x:row r="765" ht="18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</x:row>
    <x:row r="766" ht="18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</x:row>
    <x:row r="767" ht="18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</x:row>
    <x:row r="768" ht="18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</x:row>
    <x:row r="769" ht="18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</x:row>
    <x:row r="770" ht="18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</x:row>
    <x:row r="771" ht="18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</x:row>
    <x:row r="772" ht="18" customHeight="1">
      <x:c r="A772" s="26" t="str">
        <x:v>L03  城市</x:v>
      </x:c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</x:row>
    <x:row r="773" ht="18" customHeight="1">
      <x:c r="A773" s="27" t="str">
        <x:v>https://localhost/pcs/system-config/master-data?group=location&amp;resource=city</x:v>
      </x:c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</x:row>
    <x:row r="774" ht="18" customHeight="1">
      <x:c r="A774" s="1" t="str">
        <x:v>2026-10-12 16:53:31 上海时间｜CSS视口 1440×800 CSS px｜原图 1425×792 px</x:v>
      </x:c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</x:row>
    <x:row r="775" ht="18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</x:row>
    <x:row r="776" ht="18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</x:row>
    <x:row r="777" ht="18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</x:row>
    <x:row r="778" ht="18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</x:row>
    <x:row r="779" ht="18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</x:row>
    <x:row r="780" ht="18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</x:row>
    <x:row r="781" ht="18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</x:row>
    <x:row r="782" ht="18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</x:row>
    <x:row r="783" ht="18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</x:row>
    <x:row r="784" ht="18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</x:row>
    <x:row r="785" ht="18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</x:row>
    <x:row r="786" ht="18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</x:row>
    <x:row r="787" ht="18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</x:row>
    <x:row r="788" ht="18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</x:row>
    <x:row r="789" ht="18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</x:row>
    <x:row r="790" ht="18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</x:row>
    <x:row r="791" ht="18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</x:row>
    <x:row r="792" ht="18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</x:row>
    <x:row r="793" ht="18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</x:row>
    <x:row r="794" ht="18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</x:row>
    <x:row r="795" ht="18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</x:row>
    <x:row r="796" ht="18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</x:row>
    <x:row r="797" ht="18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</x:row>
    <x:row r="798" ht="18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</x:row>
    <x:row r="799" ht="18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</x:row>
    <x:row r="800" ht="18" customHeight="1">
      <x:c r="A800" s="26" t="str">
        <x:v>L04  区县</x:v>
      </x:c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</x:row>
    <x:row r="801" ht="18" customHeight="1">
      <x:c r="A801" s="27" t="str">
        <x:v>https://localhost/pcs/system-config/master-data?group=location&amp;resource=district</x:v>
      </x:c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</x:row>
    <x:row r="802" ht="18" customHeight="1">
      <x:c r="A802" s="1" t="str">
        <x:v>2026-10-12 16:53:32 上海时间｜CSS视口 1440×800 CSS px｜原图 1425×792 px</x:v>
      </x:c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</x:row>
    <x:row r="803" ht="18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</x:row>
    <x:row r="804" ht="18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</x:row>
    <x:row r="805" ht="18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</x:row>
    <x:row r="806" ht="18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</x:row>
    <x:row r="807" ht="18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</x:row>
    <x:row r="808" ht="18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</x:row>
    <x:row r="809" ht="18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</x:row>
    <x:row r="810" ht="18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</x:row>
    <x:row r="811" ht="18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</x:row>
    <x:row r="812" ht="18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</x:row>
    <x:row r="813" ht="18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</x:row>
    <x:row r="814" ht="18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</x:row>
    <x:row r="815" ht="18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</x:row>
    <x:row r="816" ht="18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</x:row>
    <x:row r="817" ht="18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</x:row>
    <x:row r="818" ht="18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</x:row>
    <x:row r="819" ht="18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</x:row>
    <x:row r="820" ht="18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</x:row>
    <x:row r="821" ht="18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</x:row>
    <x:row r="822" ht="18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</x:row>
    <x:row r="823" ht="18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</x:row>
    <x:row r="824" ht="18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</x:row>
    <x:row r="825" ht="18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</x:row>
    <x:row r="826" ht="18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</x:row>
    <x:row r="827" ht="18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</x:row>
    <x:row r="828" ht="18" customHeight="1">
      <x:c r="A828" s="26" t="str">
        <x:v>L05  邮编</x:v>
      </x:c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</x:row>
    <x:row r="829" ht="18" customHeight="1">
      <x:c r="A829" s="27" t="str">
        <x:v>https://localhost/pcs/system-config/master-data?group=location&amp;resource=postal_code</x:v>
      </x:c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</x:row>
    <x:row r="830" ht="18" customHeight="1">
      <x:c r="A830" s="1" t="str">
        <x:v>2026-10-12 16:53:32 上海时间｜CSS视口 1440×800 CSS px｜原图 1425×792 px</x:v>
      </x:c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</x:row>
    <x:row r="831" ht="18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</x:row>
    <x:row r="832" ht="18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</x:row>
    <x:row r="833" ht="18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</x:row>
    <x:row r="834" ht="18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</x:row>
    <x:row r="835" ht="18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</x:row>
    <x:row r="836" ht="18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</x:row>
    <x:row r="837" ht="18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</x:row>
    <x:row r="838" ht="18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</x:row>
    <x:row r="839" ht="18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</x:row>
    <x:row r="840" ht="18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</x:row>
    <x:row r="841" ht="18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</x:row>
    <x:row r="842" ht="18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</x:row>
    <x:row r="843" ht="18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</x:row>
    <x:row r="844" ht="18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</x:row>
    <x:row r="845" ht="18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</x:row>
    <x:row r="846" ht="18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</x:row>
    <x:row r="847" ht="18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</x:row>
    <x:row r="848" ht="18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</x:row>
    <x:row r="849" ht="18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</x:row>
    <x:row r="850" ht="18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</x:row>
    <x:row r="851" ht="18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</x:row>
    <x:row r="852" ht="18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</x:row>
    <x:row r="853" ht="18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</x:row>
    <x:row r="854" ht="18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</x:row>
    <x:row r="855" ht="18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</x:row>
    <x:row r="856" ht="18" customHeight="1">
      <x:c r="A856" s="26" t="str">
        <x:v>L06  机场</x:v>
      </x:c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</x:row>
    <x:row r="857" ht="18" customHeight="1">
      <x:c r="A857" s="27" t="str">
        <x:v>https://localhost/pcs/system-config/master-data?group=location&amp;resource=airport</x:v>
      </x:c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</x:row>
    <x:row r="858" ht="18" customHeight="1">
      <x:c r="A858" s="1" t="str">
        <x:v>2026-10-12 16:53:33 上海时间｜CSS视口 1440×800 CSS px｜原图 1425×792 px</x:v>
      </x:c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</x:row>
    <x:row r="859" ht="18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</x:row>
    <x:row r="860" ht="18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</x:row>
    <x:row r="861" ht="18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</x:row>
    <x:row r="862" ht="18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</x:row>
    <x:row r="863" ht="18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</x:row>
    <x:row r="864" ht="18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</x:row>
    <x:row r="865" ht="18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</x:row>
    <x:row r="866" ht="18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</x:row>
    <x:row r="867" ht="18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</x:row>
    <x:row r="868" ht="18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</x:row>
    <x:row r="869" ht="18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</x:row>
    <x:row r="870" ht="18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</x:row>
    <x:row r="871" ht="18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</x:row>
    <x:row r="872" ht="18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</x:row>
    <x:row r="873" ht="18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</x:row>
    <x:row r="874" ht="18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</x:row>
    <x:row r="875" ht="18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</x:row>
    <x:row r="876" ht="18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</x:row>
    <x:row r="877" ht="18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</x:row>
    <x:row r="878" ht="18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</x:row>
    <x:row r="879" ht="18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</x:row>
    <x:row r="880" ht="18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</x:row>
    <x:row r="881" ht="18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</x:row>
    <x:row r="882" ht="18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</x:row>
    <x:row r="883" ht="18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</x:row>
    <x:row r="884" ht="18" customHeight="1">
      <x:c r="A884" s="26" t="str">
        <x:v>L07  港口</x:v>
      </x:c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</x:row>
    <x:row r="885" ht="18" customHeight="1">
      <x:c r="A885" s="27" t="str">
        <x:v>https://localhost/pcs/system-config/master-data?group=location&amp;resource=port</x:v>
      </x:c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</x:row>
    <x:row r="886" ht="18" customHeight="1">
      <x:c r="A886" s="1" t="str">
        <x:v>2026-10-12 16:53:33 上海时间｜CSS视口 1440×800 CSS px｜原图 1425×792 px</x:v>
      </x:c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</x:row>
    <x:row r="887" ht="18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</x:row>
    <x:row r="888" ht="18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</x:row>
    <x:row r="889" ht="18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</x:row>
    <x:row r="890" ht="18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</x:row>
    <x:row r="891" ht="18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</x:row>
    <x:row r="892" ht="18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</x:row>
    <x:row r="893" ht="18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</x:row>
    <x:row r="894" ht="18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</x:row>
    <x:row r="895" ht="18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</x:row>
    <x:row r="896" ht="18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</x:row>
    <x:row r="897" ht="18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</x:row>
    <x:row r="898" ht="18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</x:row>
    <x:row r="899" ht="18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</x:row>
    <x:row r="900" ht="18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</x:row>
    <x:row r="901" ht="18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</x:row>
    <x:row r="902" ht="18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</x:row>
    <x:row r="903" ht="18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</x:row>
    <x:row r="904" ht="18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</x:row>
    <x:row r="905" ht="18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</x:row>
    <x:row r="906" ht="18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</x:row>
    <x:row r="907" ht="18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</x:row>
    <x:row r="908" ht="18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</x:row>
    <x:row r="909" ht="18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</x:row>
    <x:row r="910" ht="18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</x:row>
    <x:row r="911" ht="18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</x:row>
    <x:row r="912" ht="18" customHeight="1">
      <x:c r="A912" s="26" t="str">
        <x:v>L08  仓库</x:v>
      </x:c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</x:row>
    <x:row r="913" ht="18" customHeight="1">
      <x:c r="A913" s="27" t="str">
        <x:v>https://localhost/pcs/system-config/master-data?group=location&amp;resource=warehouse</x:v>
      </x:c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</x:row>
    <x:row r="914" ht="18" customHeight="1">
      <x:c r="A914" s="1" t="str">
        <x:v>2026-10-12 16:53:34 上海时间｜CSS视口 1440×800 CSS px｜原图 1425×792 px</x:v>
      </x:c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</x:row>
    <x:row r="915" ht="18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</x:row>
    <x:row r="916" ht="18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</x:row>
    <x:row r="917" ht="18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</x:row>
    <x:row r="918" ht="18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</x:row>
    <x:row r="919" ht="18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</x:row>
    <x:row r="920" ht="18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</x:row>
    <x:row r="921" ht="18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</x:row>
    <x:row r="922" ht="18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</x:row>
    <x:row r="923" ht="18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</x:row>
    <x:row r="924" ht="18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</x:row>
    <x:row r="925" ht="18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</x:row>
    <x:row r="926" ht="18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</x:row>
    <x:row r="927" ht="18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</x:row>
    <x:row r="928" ht="18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</x:row>
    <x:row r="929" ht="18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</x:row>
    <x:row r="930" ht="18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</x:row>
    <x:row r="931" ht="18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</x:row>
    <x:row r="932" ht="18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</x:row>
    <x:row r="933" ht="18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</x:row>
    <x:row r="934" ht="18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</x:row>
    <x:row r="935" ht="18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</x:row>
    <x:row r="936" ht="18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</x:row>
    <x:row r="937" ht="18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</x:row>
    <x:row r="938" ht="18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</x:row>
    <x:row r="939" ht="18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</x:row>
    <x:row r="940" ht="18" customHeight="1">
      <x:c r="A940" s="26" t="str">
        <x:v>L09  航空公司</x:v>
      </x:c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</x:row>
    <x:row r="941" ht="18" customHeight="1">
      <x:c r="A941" s="27" t="str">
        <x:v>https://localhost/pcs/system-config/master-data?group=dictionary&amp;resource=airline</x:v>
      </x:c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</x:row>
    <x:row r="942" ht="18" customHeight="1">
      <x:c r="A942" s="1" t="str">
        <x:v>2026-10-12 16:54:26 上海时间｜CSS视口 1440×800 CSS px｜原图 1425×792 px</x:v>
      </x:c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</x:row>
    <x:row r="943" ht="18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</x:row>
    <x:row r="944" ht="18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</x:row>
    <x:row r="945" ht="18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</x:row>
    <x:row r="946" ht="18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</x:row>
    <x:row r="947" ht="18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</x:row>
    <x:row r="948" ht="18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</x:row>
    <x:row r="949" ht="18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</x:row>
    <x:row r="950" ht="18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</x:row>
    <x:row r="951" ht="18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</x:row>
    <x:row r="952" ht="18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</x:row>
    <x:row r="953" ht="18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</x:row>
    <x:row r="954" ht="18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</x:row>
    <x:row r="955" ht="18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</x:row>
    <x:row r="956" ht="18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</x:row>
    <x:row r="957" ht="18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</x:row>
    <x:row r="958" ht="18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</x:row>
    <x:row r="959" ht="18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</x:row>
    <x:row r="960" ht="18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</x:row>
    <x:row r="961" ht="18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</x:row>
    <x:row r="962" ht="18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</x:row>
    <x:row r="963" ht="18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</x:row>
    <x:row r="964" ht="18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</x:row>
    <x:row r="965" ht="18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</x:row>
    <x:row r="966" ht="18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</x:row>
    <x:row r="967" ht="18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</x:row>
    <x:row r="968" ht="18" customHeight="1">
      <x:c r="A968" s="26" t="str">
        <x:v>L10  运输方式</x:v>
      </x:c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</x:row>
    <x:row r="969" ht="18" customHeight="1">
      <x:c r="A969" s="27" t="str">
        <x:v>https://localhost/pcs/system-config/master-data?group=dictionary&amp;resource=transport_mode</x:v>
      </x:c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</x:row>
    <x:row r="970" ht="18" customHeight="1">
      <x:c r="A970" s="1" t="str">
        <x:v>2026-10-12 16:54:27 上海时间｜CSS视口 1440×800 CSS px｜原图 1425×792 px</x:v>
      </x:c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</x:row>
    <x:row r="971" ht="18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</x:row>
    <x:row r="972" ht="18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</x:row>
    <x:row r="973" ht="18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</x:row>
    <x:row r="974" ht="18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</x:row>
    <x:row r="975" ht="18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</x:row>
    <x:row r="976" ht="18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</x:row>
    <x:row r="977" ht="18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</x:row>
    <x:row r="978" ht="18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</x:row>
    <x:row r="979" ht="18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</x:row>
    <x:row r="980" ht="18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</x:row>
    <x:row r="981" ht="18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</x:row>
    <x:row r="982" ht="18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</x:row>
    <x:row r="983" ht="18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</x:row>
    <x:row r="984" ht="18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</x:row>
    <x:row r="985" ht="18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</x:row>
    <x:row r="986" ht="18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</x:row>
    <x:row r="987" ht="18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</x:row>
    <x:row r="988" ht="18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</x:row>
    <x:row r="989" ht="18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</x:row>
    <x:row r="990" ht="18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</x:row>
    <x:row r="991" ht="18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</x:row>
    <x:row r="992" ht="18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</x:row>
    <x:row r="993" ht="18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</x:row>
    <x:row r="994" ht="18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</x:row>
    <x:row r="995" ht="18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</x:row>
    <x:row r="996" ht="18" customHeight="1">
      <x:c r="A996" s="26" t="str">
        <x:v>L11  货物类型</x:v>
      </x:c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</x:row>
    <x:row r="997" ht="18" customHeight="1">
      <x:c r="A997" s="27" t="str">
        <x:v>https://localhost/pcs/system-config/master-data?group=dictionary&amp;resource=cargo_type</x:v>
      </x:c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</x:row>
    <x:row r="998" ht="18" customHeight="1">
      <x:c r="A998" s="1" t="str">
        <x:v>2026-10-12 16:54:27 上海时间｜CSS视口 1440×800 CSS px｜原图 1425×792 px</x:v>
      </x:c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</x:row>
    <x:row r="999" ht="18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</x:row>
    <x:row r="1000" ht="18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</x:row>
    <x:row r="1001" ht="18" customHeight="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</x:row>
    <x:row r="1002" ht="18" customHeight="1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</x:row>
    <x:row r="1003" ht="18" customHeight="1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</x:row>
    <x:row r="1004" ht="18" customHeight="1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</x:row>
    <x:row r="1005" ht="18" customHeight="1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</x:row>
    <x:row r="1006" ht="18" customHeight="1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</x:row>
    <x:row r="1007" ht="18" customHeight="1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</x:row>
    <x:row r="1008" ht="18" customHeight="1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</x:row>
    <x:row r="1009" ht="18" customHeight="1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</x:row>
    <x:row r="1010" ht="18" customHeight="1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</x:row>
    <x:row r="1011" ht="18" customHeight="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</x:row>
    <x:row r="1012" ht="18" customHeight="1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</x:row>
    <x:row r="1013" ht="18" customHeight="1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</x:row>
    <x:row r="1014" ht="18" customHeight="1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</x:row>
    <x:row r="1015" ht="18" customHeight="1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</x:row>
    <x:row r="1016" ht="18" customHeight="1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</x:row>
    <x:row r="1017" ht="18" customHeight="1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</x:row>
    <x:row r="1018" ht="18" customHeight="1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</x:row>
    <x:row r="1019" ht="18" customHeight="1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</x:row>
    <x:row r="1020" ht="18" customHeight="1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</x:row>
    <x:row r="1021" ht="18" customHeight="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</x:row>
    <x:row r="1022" ht="18" customHeight="1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</x:row>
    <x:row r="1023" ht="18" customHeight="1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</x:row>
    <x:row r="1024" ht="18" customHeight="1">
      <x:c r="A1024" s="26" t="str">
        <x:v>L12  包装类型</x:v>
      </x:c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</x:row>
    <x:row r="1025" ht="18" customHeight="1">
      <x:c r="A1025" s="27" t="str">
        <x:v>https://localhost/pcs/system-config/master-data?group=dictionary&amp;resource=packaging_type</x:v>
      </x:c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</x:row>
    <x:row r="1026" ht="18" customHeight="1">
      <x:c r="A1026" s="1" t="str">
        <x:v>2026-10-12 16:54:27 上海时间｜CSS视口 1440×800 CSS px｜原图 1425×792 px</x:v>
      </x:c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</x:row>
    <x:row r="1027" ht="18" customHeight="1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</x:row>
    <x:row r="1028" ht="18" customHeight="1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</x:row>
    <x:row r="1029" ht="18" customHeight="1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</x:row>
    <x:row r="1030" ht="18" customHeight="1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</x:row>
    <x:row r="1031" ht="18" customHeight="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</x:row>
    <x:row r="1032" ht="18" customHeight="1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</x:row>
    <x:row r="1033" ht="18" customHeight="1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</x:row>
    <x:row r="1034" ht="18" customHeight="1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</x:row>
    <x:row r="1035" ht="18" customHeight="1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</x:row>
    <x:row r="1036" ht="18" customHeight="1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</x:row>
    <x:row r="1037" ht="18" customHeight="1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</x:row>
    <x:row r="1038" ht="18" customHeight="1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</x:row>
    <x:row r="1039" ht="18" customHeight="1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</x:row>
    <x:row r="1040" ht="18" customHeight="1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</x:row>
    <x:row r="1041" ht="18" customHeight="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</x:row>
    <x:row r="1042" ht="18" customHeight="1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</x:row>
    <x:row r="1043" ht="18" customHeight="1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</x:row>
    <x:row r="1044" ht="18" customHeight="1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</x:row>
    <x:row r="1045" ht="18" customHeight="1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</x:row>
    <x:row r="1046" ht="18" customHeight="1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</x:row>
    <x:row r="1047" ht="18" customHeight="1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</x:row>
    <x:row r="1048" ht="18" customHeight="1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</x:row>
    <x:row r="1049" ht="18" customHeight="1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</x:row>
    <x:row r="1050" ht="18" customHeight="1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</x:row>
    <x:row r="1051" ht="18" customHeight="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</x:row>
    <x:row r="1052" ht="18" customHeight="1">
      <x:c r="A1052" s="26" t="str">
        <x:v>L13  监管方式</x:v>
      </x:c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</x:row>
    <x:row r="1053" ht="18" customHeight="1">
      <x:c r="A1053" s="27" t="str">
        <x:v>https://localhost/pcs/system-config/master-data?group=dictionary&amp;resource=supervision_mode</x:v>
      </x:c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</x:row>
    <x:row r="1054" ht="18" customHeight="1">
      <x:c r="A1054" s="1" t="str">
        <x:v>2026-10-12 16:54:28 上海时间｜CSS视口 1440×800 CSS px｜原图 1425×792 px</x:v>
      </x:c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</x:row>
    <x:row r="1055" ht="18" customHeight="1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</x:row>
    <x:row r="1056" ht="18" customHeight="1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</x:row>
    <x:row r="1057" ht="18" customHeight="1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</x:row>
    <x:row r="1058" ht="18" customHeight="1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</x:row>
    <x:row r="1059" ht="18" customHeight="1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</x:row>
    <x:row r="1060" ht="18" customHeight="1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</x:row>
    <x:row r="1061" ht="18" customHeight="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</x:row>
    <x:row r="1062" ht="18" customHeight="1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</x:row>
    <x:row r="1063" ht="18" customHeight="1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</x:row>
    <x:row r="1064" ht="18" customHeight="1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</x:row>
    <x:row r="1065" ht="18" customHeight="1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</x:row>
    <x:row r="1066" ht="18" customHeight="1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</x:row>
    <x:row r="1067" ht="18" customHeight="1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</x:row>
    <x:row r="1068" ht="18" customHeight="1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</x:row>
    <x:row r="1069" ht="18" customHeight="1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</x:row>
    <x:row r="1070" ht="18" customHeight="1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</x:row>
    <x:row r="1071" ht="18" customHeight="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</x:row>
    <x:row r="1072" ht="18" customHeight="1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</x:row>
    <x:row r="1073" ht="18" customHeight="1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</x:row>
    <x:row r="1074" ht="18" customHeight="1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</x:row>
    <x:row r="1075" ht="18" customHeight="1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</x:row>
    <x:row r="1076" ht="18" customHeight="1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</x:row>
    <x:row r="1077" ht="18" customHeight="1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</x:row>
    <x:row r="1078" ht="18" customHeight="1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</x:row>
    <x:row r="1079" ht="18" customHeight="1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</x:row>
    <x:row r="1080" ht="18" customHeight="1">
      <x:c r="A1080" s="26" t="str">
        <x:v>L14  费用项</x:v>
      </x:c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</x:row>
    <x:row r="1081" ht="18" customHeight="1">
      <x:c r="A1081" s="27" t="str">
        <x:v>https://localhost/pcs/system-config/master-data?group=fee&amp;resource=fee_item</x:v>
      </x:c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</x:row>
    <x:row r="1082" ht="18" customHeight="1">
      <x:c r="A1082" s="1" t="str">
        <x:v>2026-10-12 16:54:28 上海时间｜CSS视口 1440×800 CSS px｜原图 1425×792 px</x:v>
      </x:c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</x:row>
    <x:row r="1083" ht="18" customHeight="1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</x:row>
    <x:row r="1084" ht="18" customHeight="1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</x:row>
    <x:row r="1085" ht="18" customHeight="1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</x:row>
    <x:row r="1086" ht="18" customHeight="1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</x:row>
    <x:row r="1087" ht="18" customHeight="1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</x:row>
    <x:row r="1088" ht="18" customHeight="1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</x:row>
    <x:row r="1089" ht="18" customHeight="1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</x:row>
    <x:row r="1090" ht="18" customHeight="1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</x:row>
    <x:row r="1091" ht="18" customHeight="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</x:row>
    <x:row r="1092" ht="18" customHeight="1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</x:row>
    <x:row r="1093" ht="18" customHeight="1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</x:row>
    <x:row r="1094" ht="18" customHeight="1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</x:row>
    <x:row r="1095" ht="18" customHeight="1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</x:row>
    <x:row r="1096" ht="18" customHeight="1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</x:row>
    <x:row r="1097" ht="18" customHeight="1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</x:row>
    <x:row r="1098" ht="18" customHeight="1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</x:row>
    <x:row r="1099" ht="18" customHeight="1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</x:row>
    <x:row r="1100" ht="18" customHeight="1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</x:row>
    <x:row r="1101" ht="18" customHeight="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</x:row>
    <x:row r="1102" ht="18" customHeight="1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</x:row>
    <x:row r="1103" ht="18" customHeight="1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</x:row>
    <x:row r="1104" ht="18" customHeight="1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</x:row>
    <x:row r="1105" ht="18" customHeight="1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</x:row>
    <x:row r="1106" ht="18" customHeight="1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</x:row>
    <x:row r="1107" ht="18" customHeight="1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</x:row>
    <x:row r="1108" ht="18" customHeight="1">
      <x:c r="A1108" s="26" t="str">
        <x:v>L15  币种</x:v>
      </x:c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</x:row>
    <x:row r="1109" ht="18" customHeight="1">
      <x:c r="A1109" s="27" t="str">
        <x:v>https://localhost/pcs/system-config/master-data?group=finance&amp;resource=currency</x:v>
      </x:c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</x:row>
    <x:row r="1110" ht="18" customHeight="1">
      <x:c r="A1110" s="1" t="str">
        <x:v>2026-10-12 16:54:29 上海时间｜CSS视口 1440×800 CSS px｜原图 1425×792 px</x:v>
      </x:c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</x:row>
    <x:row r="1111" ht="18" customHeight="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</x:row>
    <x:row r="1112" ht="18" customHeight="1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</x:row>
    <x:row r="1113" ht="18" customHeight="1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</x:row>
    <x:row r="1114" ht="18" customHeight="1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</x:row>
    <x:row r="1115" ht="18" customHeight="1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</x:row>
    <x:row r="1116" ht="18" customHeight="1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</x:row>
    <x:row r="1117" ht="18" customHeight="1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</x:row>
    <x:row r="1118" ht="18" customHeight="1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</x:row>
    <x:row r="1119" ht="18" customHeight="1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</x:row>
    <x:row r="1120" ht="18" customHeight="1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</x:row>
    <x:row r="1121" ht="18" customHeight="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</x:row>
    <x:row r="1122" ht="18" customHeight="1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</x:row>
    <x:row r="1123" ht="18" customHeight="1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</x:row>
    <x:row r="1124" ht="18" customHeight="1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</x:row>
    <x:row r="1125" ht="18" customHeight="1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</x:row>
    <x:row r="1126" ht="18" customHeight="1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</x:row>
    <x:row r="1127" ht="18" customHeight="1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</x:row>
    <x:row r="1128" ht="18" customHeight="1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</x:row>
    <x:row r="1129" ht="18" customHeight="1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</x:row>
    <x:row r="1130" ht="18" customHeight="1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</x:row>
    <x:row r="1131" ht="18" customHeight="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</x:row>
    <x:row r="1132" ht="18" customHeight="1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</x:row>
    <x:row r="1133" ht="18" customHeight="1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</x:row>
    <x:row r="1134" ht="18" customHeight="1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</x:row>
    <x:row r="1135" ht="18" customHeight="1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</x:row>
    <x:row r="1136" ht="18" customHeight="1">
      <x:c r="A1136" s="26" t="str">
        <x:v>L16  汇率</x:v>
      </x:c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</x:row>
    <x:row r="1137" ht="18" customHeight="1">
      <x:c r="A1137" s="27" t="str">
        <x:v>https://localhost/pcs/system-config/master-data?group=finance&amp;resource=exchange_rate</x:v>
      </x:c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</x:row>
    <x:row r="1138" ht="18" customHeight="1">
      <x:c r="A1138" s="1" t="str">
        <x:v>2026-10-12 16:54:29 上海时间｜CSS视口 1440×800 CSS px｜原图 1425×792 px</x:v>
      </x:c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</x:row>
    <x:row r="1139" ht="18" customHeight="1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</x:row>
    <x:row r="1140" ht="18" customHeight="1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</x:row>
    <x:row r="1141" ht="18" customHeight="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</x:row>
    <x:row r="1142" ht="18" customHeight="1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</x:row>
    <x:row r="1143" ht="18" customHeight="1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</x:row>
    <x:row r="1144" ht="18" customHeight="1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</x:row>
    <x:row r="1145" ht="18" customHeight="1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</x:row>
    <x:row r="1146" ht="18" customHeight="1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</x:row>
    <x:row r="1147" ht="18" customHeight="1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</x:row>
    <x:row r="1148" ht="18" customHeight="1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</x:row>
    <x:row r="1149" ht="18" customHeight="1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</x:row>
    <x:row r="1150" ht="18" customHeight="1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</x:row>
    <x:row r="1151" ht="18" customHeight="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</x:row>
    <x:row r="1152" ht="18" customHeight="1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</x:row>
    <x:row r="1153" ht="18" customHeight="1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</x:row>
    <x:row r="1154" ht="18" customHeight="1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</x:row>
    <x:row r="1155" ht="18" customHeight="1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</x:row>
    <x:row r="1156" ht="18" customHeight="1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</x:row>
    <x:row r="1157" ht="18" customHeight="1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</x:row>
    <x:row r="1158" ht="18" customHeight="1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</x:row>
    <x:row r="1159" ht="18" customHeight="1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</x:row>
    <x:row r="1160" ht="18" customHeight="1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</x:row>
    <x:row r="1161" ht="18" customHeight="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</x:row>
    <x:row r="1162" ht="18" customHeight="1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</x:row>
    <x:row r="1163" ht="18" customHeight="1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</x:row>
    <x:row r="1164" ht="18" customHeight="1">
      <x:c r="A1164" s="26" t="str">
        <x:v>L17  航线区域</x:v>
      </x:c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</x:row>
    <x:row r="1165" ht="18" customHeight="1">
      <x:c r="A1165" s="27" t="str">
        <x:v>https://localhost/pcs/system-config/master-data?group=routing&amp;resource=air_region</x:v>
      </x:c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</x:row>
    <x:row r="1166" ht="18" customHeight="1">
      <x:c r="A1166" s="1" t="str">
        <x:v>2026-10-12 16:54:30 上海时间｜CSS视口 1440×800 CSS px｜原图 1425×792 px</x:v>
      </x:c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</x:row>
    <x:row r="1167" ht="18" customHeight="1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</x:row>
    <x:row r="1168" ht="18" customHeight="1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</x:row>
    <x:row r="1169" ht="18" customHeight="1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</x:row>
    <x:row r="1170" ht="18" customHeight="1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</x:row>
    <x:row r="1171" ht="18" customHeight="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</x:row>
    <x:row r="1172" ht="18" customHeight="1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</x:row>
    <x:row r="1173" ht="18" customHeight="1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</x:row>
    <x:row r="1174" ht="18" customHeight="1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</x:row>
    <x:row r="1175" ht="18" customHeight="1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</x:row>
    <x:row r="1176" ht="18" customHeight="1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</x:row>
    <x:row r="1177" ht="18" customHeight="1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</x:row>
    <x:row r="1178" ht="18" customHeight="1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</x:row>
    <x:row r="1179" ht="18" customHeight="1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</x:row>
    <x:row r="1180" ht="18" customHeight="1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</x:row>
    <x:row r="1181" ht="18" customHeight="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</x:row>
    <x:row r="1182" ht="18" customHeight="1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</x:row>
    <x:row r="1183" ht="18" customHeight="1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</x:row>
    <x:row r="1184" ht="18" customHeight="1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</x:row>
    <x:row r="1185" ht="18" customHeight="1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</x:row>
    <x:row r="1186" ht="18" customHeight="1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</x:row>
    <x:row r="1187" ht="18" customHeight="1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</x:row>
    <x:row r="1188" ht="18" customHeight="1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</x:row>
    <x:row r="1189" ht="18" customHeight="1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</x:row>
    <x:row r="1190" ht="18" customHeight="1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</x:row>
    <x:row r="1191" ht="18" customHeight="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</x:row>
    <x:row r="1192" ht="18" customHeight="1">
      <x:c r="A1192" s="26" t="str">
        <x:v>L18  Zone</x:v>
      </x:c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</x:row>
    <x:row r="1193" ht="18" customHeight="1">
      <x:c r="A1193" s="27" t="str">
        <x:v>https://localhost/pcs/system-config/master-data?group=routing&amp;resource=reference_zone</x:v>
      </x:c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</x:row>
    <x:row r="1194" ht="18" customHeight="1">
      <x:c r="A1194" s="1" t="str">
        <x:v>2026-10-12 16:54:30 上海时间｜CSS视口 1440×800 CSS px｜原图 1425×792 px</x:v>
      </x:c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</x:row>
    <x:row r="1195" ht="18" customHeight="1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</x:row>
    <x:row r="1196" ht="18" customHeight="1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</x:row>
    <x:row r="1197" ht="18" customHeight="1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</x:row>
    <x:row r="1198" ht="18" customHeight="1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</x:row>
    <x:row r="1199" ht="18" customHeight="1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</x:row>
    <x:row r="1200" ht="18" customHeight="1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</x:row>
    <x:row r="1201" ht="18" customHeight="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</x:row>
    <x:row r="1202" ht="18" customHeight="1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</x:row>
    <x:row r="1203" ht="18" customHeight="1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</x:row>
    <x:row r="1204" ht="18" customHeight="1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</x:row>
    <x:row r="1205" ht="18" customHeight="1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</x:row>
    <x:row r="1206" ht="18" customHeight="1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</x:row>
    <x:row r="1207" ht="18" customHeight="1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</x:row>
    <x:row r="1208" ht="18" customHeight="1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</x:row>
    <x:row r="1209" ht="18" customHeight="1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</x:row>
    <x:row r="1210" ht="18" customHeight="1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</x:row>
    <x:row r="1211" ht="18" customHeight="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</x:row>
    <x:row r="1212" ht="18" customHeight="1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</x:row>
    <x:row r="1213" ht="18" customHeight="1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</x:row>
    <x:row r="1214" ht="18" customHeight="1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</x:row>
    <x:row r="1215" ht="18" customHeight="1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</x:row>
    <x:row r="1216" ht="18" customHeight="1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</x:row>
    <x:row r="1217" ht="18" customHeight="1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</x:row>
    <x:row r="1218" ht="18" customHeight="1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</x:row>
    <x:row r="1219" ht="18" customHeight="1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</x:row>
    <x:row r="1220" ht="18" customHeight="1">
      <x:c r="A1220" s="26" t="str">
        <x:v>E25  1280px详情Tabs，End键后仍停留基本信息</x:v>
      </x:c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</x:row>
    <x:row r="1221" ht="18" customHeight="1">
      <x:c r="A1221" s="27" t="str">
        <x:v>https://localhost/pcs/system-config/master-data?group=routing&amp;resource=reference_zone</x:v>
      </x:c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</x:row>
    <x:row r="1222" ht="18" customHeight="1">
      <x:c r="A1222" s="1" t="str">
        <x:v>2026-10-12 17:02:13 上海时间｜CSS视口 1280×800 CSS px｜原图 1280×800 px</x:v>
      </x:c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</x:row>
    <x:row r="1223" ht="18" customHeight="1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</x:row>
    <x:row r="1224" ht="18" customHeight="1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</x:row>
    <x:row r="1225" ht="18" customHeight="1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</x:row>
    <x:row r="1226" ht="18" customHeight="1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</x:row>
    <x:row r="1227" ht="18" customHeight="1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</x:row>
    <x:row r="1228" ht="18" customHeight="1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</x:row>
    <x:row r="1229" ht="18" customHeight="1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</x:row>
    <x:row r="1230" ht="18" customHeight="1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</x:row>
    <x:row r="1231" ht="18" customHeight="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</x:row>
    <x:row r="1232" ht="18" customHeight="1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</x:row>
    <x:row r="1233" ht="18" customHeight="1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</x:row>
    <x:row r="1234" ht="18" customHeight="1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</x:row>
    <x:row r="1235" ht="18" customHeight="1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</x:row>
    <x:row r="1236" ht="18" customHeight="1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</x:row>
    <x:row r="1237" ht="18" customHeight="1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</x:row>
    <x:row r="1238" ht="18" customHeight="1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</x:row>
    <x:row r="1239" ht="18" customHeight="1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</x:row>
    <x:row r="1240" ht="18" customHeight="1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</x:row>
    <x:row r="1241" ht="18" customHeight="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</x:row>
    <x:row r="1242" ht="18" customHeight="1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</x:row>
    <x:row r="1243" ht="18" customHeight="1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</x:row>
    <x:row r="1244" ht="18" customHeight="1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</x:row>
    <x:row r="1245" ht="18" customHeight="1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</x:row>
    <x:row r="1246" ht="18" customHeight="1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</x:row>
    <x:row r="1247" ht="18" customHeight="1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</x:row>
    <x:row r="1248" ht="18" customHeight="1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</x:row>
    <x:row r="1249" ht="18" customHeight="1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</x:row>
    <x:row r="1250" ht="18" customHeight="1">
      <x:c r="A1250" s="26" t="str">
        <x:v>E26  应用刷新启动阶段全页Spin，未作为稳定列表判定</x:v>
      </x:c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</x:row>
    <x:row r="1251" ht="18" customHeight="1">
      <x:c r="A1251" s="27" t="str">
        <x:v>https://localhost/pcs/system-config/master-data?group=routing&amp;resource=reference_zone</x:v>
      </x:c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</x:row>
    <x:row r="1252" ht="18" customHeight="1">
      <x:c r="A1252" s="1" t="str">
        <x:v>2026-10-12 17:06:20 上海时间｜CSS视口 1280×800 CSS px｜原图 1265×791 px</x:v>
      </x:c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</x:row>
    <x:row r="1253" ht="18" customHeight="1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</x:row>
    <x:row r="1254" ht="18" customHeight="1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</x:row>
    <x:row r="1255" ht="18" customHeight="1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</x:row>
    <x:row r="1256" ht="18" customHeight="1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</x:row>
    <x:row r="1257" ht="18" customHeight="1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</x:row>
    <x:row r="1258" ht="18" customHeight="1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</x:row>
    <x:row r="1259" ht="18" customHeight="1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</x:row>
    <x:row r="1260" ht="18" customHeight="1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</x:row>
    <x:row r="1261" ht="18" customHeight="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</x:row>
    <x:row r="1262" ht="18" customHeight="1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</x:row>
    <x:row r="1263" ht="18" customHeight="1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</x:row>
    <x:row r="1264" ht="18" customHeight="1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</x:row>
    <x:row r="1265" ht="18" customHeight="1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</x:row>
    <x:row r="1266" ht="18" customHeight="1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</x:row>
    <x:row r="1267" ht="18" customHeight="1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</x:row>
    <x:row r="1268" ht="18" customHeight="1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</x:row>
    <x:row r="1269" ht="18" customHeight="1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</x:row>
    <x:row r="1270" ht="18" customHeight="1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</x:row>
    <x:row r="1271" ht="18" customHeight="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</x:row>
    <x:row r="1272" ht="18" customHeight="1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</x:row>
    <x:row r="1273" ht="18" customHeight="1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</x:row>
    <x:row r="1274" ht="18" customHeight="1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</x:row>
    <x:row r="1275" ht="18" customHeight="1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</x:row>
    <x:row r="1276" ht="18" customHeight="1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</x:row>
    <x:row r="1277" ht="18" customHeight="1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</x:row>
    <x:row r="1278" ht="18" customHeight="1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</x:row>
    <x:row r="1279" ht="18" customHeight="1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</x:row>
    <x:row r="1280" ht="18" customHeight="1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</x:row>
    <x:row r="1281" ht="18" customHeight="1">
      <x:c r="A1281" s="26" t="str">
        <x:v>E27  说明输入501字后前端保留500字，未保存</x:v>
      </x:c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</x:row>
    <x:row r="1282" ht="18" customHeight="1">
      <x:c r="A1282" s="27" t="str">
        <x:v>https://localhost/pcs/system-config/master-data?group=dictionary&amp;resource=cargo_type</x:v>
      </x:c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</x:row>
    <x:row r="1283" ht="18" customHeight="1">
      <x:c r="A1283" s="1" t="str">
        <x:v>2026-10-12 17:13:09 上海时间｜CSS视口 1280×800 CSS px｜原图 1280×800 px</x:v>
      </x:c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</x:row>
    <x:row r="1284" ht="18" customHeight="1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</x:row>
    <x:row r="1285" ht="18" customHeight="1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</x:row>
    <x:row r="1286" ht="18" customHeight="1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</x:row>
    <x:row r="1287" ht="18" customHeight="1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</x:row>
    <x:row r="1288" ht="18" customHeight="1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</x:row>
    <x:row r="1289" ht="18" customHeight="1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</x:row>
    <x:row r="1290" ht="18" customHeight="1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</x:row>
    <x:row r="1291" ht="18" customHeight="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</x:row>
    <x:row r="1292" ht="18" customHeight="1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</x:row>
    <x:row r="1293" ht="18" customHeight="1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</x:row>
    <x:row r="1294" ht="18" customHeight="1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</x:row>
    <x:row r="1295" ht="18" customHeight="1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</x:row>
    <x:row r="1296" ht="18" customHeight="1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</x:row>
    <x:row r="1297" ht="18" customHeight="1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</x:row>
    <x:row r="1298" ht="18" customHeight="1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</x:row>
    <x:row r="1299" ht="18" customHeight="1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</x:row>
    <x:row r="1300" ht="18" customHeight="1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</x:row>
    <x:row r="1301" ht="18" customHeight="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</x:row>
    <x:row r="1302" ht="18" customHeight="1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</x:row>
    <x:row r="1303" ht="18" customHeight="1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</x:row>
    <x:row r="1304" ht="18" customHeight="1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</x:row>
    <x:row r="1305" ht="18" customHeight="1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</x:row>
    <x:row r="1306" ht="18" customHeight="1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</x:row>
    <x:row r="1307" ht="18" customHeight="1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</x:row>
    <x:row r="1308" ht="18" customHeight="1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</x:row>
    <x:row r="1309" ht="18" customHeight="1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</x:row>
    <x:row r="1310" ht="18" customHeight="1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</x:row>
    <x:row r="1311" ht="18" customHeight="1">
      <x:c r="A1311" s="26" t="str">
        <x:v>E28  币种编辑表单，1280px桌面视口</x:v>
      </x:c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</x:row>
    <x:row r="1312" ht="18" customHeight="1">
      <x:c r="A1312" s="27" t="str">
        <x:v>https://localhost/pcs/system-config/master-data?group=finance&amp;resource=currency</x:v>
      </x:c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</x:row>
    <x:row r="1313" ht="18" customHeight="1">
      <x:c r="A1313" s="1" t="str">
        <x:v>2026-10-12 17:15:53 上海时间｜CSS视口 1280×800 CSS px｜原图 1280×800 px</x:v>
      </x:c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</x:row>
    <x:row r="1314" ht="18" customHeight="1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</x:row>
    <x:row r="1315" ht="18" customHeight="1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</x:row>
    <x:row r="1316" ht="18" customHeight="1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</x:row>
    <x:row r="1317" ht="18" customHeight="1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</x:row>
    <x:row r="1318" ht="18" customHeight="1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</x:row>
    <x:row r="1319" ht="18" customHeight="1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</x:row>
    <x:row r="1320" ht="18" customHeight="1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</x:row>
    <x:row r="1321" ht="18" customHeight="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</x:row>
    <x:row r="1322" ht="18" customHeight="1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</x:row>
    <x:row r="1323" ht="18" customHeight="1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</x:row>
    <x:row r="1324" ht="18" customHeight="1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</x:row>
    <x:row r="1325" ht="18" customHeight="1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</x:row>
    <x:row r="1326" ht="18" customHeight="1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</x:row>
    <x:row r="1327" ht="18" customHeight="1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</x:row>
    <x:row r="1328" ht="18" customHeight="1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</x:row>
    <x:row r="1329" ht="18" customHeight="1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</x:row>
    <x:row r="1330" ht="18" customHeight="1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</x:row>
    <x:row r="1331" ht="18" customHeight="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</x:row>
    <x:row r="1332" ht="18" customHeight="1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</x:row>
    <x:row r="1333" ht="18" customHeight="1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</x:row>
    <x:row r="1334" ht="18" customHeight="1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</x:row>
    <x:row r="1335" ht="18" customHeight="1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</x:row>
    <x:row r="1336" ht="18" customHeight="1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</x:row>
    <x:row r="1337" ht="18" customHeight="1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</x:row>
    <x:row r="1338" ht="18" customHeight="1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</x:row>
    <x:row r="1339" ht="18" customHeight="1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</x:row>
    <x:row r="1340" ht="18" customHeight="1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</x:row>
    <x:row r="1341" ht="18" customHeight="1">
      <x:c r="A1341" s="26" t="str">
        <x:v>E29  新增国家表单，编码可输入且默认状态启用，未保存</x:v>
      </x:c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</x:row>
    <x:row r="1342" ht="18" customHeight="1">
      <x:c r="A1342" s="27" t="str">
        <x:v>https://localhost/pcs/system-config/master-data?group=location&amp;resource=country&amp;create=1</x:v>
      </x:c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</x:row>
    <x:row r="1343" ht="18" customHeight="1">
      <x:c r="A1343" s="1" t="str">
        <x:v>2026-10-12 17:18:53 上海时间｜CSS视口 1280×800 CSS px｜原图 1280×800 px</x:v>
      </x:c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</x:row>
    <x:row r="1344" ht="18" customHeight="1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</x:row>
    <x:row r="1345" ht="18" customHeight="1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</x:row>
    <x:row r="1346" ht="18" customHeight="1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</x:row>
    <x:row r="1347" ht="18" customHeight="1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</x:row>
    <x:row r="1348" ht="18" customHeight="1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</x:row>
    <x:row r="1349" ht="18" customHeight="1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</x:row>
    <x:row r="1350" ht="18" customHeight="1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</x:row>
    <x:row r="1351" ht="18" customHeight="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</x:row>
    <x:row r="1352" ht="18" customHeight="1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</x:row>
    <x:row r="1353" ht="18" customHeight="1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</x:row>
    <x:row r="1354" ht="18" customHeight="1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</x:row>
    <x:row r="1355" ht="18" customHeight="1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</x:row>
    <x:row r="1356" ht="18" customHeight="1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</x:row>
    <x:row r="1357" ht="18" customHeight="1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</x:row>
    <x:row r="1358" ht="18" customHeight="1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</x:row>
    <x:row r="1359" ht="18" customHeight="1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</x:row>
    <x:row r="1360" ht="18" customHeight="1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</x:row>
    <x:row r="1361" ht="18" customHeight="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</x:row>
    <x:row r="1362" ht="18" customHeight="1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</x:row>
    <x:row r="1363" ht="18" customHeight="1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</x:row>
    <x:row r="1364" ht="18" customHeight="1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</x:row>
    <x:row r="1365" ht="18" customHeight="1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</x:row>
    <x:row r="1366" ht="18" customHeight="1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</x:row>
    <x:row r="1367" ht="18" customHeight="1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</x:row>
    <x:row r="1368" ht="18" customHeight="1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</x:row>
    <x:row r="1369" ht="18" customHeight="1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</x:row>
    <x:row r="1370" ht="18" customHeight="1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</x:row>
    <x:row r="1371" ht="18" customHeight="1">
      <x:c r="A1371" s="26" t="str">
        <x:v>E30  Zone横向滚动前，固定列与操作裁切</x:v>
      </x:c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</x:row>
    <x:row r="1372" ht="18" customHeight="1">
      <x:c r="A1372" s="27" t="str">
        <x:v>https://localhost/pcs/system-config/master-data?group=routing&amp;resource=reference_zone</x:v>
      </x:c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</x:row>
    <x:row r="1373" ht="18" customHeight="1">
      <x:c r="A1373" s="1" t="str">
        <x:v>2026-10-12 17:23:43 上海时间｜CSS视口 1280×800 CSS px｜原图 1265×791 px</x:v>
      </x:c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</x:row>
    <x:row r="1374" ht="18" customHeight="1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</x:row>
    <x:row r="1375" ht="18" customHeight="1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</x:row>
    <x:row r="1376" ht="18" customHeight="1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</x:row>
    <x:row r="1377" ht="18" customHeight="1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</x:row>
    <x:row r="1378" ht="18" customHeight="1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</x:row>
    <x:row r="1379" ht="18" customHeight="1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</x:row>
    <x:row r="1380" ht="18" customHeight="1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</x:row>
    <x:row r="1381" ht="18" customHeight="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</x:row>
    <x:row r="1382" ht="18" customHeight="1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</x:row>
    <x:row r="1383" ht="18" customHeight="1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</x:row>
    <x:row r="1384" ht="18" customHeight="1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</x:row>
    <x:row r="1385" ht="18" customHeight="1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</x:row>
    <x:row r="1386" ht="18" customHeight="1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</x:row>
    <x:row r="1387" ht="18" customHeight="1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</x:row>
    <x:row r="1388" ht="18" customHeight="1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</x:row>
    <x:row r="1389" ht="18" customHeight="1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</x:row>
    <x:row r="1390" ht="18" customHeight="1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</x:row>
    <x:row r="1391" ht="18" customHeight="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</x:row>
    <x:row r="1392" ht="18" customHeight="1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</x:row>
    <x:row r="1393" ht="18" customHeight="1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</x:row>
    <x:row r="1394" ht="18" customHeight="1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</x:row>
    <x:row r="1395" ht="18" customHeight="1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</x:row>
    <x:row r="1396" ht="18" customHeight="1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</x:row>
    <x:row r="1397" ht="18" customHeight="1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</x:row>
    <x:row r="1398" ht="18" customHeight="1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</x:row>
    <x:row r="1399" ht="18" customHeight="1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</x:row>
    <x:row r="1400" ht="18" customHeight="1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</x:row>
    <x:row r="1401" ht="18" customHeight="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</x:row>
    <x:row r="1402" ht="18" customHeight="1">
      <x:c r="A1402" s="26" t="str">
        <x:v>E31  Zone水平滚动后，左右固定列仍可定位</x:v>
      </x:c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</x:row>
    <x:row r="1403" ht="18" customHeight="1">
      <x:c r="A1403" s="27" t="str">
        <x:v>https://localhost/pcs/system-config/master-data?group=routing&amp;resource=reference_zone</x:v>
      </x:c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</x:row>
    <x:row r="1404" ht="18" customHeight="1">
      <x:c r="A1404" s="1" t="str">
        <x:v>2026-10-12 17:24:17 上海时间｜CSS视口 1280×800 CSS px｜原图 1265×791 px</x:v>
      </x:c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</x:row>
    <x:row r="1405" ht="18" customHeight="1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</x:row>
    <x:row r="1406" ht="18" customHeight="1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</x:row>
    <x:row r="1407" ht="18" customHeight="1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</x:row>
    <x:row r="1408" ht="18" customHeight="1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</x:row>
    <x:row r="1409" ht="18" customHeight="1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</x:row>
    <x:row r="1410" ht="18" customHeight="1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</x:row>
    <x:row r="1411" ht="18" customHeight="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</x:row>
    <x:row r="1412" ht="18" customHeight="1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</x:row>
    <x:row r="1413" ht="18" customHeight="1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</x:row>
    <x:row r="1414" ht="18" customHeight="1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</x:row>
    <x:row r="1415" ht="18" customHeight="1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</x:row>
    <x:row r="1416" ht="18" customHeight="1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</x:row>
    <x:row r="1417" ht="18" customHeight="1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</x:row>
    <x:row r="1418" ht="18" customHeight="1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</x:row>
    <x:row r="1419" ht="18" customHeight="1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</x:row>
    <x:row r="1420" ht="18" customHeight="1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</x:row>
    <x:row r="1421" ht="18" customHeight="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</x:row>
    <x:row r="1422" ht="18" customHeight="1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</x:row>
    <x:row r="1423" ht="18" customHeight="1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</x:row>
    <x:row r="1424" ht="18" customHeight="1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</x:row>
    <x:row r="1425" ht="18" customHeight="1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</x:row>
    <x:row r="1426" ht="18" customHeight="1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</x:row>
    <x:row r="1427" ht="18" customHeight="1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</x:row>
    <x:row r="1428" ht="18" customHeight="1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</x:row>
    <x:row r="1429" ht="18" customHeight="1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</x:row>
    <x:row r="1430" ht="18" customHeight="1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</x:row>
    <x:row r="1431" ht="18" customHeight="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</x:row>
    <x:row r="1432" ht="18" customHeight="1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</x:row>
    <x:row r="1433" ht="18" customHeight="1">
      <x:c r="A1433" s="26" t="str">
        <x:v>E32  国家字段未关联label，DOM与截图对应</x:v>
      </x:c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</x:row>
    <x:row r="1434" ht="18" customHeight="1">
      <x:c r="A1434" s="27" t="str">
        <x:v>https://localhost/pcs/system-config/master-data?group=location&amp;resource=country</x:v>
      </x:c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</x:row>
    <x:row r="1435" ht="18" customHeight="1">
      <x:c r="A1435" s="1" t="str">
        <x:v>2026-10-12 17:28:23 上海时间｜CSS视口 1280×800 CSS px｜原图 1280×800 px</x:v>
      </x:c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</x:row>
    <x:row r="1436" ht="18" customHeight="1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</x:row>
    <x:row r="1437" ht="18" customHeight="1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</x:row>
    <x:row r="1438" ht="18" customHeight="1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</x:row>
    <x:row r="1439" ht="18" customHeight="1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</x:row>
    <x:row r="1440" ht="18" customHeight="1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</x:row>
    <x:row r="1441" ht="18" customHeight="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</x:row>
    <x:row r="1442" ht="18" customHeight="1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</x:row>
    <x:row r="1443" ht="18" customHeight="1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</x:row>
    <x:row r="1444" ht="18" customHeight="1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</x:row>
    <x:row r="1445" ht="18" customHeight="1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</x:row>
    <x:row r="1446" ht="18" customHeight="1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</x:row>
    <x:row r="1447" ht="18" customHeight="1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</x:row>
    <x:row r="1448" ht="18" customHeight="1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</x:row>
    <x:row r="1449" ht="18" customHeight="1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</x:row>
    <x:row r="1450" ht="18" customHeight="1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</x:row>
    <x:row r="1451" ht="18" customHeight="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</x:row>
    <x:row r="1452" ht="18" customHeight="1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</x:row>
    <x:row r="1453" ht="18" customHeight="1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</x:row>
    <x:row r="1454" ht="18" customHeight="1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</x:row>
    <x:row r="1455" ht="18" customHeight="1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</x:row>
    <x:row r="1456" ht="18" customHeight="1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</x:row>
    <x:row r="1457" ht="18" customHeight="1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</x:row>
    <x:row r="1458" ht="18" customHeight="1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</x:row>
    <x:row r="1459" ht="18" customHeight="1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</x:row>
    <x:row r="1460" ht="18" customHeight="1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</x:row>
    <x:row r="1461" ht="18" customHeight="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</x:row>
    <x:row r="1462" ht="18" customHeight="1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</x:row>
  </x:sheetData>
  <x:pageMargins left="0.7" right="0.7" top="0.75" bottom="0.75" header="0.3" footer="0.3"/>
  <x:tableParts count="1">
    <x:tablePart xmlns:r="http://schemas.openxmlformats.org/officeDocument/2006/relationships" r:id="R04bb9e97a664488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91" hidden="0" customWidth="1"/>
    <x:col min="4" max="4" width="82" hidden="0" customWidth="1"/>
  </x:cols>
  <x:sheetData>
    <x:row r="1">
      <x:c r="A1" s="2"/>
      <x:c r="B1" s="2"/>
      <x:c r="C1" s="2"/>
      <x:c r="D1" s="2"/>
    </x:row>
    <x:row r="2" ht="29" customHeight="1">
      <x:c r="A2" s="3" t="str">
        <x:v>审查环境、依据与判定边界</x:v>
      </x:c>
      <x:c r="B2" s="2"/>
      <x:c r="C2" s="2"/>
      <x:c r="D2" s="2"/>
    </x:row>
    <x:row r="3" ht="24" customHeight="1">
      <x:c r="A3" s="5" t="str">
        <x:v>先用本报告定位偏差和待决事项；正式验收仍需本批Build、批准基线及全部适用状态的证据。</x:v>
      </x:c>
      <x:c r="B3" s="2"/>
      <x:c r="C3" s="2"/>
      <x:c r="D3" s="2"/>
    </x:row>
    <x:row r="4">
      <x:c r="A4" s="2"/>
      <x:c r="B4" s="2"/>
      <x:c r="C4" s="2"/>
      <x:c r="D4" s="2"/>
    </x:row>
    <x:row r="5" ht="39" customHeight="1">
      <x:c r="A5" s="17" t="str">
        <x:v>类别</x:v>
      </x:c>
      <x:c r="B5" s="18" t="str">
        <x:v>项目</x:v>
      </x:c>
      <x:c r="C5" s="18" t="str">
        <x:v>实际记录/来源</x:v>
      </x:c>
      <x:c r="D5" s="19" t="str">
        <x:v>说明/边界</x:v>
      </x:c>
    </x:row>
    <x:row r="6" ht="35" customHeight="1">
      <x:c r="A6" s="20" t="str">
        <x:v>审查</x:v>
      </x:c>
      <x:c r="B6" s="20" t="str">
        <x:v>目标页面</x:v>
      </x:c>
      <x:c r="C6" s="20" t="str">
        <x:v>https://localhost/pcs/system-config/master-data</x:v>
      </x:c>
      <x:c r="D6" s="20" t="str">
        <x:v>当前登录会话；界面显示PCS M1全量授权，不代表已验证权限控制。</x:v>
      </x:c>
    </x:row>
    <x:row r="7" ht="35" customHeight="1">
      <x:c r="A7" s="20" t="str">
        <x:v>审查</x:v>
      </x:c>
      <x:c r="B7" s="20" t="str">
        <x:v>时间范围</x:v>
      </x:c>
      <x:c r="C7" s="20" t="str">
        <x:v>2026-10-12 16:29:04 至 2026-10-12 17:28:23（Asia/Shanghai）</x:v>
      </x:c>
      <x:c r="D7" s="20" t="str">
        <x:v>截图实际采集时间，列表截图采用文件写入时间补记。</x:v>
      </x:c>
    </x:row>
    <x:row r="8" ht="35" customHeight="1">
      <x:c r="A8" s="20" t="str">
        <x:v>审查</x:v>
      </x:c>
      <x:c r="B8" s="20" t="str">
        <x:v>部署Build</x:v>
      </x:c>
      <x:c r="C8" s="20" t="str">
        <x:v>未展示/未提供</x:v>
      </x:c>
      <x:c r="D8" s="20" t="str">
        <x:v>本报告是当前页面观察；未改原表正式测试结果，不作为发布/提测通过签署。</x:v>
      </x:c>
    </x:row>
    <x:row r="9" ht="35" customHeight="1">
      <x:c r="A9" s="20" t="str">
        <x:v>审查</x:v>
      </x:c>
      <x:c r="B9" s="20" t="str">
        <x:v>页面资源指纹</x:v>
      </x:c>
      <x:c r="C9" s="20" t="str">
        <x:v>/pcs/assets/index-_UhGeUBF.js</x:v>
      </x:c>
      <x:c r="D9" s="20" t="str">
        <x:v>资源路径用于追溯，不等同于服务端部署Build或Git提交。</x:v>
      </x:c>
    </x:row>
    <x:row r="10" ht="40" customHeight="1">
      <x:c r="A10" s="20" t="str">
        <x:v>审查</x:v>
      </x:c>
      <x:c r="B10" s="20" t="str">
        <x:v>环境/量测</x:v>
      </x:c>
      <x:c r="C10" s="20" t="str">
        <x:v>Codex In-app Browser；1440×1000、1440×800、1280×800 CSS视口；DPR约0.9。</x:v>
      </x:c>
      <x:c r="D10" s="20" t="str">
        <x:v>浏览器缩放未独立读取；规范尺寸以computed style及CSS坐标量测。初期截图可见区域高度896，800px批次补完整可见视口。</x:v>
      </x:c>
    </x:row>
    <x:row r="11" ht="35" customHeight="1">
      <x:c r="A11" s="20" t="str">
        <x:v>审查</x:v>
      </x:c>
      <x:c r="B11" s="20" t="str">
        <x:v>方法</x:v>
      </x:c>
      <x:c r="C11" s="20" t="str">
        <x:v>页面/截图＋DOM computed style/ARIA/label关联＋只读交互。</x:v>
      </x:c>
      <x:c r="D11" s="20" t="str">
        <x:v>没有从当前实现反推业务验收规则；没有自动认定整页拟合百分比。</x:v>
      </x:c>
    </x:row>
    <x:row r="12" ht="35" customHeight="1">
      <x:c r="A12" s="20" t="str">
        <x:v>范围</x:v>
      </x:c>
      <x:c r="B12" s="20" t="str">
        <x:v>已查实例</x:v>
      </x:c>
      <x:c r="C12" s="20" t="str">
        <x:v>18对象列表、8编辑表单、1新增表单、航线区域/Zone两类详情。</x:v>
      </x:c>
      <x:c r="D12" s="20" t="str">
        <x:v>原49条UI case均记录覆盖边界；不是49条完整用例已通过。</x:v>
      </x:c>
    </x:row>
    <x:row r="13" ht="35" customHeight="1">
      <x:c r="A13" s="20" t="str">
        <x:v>范围</x:v>
      </x:c>
      <x:c r="B13" s="20" t="str">
        <x:v>业务数据动作</x:v>
      </x:c>
      <x:c r="C13" s="20" t="str">
        <x:v>未点击保存、删除、启停、批量或上传。临时字段输入已取消。</x:v>
      </x:c>
      <x:c r="D13" s="20" t="str">
        <x:v>国家名称和货物说明取消后重开恢复原值；未用UI回显证明完整数据库/接口验收。</x:v>
      </x:c>
    </x:row>
    <x:row r="14" ht="35" customHeight="1">
      <x:c r="A14" s="20" t="str">
        <x:v>范围</x:v>
      </x:c>
      <x:c r="B14" s="20" t="str">
        <x:v>未覆盖</x:v>
      </x:c>
      <x:c r="C14" s="20" t="str">
        <x:v>多页/跨页、授权矩阵、可控慢网/失败、提交防重、完整CRUD、完整读屏与非桌面端。</x:v>
      </x:c>
      <x:c r="D14" s="20" t="str">
        <x:v>现有列表仅1—2条；写入/异常需批准场景和专用数据。</x:v>
      </x:c>
    </x:row>
    <x:row r="15" ht="35" customHeight="1">
      <x:c r="A15" s="20" t="str">
        <x:v>判定</x:v>
      </x:c>
      <x:c r="B15" s="20" t="str">
        <x:v>实测问题</x:v>
      </x:c>
      <x:c r="C15" s="20" t="str">
        <x:v>7条已观察问题，每条有原图、条款、量测/动作和修改建议。</x:v>
      </x:c>
      <x:c r="D15" s="20" t="str">
        <x:v>类型不等于原Review优先级；处理优先级仅为本报告建议。</x:v>
      </x:c>
    </x:row>
    <x:row r="16" ht="35" customHeight="1">
      <x:c r="A16" s="20" t="str">
        <x:v>判定</x:v>
      </x:c>
      <x:c r="B16" s="20" t="str">
        <x:v>待确认事项</x:v>
      </x:c>
      <x:c r="C16" s="20" t="str">
        <x:v>5条：分类采用、关联展示、规范冲突、标题层级、启动加载层级。</x:v>
      </x:c>
      <x:c r="D16" s="20" t="str">
        <x:v>保留事实与建议，取得本批口径后再判是否属于整改/例外。</x:v>
      </x:c>
    </x:row>
    <x:row r="17" ht="35" customHeight="1">
      <x:c r="A17" s="20" t="str">
        <x:v>判定</x:v>
      </x:c>
      <x:c r="B17" s="20" t="str">
        <x:v>五色映射</x:v>
      </x:c>
      <x:c r="C17" s="20" t="str">
        <x:v>原case保留框架适配判断：红/蓝/黄/绿/白灰代表适配方式。</x:v>
      </x:c>
      <x:c r="D17" s="20" t="str">
        <x:v>五色与实测通过/失败及缺陷级别分别记录。</x:v>
      </x:c>
    </x:row>
    <x:row r="18" ht="40" customHeight="1">
      <x:c r="A18" s="20" t="str">
        <x:v>依据</x:v>
      </x:c>
      <x:c r="B18" s="20" t="str">
        <x:v>通用设计规范V1.2</x:v>
      </x:c>
      <x:c r="C18" s="20" t="str">
        <x:v>revision_id=5256
https://example.invalid/source/b12a1bc700</x:v>
      </x:c>
      <x:c r="D18" s="20" t="str">
        <x:v>本次文档及关键内嵌表已只读刷新。表头色/页头/触达矛盾见DQ03。</x:v>
      </x:c>
    </x:row>
    <x:row r="19" ht="40" customHeight="1">
      <x:c r="A19" s="20" t="str">
        <x:v>依据</x:v>
      </x:c>
      <x:c r="B19" s="20" t="str">
        <x:v>公共用例基准库V1.2</x:v>
      </x:c>
      <x:c r="C19" s="20" t="str">
        <x:v>revision_id=95
https://example.invalid/source/92f788d9b2</x:v>
      </x:c>
      <x:c r="D19" s="20" t="str">
        <x:v>重点3.1/3.2/5.1—5.5；条件性能力按交付裁剪。</x:v>
      </x:c>
    </x:row>
    <x:row r="20" ht="54" customHeight="1">
      <x:c r="A20" s="20" t="str">
        <x:v>依据</x:v>
      </x:c>
      <x:c r="B20" s="20" t="str">
        <x:v>UI Review当前视图</x:v>
      </x:c>
      <x:c r="C20" s="20" t="str">
        <x:v>rev=650
https://example.invalid/source/e04459bb0b</x:v>
      </x:c>
      <x:c r="D20" s="20" t="str">
        <x:v>23条来源；来源状态不等于实测结论。新增服务单元重复候选不扩大本次URL范围。</x:v>
      </x:c>
    </x:row>
    <x:row r="21" ht="35" customHeight="1">
      <x:c r="A21" s="20" t="str">
        <x:v>依据</x:v>
      </x:c>
      <x:c r="B21" s="20" t="str">
        <x:v>用户指定原用例</x:v>
      </x:c>
      <x:c r="C21" s="20" t="str">
        <x:v>SN318_冒烟与UI用例_飞书五色及实际页面复核.xlsx</x:v>
      </x:c>
      <x:c r="D21" s="20" t="str">
        <x:v>原文件未改动；UI01—UI49编号、字段范围与裁剪边界作为本报告输入。</x:v>
      </x:c>
    </x:row>
    <x:row r="22" ht="35" customHeight="1">
      <x:c r="A22" s="20" t="str">
        <x:v>依据</x:v>
      </x:c>
      <x:c r="B22" s="20" t="str">
        <x:v>上一份测试建议</x:v>
      </x:c>
      <x:c r="C22" s="20" t="str">
        <x:v>SN318_UI规范审查_测试建议与修改清单.xlsx</x:v>
      </x:c>
      <x:c r="D22" s="20" t="str">
        <x:v>FE01关联INT03/10，FE05关联INT08，FE07关联INT05/08；补充建议不是产品新契约。</x:v>
      </x:c>
    </x:row>
    <x:row r="23" ht="35" customHeight="1">
      <x:c r="A23" s="20" t="str">
        <x:v>复测</x:v>
      </x:c>
      <x:c r="B23" s="20" t="str">
        <x:v>完成后记录</x:v>
      </x:c>
      <x:c r="C23" s="20" t="str">
        <x:v>填写修改项责任人、复测Build、实际步骤、结果和新证据。</x:v>
      </x:c>
      <x:c r="D23" s="20" t="str">
        <x:v>源正式用例的本批采用/关键项/Build等门槛仍独立，不由本报告直接写成通过。</x:v>
      </x:c>
    </x:row>
  </x:sheetData>
  <x:pageMargins left="0.7" right="0.7" top="0.75" bottom="0.75" header="0.3" footer="0.3"/>
  <x:tableParts count="1">
    <x:tablePart xmlns:r="http://schemas.openxmlformats.org/officeDocument/2006/relationships" r:id="Rf690c9bd91b94737"/>
  </x:tableParts>
</x:worksheet>
</file>