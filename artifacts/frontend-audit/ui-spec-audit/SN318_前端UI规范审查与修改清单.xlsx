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6778a456c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查概览" sheetId="1" r:id="R1c49b8afa20f4cd9"/>
    <x:sheet xmlns:r="http://schemas.openxmlformats.org/officeDocument/2006/relationships" name="修改清单" sheetId="2" r:id="R901a6beaff054191"/>
    <x:sheet xmlns:r="http://schemas.openxmlformats.org/officeDocument/2006/relationships" name="Review对照" sheetId="3" r:id="R013f448e85384f61"/>
    <x:sheet xmlns:r="http://schemas.openxmlformats.org/officeDocument/2006/relationships" name="规范检查" sheetId="4" r:id="Raa271a27e11f4b53"/>
    <x:sheet xmlns:r="http://schemas.openxmlformats.org/officeDocument/2006/relationships" name="证据索引" sheetId="5" r:id="Rade0a945589844ea"/>
    <x:sheet xmlns:r="http://schemas.openxmlformats.org/officeDocument/2006/relationships" name="截图对照" sheetId="6" r:id="Rcb0545e9a840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4B5564"/>
      <x:name val="Microsoft YaHei"/>
    </x:font>
    <x:font>
      <x:b/>
      <x:sz val="16"/>
      <x:color rgb="FFFFFFFF"/>
      <x:name val="Microsoft YaHei"/>
    </x:font>
    <x:font>
      <x:sz val="11"/>
      <x:color rgb="FF1A2130"/>
      <x:name val="Microsoft YaHei"/>
    </x:font>
    <x:font>
      <x:b/>
      <x:sz val="25"/>
      <x:color rgb="FF046EFC"/>
      <x:name val="Microsoft YaHei"/>
    </x:font>
    <x:font>
      <x:b/>
      <x:sz val="12"/>
      <x:color rgb="FFFFFFFF"/>
      <x:name val="Microsoft YaHei"/>
    </x:font>
    <x:font>
      <x:b/>
      <x:sz val="10"/>
      <x:color rgb="FFFFFFFF"/>
      <x:name val="Microsoft YaHei"/>
    </x:font>
    <x:font>
      <x:b/>
      <x:sz val="10"/>
      <x:color rgb="FF1A2130"/>
      <x:name val="Microsoft YaHei"/>
    </x:font>
    <x:font>
      <x:sz val="9"/>
      <x:color rgb="FF4B5564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A2130"/>
      </x:patternFill>
    </x:fill>
    <x:fill>
      <x:patternFill patternType="solid">
        <x:fgColor rgb="FFEBF3FD"/>
      </x:patternFill>
    </x:fill>
    <x:fill>
      <x:patternFill patternType="solid">
        <x:fgColor rgb="FF046EFC"/>
      </x:patternFill>
    </x:fill>
    <x:fill>
      <x:patternFill patternType="solid">
        <x:fgColor rgb="FFFFF7E6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E6F2FF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BEBEB"/>
      </x:bottom>
      <x:diagonal/>
    </x:border>
    <x:border>
      <x:left/>
      <x:right/>
      <x:top style="thin">
        <x:color rgb="FFEBEBEB"/>
      </x:top>
      <x:bottom style="thin">
        <x:color rgb="FFEBEBEB"/>
      </x:bottom>
      <x:diagonal/>
    </x:border>
    <x:border>
      <x:left/>
      <x:right/>
      <x:top style="thin">
        <x:color rgb="FFEBEBEB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2" xfId="0" applyNumberFormat="1" applyFont="1" applyFill="1" applyBorder="1" applyAlignment="1">
      <x:alignment vertical="top" wrapText="1"/>
    </x:xf>
    <x:xf numFmtId="0" fontId="1" fillId="8" borderId="3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95000"/>
      </x:font>
      <x:fill>
        <x:patternFill patternType="solid">
          <x:bgColor rgb="FFFFF7E6"/>
        </x:patternFill>
      </x:fill>
    </x:dxf>
    <x:dxf>
      <x:font>
        <x:b/>
        <x:color rgb="FF035ED4"/>
      </x:font>
      <x:fill>
        <x:patternFill patternType="solid">
          <x:bgColor rgb="FFEBF3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ed5c96eb54428" /><Relationship Type="http://schemas.openxmlformats.org/officeDocument/2006/relationships/theme" Target="/xl/theme/theme1.xml" Id="R1fa8a21d6fd24cb9" /><Relationship Type="http://schemas.openxmlformats.org/officeDocument/2006/relationships/sharedStrings" Target="/xl/sharedStrings.xml" Id="Rd65a46f45fd943c2" /><Relationship Type="http://schemas.openxmlformats.org/officeDocument/2006/relationships/worksheet" Target="/xl/worksheets/sheet1.xml" Id="R1c49b8afa20f4cd9" /><Relationship Type="http://schemas.openxmlformats.org/officeDocument/2006/relationships/worksheet" Target="/xl/worksheets/sheet2.xml" Id="R901a6beaff054191" /><Relationship Type="http://schemas.openxmlformats.org/officeDocument/2006/relationships/worksheet" Target="/xl/worksheets/sheet3.xml" Id="R013f448e85384f61" /><Relationship Type="http://schemas.openxmlformats.org/officeDocument/2006/relationships/worksheet" Target="/xl/worksheets/sheet4.xml" Id="Raa271a27e11f4b53" /><Relationship Type="http://schemas.openxmlformats.org/officeDocument/2006/relationships/worksheet" Target="/xl/worksheets/sheet5.xml" Id="Rade0a945589844ea" /><Relationship Type="http://schemas.openxmlformats.org/officeDocument/2006/relationships/worksheet" Target="/xl/worksheets/sheet6.xml" Id="Rcb0545e9a8404835" /></Relationships>
</file>

<file path=xl/tables/table1.xml><?xml version="1.0" encoding="utf-8"?>
<x:table xmlns:x="http://schemas.openxmlformats.org/spreadsheetml/2006/main" id="1" name="UIChanges" displayName="UIChanges" ref="A6:Q36" headerRowCount="1" totalsRowCount="0" totalsRowShown="0">
  <x:tableColumns count="17">
    <x:tableColumn id="1" name="编号"/>
    <x:tableColumn id="2" name="建议优先级"/>
    <x:tableColumn id="3" name="页面 / 模块"/>
    <x:tableColumn id="4" name="审查结论"/>
    <x:tableColumn id="5" name="观察与证据边界"/>
    <x:tableColumn id="6" name="具体修改要求"/>
    <x:tableColumn id="7" name="复测验收步骤"/>
    <x:tableColumn id="8" name="Review引用"/>
    <x:tableColumn id="9" name="规范依据"/>
    <x:tableColumn id="10" name="代码位置 / 页面入口"/>
    <x:tableColumn id="11" name="建议承接角色"/>
    <x:tableColumn id="12" name="前置条件 / 决策"/>
    <x:tableColumn id="13" name="截图证据ID"/>
    <x:tableColumn id="14" name="负责人（填写）"/>
    <x:tableColumn id="15" name="开发状态（填写）"/>
    <x:tableColumn id="16" name="复测结果（填写）"/>
    <x:tableColumn id="17" name="版本 / 日期（填写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Source" displayName="ReviewSource" ref="A6:N30" headerRowCount="1" totalsRowCount="0" totalsRowShown="0">
  <x:tableColumns count="14">
    <x:tableColumn id="1" name="Review编号"/>
    <x:tableColumn id="2" name="record_id"/>
    <x:tableColumn id="3" name="原页面 / 模块"/>
    <x:tableColumn id="4" name="原优先级"/>
    <x:tableColumn id="5" name="原框架适配判断"/>
    <x:tableColumn id="6" name="原确认状态"/>
    <x:tableColumn id="7" name="原处理角色"/>
    <x:tableColumn id="8" name="原Review类型"/>
    <x:tableColumn id="9" name="原当前原型问题"/>
    <x:tableColumn id="10" name="原Review建议"/>
    <x:tableColumn id="11" name="原后续处理建议"/>
    <x:tableColumn id="12" name="原备注"/>
    <x:tableColumn id="13" name="修改项映射"/>
    <x:tableColumn id="14" name="截图证据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Checks" displayName="SpecChecks" ref="A6:H34" headerRowCount="1" totalsRowCount="0" totalsRowShown="0">
  <x:tableColumns count="8">
    <x:tableColumn id="1" name="检查编号"/>
    <x:tableColumn id="2" name="规范维度"/>
    <x:tableColumn id="3" name="规范引用"/>
    <x:tableColumn id="4" name="规范要求（摘录）"/>
    <x:tableColumn id="5" name="适用范围"/>
    <x:tableColumn id="6" name="本次核对结论"/>
    <x:tableColumn id="7" name="关联修改项"/>
    <x:tableColumn id="8" name="检查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Index" displayName="EvidenceIndex" ref="A6:H54" headerRowCount="1" totalsRowCount="0" totalsRowShown="0">
  <x:tableColumns count="8">
    <x:tableColumn id="1" name="证据ID"/>
    <x:tableColumn id="2" name="Review引用"/>
    <x:tableColumn id="3" name="证据类型"/>
    <x:tableColumn id="4" name="模块 / 上下文"/>
    <x:tableColumn id="5" name="本地原图相对路径"/>
    <x:tableColumn id="6" name="图像尺寸"/>
    <x:tableColumn id="7" name="SHA-256"/>
    <x:tableColumn id="8" name="源record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e590833d584c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1317c4676d4a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77ba00e1d240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471cdb9ceb427f" /></Relationships>
</file>

<file path=xl/worksheets/_rels/sheet6.xml.rels>&#65279;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Pr>
    <x:tabColor rgb="FF046EF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1" customHeight="1">
      <x:c r="A1" s="6" t="str">
        <x:v>SN318 前端 UI 规范审查与修改清单</x:v>
      </x:c>
      <x:c r="B1" s="6" t="str">
        <x:v>SN318 前端 UI 规范审查与修改清单</x:v>
      </x:c>
      <x:c r="C1" s="6" t="str">
        <x:v>SN318 前端 UI 规范审查与修改清单</x:v>
      </x:c>
      <x:c r="D1" s="6" t="str">
        <x:v>SN318 前端 UI 规范审查与修改清单</x:v>
      </x:c>
      <x:c r="E1" s="6" t="str">
        <x:v>SN318 前端 UI 规范审查与修改清单</x:v>
      </x:c>
      <x:c r="F1" s="6" t="str">
        <x:v>SN318 前端 UI 规范审查与修改清单</x:v>
      </x:c>
      <x:c r="G1" s="6" t="str">
        <x:v>SN318 前端 UI 规范审查与修改清单</x:v>
      </x:c>
      <x:c r="H1" s="6" t="str">
        <x:v>SN318 前端 UI 规范审查与修改清单</x:v>
      </x:c>
      <x:c r="I1" s="6" t="str">
        <x:v>SN318 前端 UI 规范审查与修改清单</x:v>
      </x:c>
      <x:c r="J1" s="6" t="str">
        <x:v>SN318 前端 UI 规范审查与修改清单</x:v>
      </x:c>
      <x:c r="K1" s="6" t="str">
        <x:v>SN318 前端 UI 规范审查与修改清单</x:v>
      </x:c>
      <x:c r="L1" s="6" t="str">
        <x:v>SN318 前端 UI 规范审查与修改清单</x:v>
      </x:c>
    </x:row>
    <x:row r="2" ht="21" customHeight="1">
      <x:c r="A2" s="6" t="str">
        <x:v>SN318 前端 UI 规范审查与修改清单</x:v>
      </x:c>
      <x:c r="B2" s="6" t="str">
        <x:v>SN318 前端 UI 规范审查与修改清单</x:v>
      </x:c>
      <x:c r="C2" s="6" t="str">
        <x:v>SN318 前端 UI 规范审查与修改清单</x:v>
      </x:c>
      <x:c r="D2" s="6" t="str">
        <x:v>SN318 前端 UI 规范审查与修改清单</x:v>
      </x:c>
      <x:c r="E2" s="6" t="str">
        <x:v>SN318 前端 UI 规范审查与修改清单</x:v>
      </x:c>
      <x:c r="F2" s="6" t="str">
        <x:v>SN318 前端 UI 规范审查与修改清单</x:v>
      </x:c>
      <x:c r="G2" s="6" t="str">
        <x:v>SN318 前端 UI 规范审查与修改清单</x:v>
      </x:c>
      <x:c r="H2" s="6" t="str">
        <x:v>SN318 前端 UI 规范审查与修改清单</x:v>
      </x:c>
      <x:c r="I2" s="6" t="str">
        <x:v>SN318 前端 UI 规范审查与修改清单</x:v>
      </x:c>
      <x:c r="J2" s="6" t="str">
        <x:v>SN318 前端 UI 规范审查与修改清单</x:v>
      </x:c>
      <x:c r="K2" s="6" t="str">
        <x:v>SN318 前端 UI 规范审查与修改清单</x:v>
      </x:c>
      <x:c r="L2" s="6" t="str">
        <x:v>SN318 前端 UI 规范审查与修改清单</x:v>
      </x:c>
    </x:row>
    <x:row r="3" ht="25.5" customHeight="1">
      <x:c r="A3" s="3" t="str">
        <x:v>2026-10-12 ｜ Review revision 680 ｜ 通用设计规范 V1.2 revision 5256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1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1" customHeight="1">
      <x:c r="A5" s="9" t="str">
        <x:v>修改项总数</x:v>
      </x:c>
      <x:c r="B5" s="9" t="str">
        <x:v>修改项总数</x:v>
      </x:c>
      <x:c r="C5" s="9" t="str">
        <x:v>修改项总数</x:v>
      </x:c>
      <x:c r="D5" s="9" t="str">
        <x:v>建议 P0</x:v>
      </x:c>
      <x:c r="E5" s="9" t="str">
        <x:v>建议 P0</x:v>
      </x:c>
      <x:c r="F5" s="9" t="str">
        <x:v>建议 P0</x:v>
      </x:c>
      <x:c r="G5" s="9" t="str">
        <x:v>待复测</x:v>
      </x:c>
      <x:c r="H5" s="9" t="str">
        <x:v>待复测</x:v>
      </x:c>
      <x:c r="I5" s="9" t="str">
        <x:v>待复测</x:v>
      </x:c>
      <x:c r="J5" s="9" t="str">
        <x:v>截图证据</x:v>
      </x:c>
      <x:c r="K5" s="9" t="str">
        <x:v>截图证据</x:v>
      </x:c>
      <x:c r="L5" s="9" t="str">
        <x:v>截图证据</x:v>
      </x:c>
    </x:row>
    <x:row r="6" ht="21" customHeight="1">
      <x:c r="A6" s="12" t="n">
        <x:f>COUNTA('修改清单'!A7:A36)</x:f>
        <x:v>30</x:v>
      </x:c>
      <x:c r="B6" s="12"/>
      <x:c r="C6" s="12"/>
      <x:c r="D6" s="12" t="n">
        <x:f>COUNTIF('修改清单'!B7:B36,"P0")</x:f>
        <x:v>7</x:v>
      </x:c>
      <x:c r="E6" s="12"/>
      <x:c r="F6" s="12"/>
      <x:c r="G6" s="12" t="n">
        <x:f>COUNTIF('修改清单'!P7:P36,"未执行")</x:f>
        <x:v>30</x:v>
      </x:c>
      <x:c r="H6" s="12"/>
      <x:c r="I6" s="12"/>
      <x:c r="J6" s="12" t="n">
        <x:f>COUNTA('证据索引'!A7:A54)</x:f>
        <x:v>48</x:v>
      </x:c>
      <x:c r="K6" s="12"/>
      <x:c r="L6" s="12"/>
    </x:row>
    <x:row r="7" ht="21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21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4" customHeight="1">
      <x:c r="A9" s="3" t="str">
        <x:v>结论：30项可分派修改，覆盖23条非空 Review；1条空白占位原样保留。28个规范检查维度。主清单建议 P0/P1/P2 为7/15/8，原始优先级保存在 Review 对照。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1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1" customHeight="1">
      <x:c r="A12" s="15" t="str">
        <x:v>需先澄清的实施决策</x:v>
      </x:c>
      <x:c r="B12" s="15" t="str">
        <x:v>需先澄清的实施决策</x:v>
      </x:c>
      <x:c r="C12" s="15" t="str">
        <x:v>需先澄清的实施决策</x:v>
      </x:c>
      <x:c r="D12" s="15" t="str">
        <x:v>需先澄清的实施决策</x:v>
      </x:c>
      <x:c r="E12" s="15" t="str">
        <x:v>需先澄清的实施决策</x:v>
      </x:c>
      <x:c r="F12" s="15" t="str">
        <x:v>需先澄清的实施决策</x:v>
      </x:c>
      <x:c r="G12" s="15" t="str">
        <x:v>需先澄清的实施决策</x:v>
      </x:c>
      <x:c r="H12" s="15" t="str">
        <x:v>需先澄清的实施决策</x:v>
      </x:c>
      <x:c r="I12" s="15" t="str">
        <x:v>需先澄清的实施决策</x:v>
      </x:c>
      <x:c r="J12" s="15" t="str">
        <x:v>需先澄清的实施决策</x:v>
      </x:c>
      <x:c r="K12" s="15" t="str">
        <x:v>需先澄清的实施决策</x:v>
      </x:c>
      <x:c r="L12" s="15" t="str">
        <x:v>需先澄清的实施决策</x:v>
      </x:c>
    </x:row>
    <x:row r="13" ht="21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1" customHeight="1">
      <x:c r="A14" s="16" t="str">
        <x:v>RV07 / RV22</x:v>
      </x:c>
      <x:c r="B14" s="16"/>
      <x:c r="C14" s="16" t="str">
        <x:v>详情承载冲突</x:v>
      </x:c>
      <x:c r="D14" s="16"/>
      <x:c r="E14" s="16"/>
      <x:c r="F14" s="16" t="str">
        <x:v>独立页与右侧 Drawer 冲突。产品/UI确认唯一方案或明确两种入口职责，关联 UI07。</x:v>
      </x:c>
      <x:c r="G14" s="16"/>
      <x:c r="H14" s="16"/>
      <x:c r="I14" s="16"/>
      <x:c r="J14" s="16"/>
      <x:c r="K14" s="16"/>
      <x:c r="L14" s="16"/>
    </x:row>
    <x:row r="15" ht="2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 ht="21" customHeight="1">
      <x:c r="A16" s="16" t="str">
        <x:v>RV03</x:v>
      </x:c>
      <x:c r="B16" s="16"/>
      <x:c r="C16" s="16" t="str">
        <x:v>行内编辑缺少专项定义</x:v>
      </x:c>
      <x:c r="D16" s="16"/>
      <x:c r="E16" s="16"/>
      <x:c r="F16" s="16" t="str">
        <x:v>Review建议和当前问题未填写；UI先补齐规范后实施，关联 UI03。</x:v>
      </x:c>
      <x:c r="G16" s="16"/>
      <x:c r="H16" s="16"/>
      <x:c r="I16" s="16"/>
      <x:c r="J16" s="16"/>
      <x:c r="K16" s="16"/>
      <x:c r="L16" s="16"/>
    </x:row>
    <x:row r="17" ht="2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 ht="21" customHeight="1">
      <x:c r="A18" s="16" t="str">
        <x:v>N07 / Core</x:v>
      </x:c>
      <x:c r="B18" s="16"/>
      <x:c r="C18" s="16" t="str">
        <x:v>Drawer 圆角边界</x:v>
      </x:c>
      <x:c r="D18" s="16"/>
      <x:c r="E18" s="16"/>
      <x:c r="F18" s="16" t="str">
        <x:v>规范基础16px与Core“直角贴边”注释需澄清，先测实际样式，关联 UI28。</x:v>
      </x:c>
      <x:c r="G18" s="16"/>
      <x:c r="H18" s="16"/>
      <x:c r="I18" s="16"/>
      <x:c r="J18" s="16"/>
      <x:c r="K18" s="16"/>
      <x:c r="L18" s="16"/>
    </x:row>
    <x:row r="19" ht="21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 ht="21" customHeight="1">
      <x:c r="A20" s="16" t="str">
        <x:v>N10</x:v>
      </x:c>
      <x:c r="B20" s="16"/>
      <x:c r="C20" s="16" t="str">
        <x:v>页头94px表述</x:v>
      </x:c>
      <x:c r="D20" s="16"/>
      <x:c r="E20" s="16"/>
      <x:c r="F20" s="16" t="str">
        <x:v>94px与“全部为4的倍数”冲突；当前保留已列明94px，UI确认文字或统一迁移，关联 UI29。</x:v>
      </x:c>
      <x:c r="G20" s="16"/>
      <x:c r="H20" s="16"/>
      <x:c r="I20" s="16"/>
      <x:c r="J20" s="16"/>
      <x:c r="K20" s="16"/>
      <x:c r="L20" s="16"/>
    </x:row>
    <x:row r="21" ht="21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 ht="21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1" customHeight="1">
      <x:c r="A23" s="15" t="str">
        <x:v>审查依据与使用边界</x:v>
      </x:c>
      <x:c r="B23" s="15" t="str">
        <x:v>审查依据与使用边界</x:v>
      </x:c>
      <x:c r="C23" s="15" t="str">
        <x:v>审查依据与使用边界</x:v>
      </x:c>
      <x:c r="D23" s="15" t="str">
        <x:v>审查依据与使用边界</x:v>
      </x:c>
      <x:c r="E23" s="15" t="str">
        <x:v>审查依据与使用边界</x:v>
      </x:c>
      <x:c r="F23" s="15" t="str">
        <x:v>审查依据与使用边界</x:v>
      </x:c>
      <x:c r="G23" s="15" t="str">
        <x:v>审查依据与使用边界</x:v>
      </x:c>
      <x:c r="H23" s="15" t="str">
        <x:v>审查依据与使用边界</x:v>
      </x:c>
      <x:c r="I23" s="15" t="str">
        <x:v>审查依据与使用边界</x:v>
      </x:c>
      <x:c r="J23" s="15" t="str">
        <x:v>审查依据与使用边界</x:v>
      </x:c>
      <x:c r="K23" s="15" t="str">
        <x:v>审查依据与使用边界</x:v>
      </x:c>
      <x:c r="L23" s="15" t="str">
        <x:v>审查依据与使用边界</x:v>
      </x:c>
    </x:row>
    <x:row r="24" ht="21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7" customHeight="1">
      <x:c r="A25" s="3" t="str">
        <x:v>来源：https://example.invalid/source/e04459bb0b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7" customHeight="1">
      <x:c r="A26" s="3" t="str">
        <x:v>规范：https://example.invalid/source/b12a1bc700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36" customHeight="1">
      <x:c r="A27" s="3" t="str">
        <x:v>Review快照读取：2026-10-12T19:35:55+08:00；汇总生成：2026-10-12T20:23:22+08:00；24条源记录，视图无筛选；22个相关规范表格 A1:J60 及完整 Tabs 正文。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36" customHeight="1">
      <x:c r="A28" s="3" t="str">
        <x:v>源码 main / 66a11b60e756454108a9bd396ed4db74b64f0c61。Vue仓库以模板/演示为主；未找到测试环境基础配置业务实现。代码位置可能是复用入口，不代表业务已存在。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36" customHeight="1">
      <x:c r="A29" s="3" t="str">
        <x:v>证据：42张飞书Review附件；6张本会话线上/本地走查。附件可能为设计/历史原型截图，均保留来源类型。未读取蓝湖稿。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36" customHeight="1">
      <x:c r="A30" s="3" t="str">
        <x:v>本地 SPA 与 BFF 构建成功；真实登录、完整接口、全部业务路由与移动端运行测试未完成。生产预览使用回环HTTP解决自签证书访问，未改生产认证配置。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36" customHeight="1">
      <x:c r="A31" s="3" t="str">
        <x:v>颜色是框架适配判断；设计完毕是设计状态，不是实现验收通过。规范检查中的“Core具备”只表示可复用能力。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36" customHeight="1">
      <x:c r="A32" s="3" t="str">
        <x:v>使用：修改清单 N-Q 列为执行填写区；负责人、开发状态、复测结果、版本需实际执行后更新。当前全部“待安排 / 未执行”。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36" customHeight="1">
      <x:c r="A33" s="3" t="str">
        <x:v>输出为只读审查与修改清单；未修改业务源码，未写回飞书。HTML报告可按优先级筛选并查看全部截图原图。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1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1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1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L10"/>
    <x:mergeCell ref="A12:L12"/>
    <x:mergeCell ref="A14:B15"/>
    <x:mergeCell ref="C14:E15"/>
    <x:mergeCell ref="F14:L15"/>
    <x:mergeCell ref="A16:B17"/>
    <x:mergeCell ref="C16:E17"/>
    <x:mergeCell ref="F16:L17"/>
    <x:mergeCell ref="A18:B19"/>
    <x:mergeCell ref="C18:E19"/>
    <x:mergeCell ref="F18:L19"/>
    <x:mergeCell ref="A20:B21"/>
    <x:mergeCell ref="C20:E21"/>
    <x:mergeCell ref="F20:L21"/>
    <x:mergeCell ref="A23:L23"/>
    <x:mergeCell ref="A25:L25"/>
    <x:mergeCell ref="A26:L26"/>
    <x:mergeCell ref="A27:L27"/>
    <x:mergeCell ref="A28:L28"/>
    <x:mergeCell ref="A29:L29"/>
    <x:mergeCell ref="A30:L30"/>
    <x:mergeCell ref="A31:L31"/>
    <x:mergeCell ref="A32:L32"/>
    <x:mergeCell ref="A33:L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46EFC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7.5" hidden="0" customWidth="1"/>
    <x:col min="2" max="2" width="10.25" hidden="0" customWidth="1"/>
    <x:col min="3" max="3" width="17.5" hidden="0" customWidth="1"/>
    <x:col min="4" max="4" width="17.5" hidden="0" customWidth="1"/>
    <x:col min="5" max="5" width="38.75" hidden="0" customWidth="1"/>
    <x:col min="6" max="6" width="45" hidden="0" customWidth="1"/>
    <x:col min="7" max="7" width="42.5" hidden="0" customWidth="1"/>
    <x:col min="8" max="8" width="15.630000114440918" hidden="0" customWidth="1"/>
    <x:col min="9" max="9" width="26.25" hidden="0" customWidth="1"/>
    <x:col min="10" max="10" width="42.5" hidden="0" customWidth="1"/>
    <x:col min="11" max="11" width="16.25" hidden="0" customWidth="1"/>
    <x:col min="12" max="12" width="33.75" hidden="0" customWidth="1"/>
    <x:col min="13" max="13" width="16.25" hidden="0" customWidth="1"/>
    <x:col min="14" max="14" width="15" hidden="0" customWidth="1"/>
    <x:col min="15" max="15" width="16.25" hidden="0" customWidth="1"/>
    <x:col min="16" max="16" width="16.25" hidden="0" customWidth="1"/>
    <x:col min="17" max="17" width="17.5" hidden="0" customWidth="1"/>
  </x:cols>
  <x:sheetData>
    <x:row r="1" ht="21" customHeight="1">
      <x:c r="A1" s="6" t="str">
        <x:v>前端 UI 修改清单｜30项</x:v>
      </x:c>
      <x:c r="B1" s="6" t="str">
        <x:v>UIChanges</x:v>
      </x:c>
      <x:c r="C1" s="6" t="str">
        <x:v>UIChanges</x:v>
      </x:c>
      <x:c r="D1" s="6" t="str">
        <x:v>UIChanges</x:v>
      </x:c>
      <x:c r="E1" s="6" t="str">
        <x:v>UIChanges</x:v>
      </x:c>
      <x:c r="F1" s="6" t="str">
        <x:v>UIChanges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1" customHeight="1">
      <x:c r="A2" s="6" t="str">
        <x:v>UIChanges</x:v>
      </x:c>
      <x:c r="B2" s="6" t="str">
        <x:v>UIChanges</x:v>
      </x:c>
      <x:c r="C2" s="6" t="str">
        <x:v>UIChanges</x:v>
      </x:c>
      <x:c r="D2" s="6" t="str">
        <x:v>UIChanges</x:v>
      </x:c>
      <x:c r="E2" s="6" t="str">
        <x:v>UIChanges</x:v>
      </x:c>
      <x:c r="F2" s="6" t="str">
        <x:v>UIChanges</x:v>
      </x:c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39" customHeight="1">
      <x:c r="A4" s="3" t="str">
        <x:v>建议优先级可筛选；原始优先级见Review对照。浅蓝 N-Q 为执行字段；状态需实际实施与复测后更新。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21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31.5" customHeight="1">
      <x:c r="A6" s="18" t="str">
        <x:v>编号</x:v>
      </x:c>
      <x:c r="B6" s="18" t="str">
        <x:v>建议优先级</x:v>
      </x:c>
      <x:c r="C6" s="18" t="str">
        <x:v>页面 / 模块</x:v>
      </x:c>
      <x:c r="D6" s="18" t="str">
        <x:v>审查结论</x:v>
      </x:c>
      <x:c r="E6" s="18" t="str">
        <x:v>观察与证据边界</x:v>
      </x:c>
      <x:c r="F6" s="18" t="str">
        <x:v>具体修改要求</x:v>
      </x:c>
      <x:c r="G6" s="18" t="str">
        <x:v>复测验收步骤</x:v>
      </x:c>
      <x:c r="H6" s="18" t="str">
        <x:v>Review引用</x:v>
      </x:c>
      <x:c r="I6" s="18" t="str">
        <x:v>规范依据</x:v>
      </x:c>
      <x:c r="J6" s="18" t="str">
        <x:v>代码位置 / 页面入口</x:v>
      </x:c>
      <x:c r="K6" s="18" t="str">
        <x:v>建议承接角色</x:v>
      </x:c>
      <x:c r="L6" s="18" t="str">
        <x:v>前置条件 / 决策</x:v>
      </x:c>
      <x:c r="M6" s="18" t="str">
        <x:v>截图证据ID</x:v>
      </x:c>
      <x:c r="N6" s="18" t="str">
        <x:v>负责人（填写）</x:v>
      </x:c>
      <x:c r="O6" s="18" t="str">
        <x:v>开发状态（填写）</x:v>
      </x:c>
      <x:c r="P6" s="18" t="str">
        <x:v>复测结果（填写）</x:v>
      </x:c>
      <x:c r="Q6" s="18" t="str">
        <x:v>版本 / 日期（填写）</x:v>
      </x:c>
    </x:row>
    <x:row r="7" ht="84" customHeight="1">
      <x:c r="A7" s="20" t="str">
        <x:v>UI01</x:v>
      </x:c>
      <x:c r="B7" s="20" t="str">
        <x:v>P0</x:v>
      </x:c>
      <x:c r="C7" s="20" t="str">
        <x:v>基础配置</x:v>
      </x:c>
      <x:c r="D7" s="20" t="str">
        <x:v>迁移待验证</x:v>
      </x:c>
      <x:c r="E7" s="20" t="str">
        <x:v>附件显示分类混在内容区；Vue 仓库未找到基础配置业务路由。</x:v>
      </x:c>
      <x:c r="F7" s="20" t="str">
        <x:v>主数据 / 计价底座移到页头一级 Tabs；子项使用内容区 Tabs；新增选项位于当前列表顶部。</x:v>
      </x:c>
      <x:c r="G7" s="20" t="str">
        <x:v>切换两级分类，确认列表与新增对象同步；分类切换不丢必要筛选；单一选中、层级和按钮归属一致。</x:v>
      </x:c>
      <x:c r="H7" s="20" t="str">
        <x:v>RV01</x:v>
      </x:c>
      <x:c r="I7" s="20" t="str">
        <x:v>§5.17 Tabs；§6.1 列表页</x:v>
      </x:c>
      <x:c r="J7" s="20" t="str">
        <x:v>测试环境 /pcs/system-config/master-data；目标业务组件未在当前仓库找到</x:v>
      </x:c>
      <x:c r="K7" s="20" t="str">
        <x:v>UI / 开发</x:v>
      </x:c>
      <x:c r="L7" s="20" t="str">
        <x:v>RV01 蓝湖稿仅有链接，尚未读取；以已读 Review + V1.2 实施前核对专项稿</x:v>
      </x:c>
      <x:c r="M7" s="20" t="str">
        <x:v>EV01</x:v>
      </x:c>
      <x:c r="N7" s="25" t="str"/>
      <x:c r="O7" s="25" t="str">
        <x:v>待安排</x:v>
      </x:c>
      <x:c r="P7" s="25" t="str">
        <x:v>未执行</x:v>
      </x:c>
      <x:c r="Q7" s="25" t="str"/>
    </x:row>
    <x:row r="8" ht="84" customHeight="1">
      <x:c r="A8" s="23" t="str">
        <x:v>UI02</x:v>
      </x:c>
      <x:c r="B8" s="23" t="str">
        <x:v>P1</x:v>
      </x:c>
      <x:c r="C8" s="23" t="str">
        <x:v>左侧菜单</x:v>
      </x:c>
      <x:c r="D8" s="23" t="str">
        <x:v>代码差异</x:v>
      </x:c>
      <x:c r="E8" s="23" t="str">
        <x:v>AppSider 设置 accordion=true；手动展开被限制为单组。</x:v>
      </x:c>
      <x:c r="F8" s="23" t="str">
        <x:v>区分手动展开与跨分类选择：手动允许多组；点击另一组子菜单时收起其他组；选中项祖先保持展开。</x:v>
      </x:c>
      <x:c r="G8" s="23" t="str">
        <x:v>手动展开两组；点击另一组子项；刷新当前子页；分别检查展开组、选中高亮及导航路径。</x:v>
      </x:c>
      <x:c r="H8" s="23" t="str">
        <x:v>RV02</x:v>
      </x:c>
      <x:c r="I8" s="23" t="str">
        <x:v>RV02 专项交互；§5 导航</x:v>
      </x:c>
      <x:c r="J8" s="23" t="str">
        <x:v>.\pcs-front\src\layout\components\AppSider.vue:13</x:v>
      </x:c>
      <x:c r="K8" s="23" t="str">
        <x:v>UI / 开发</x:v>
      </x:c>
      <x:c r="L8" s="23" t="str">
        <x:v>无；按已读规范实施</x:v>
      </x:c>
      <x:c r="M8" s="23" t="str">
        <x:v>EV02 / EV03</x:v>
      </x:c>
      <x:c r="N8" s="26" t="str"/>
      <x:c r="O8" s="26" t="str">
        <x:v>待安排</x:v>
      </x:c>
      <x:c r="P8" s="26" t="str">
        <x:v>未执行</x:v>
      </x:c>
      <x:c r="Q8" s="26" t="str"/>
    </x:row>
    <x:row r="9" ht="84" customHeight="1">
      <x:c r="A9" s="21" t="str">
        <x:v>UI03</x:v>
      </x:c>
      <x:c r="B9" s="21" t="str">
        <x:v>P1</x:v>
      </x:c>
      <x:c r="C9" s="21" t="str">
        <x:v>全局行内编辑</x:v>
      </x:c>
      <x:c r="D9" s="21" t="str">
        <x:v>需求缺口</x:v>
      </x:c>
      <x:c r="E9" s="21" t="str">
        <x:v>当前 Review 建议及问题为空；仅写 UI 产出行内编辑规范，状态修改中。</x:v>
      </x:c>
      <x:c r="F9" s="21" t="str">
        <x:v>补齐可编辑字段、进入方式、保存/取消、校验、并发和失败恢复；规范确认后再实现组件。</x:v>
      </x:c>
      <x:c r="G9" s="21" t="str">
        <x:v>UI 确认专项稿后建立用例；覆盖 Enter/Esc、失焦、失败保留值、权限及多行编辑策略。</x:v>
      </x:c>
      <x:c r="H9" s="21" t="str">
        <x:v>RV03</x:v>
      </x:c>
      <x:c r="I9" s="21" t="str">
        <x:v>RV03；§5 表单与反馈（不能代替专项规范）</x:v>
      </x:c>
      <x:c r="J9" s="21" t="str">
        <x:v>业务列表与行内编辑组件，当前无可核对专项稿</x:v>
      </x:c>
      <x:c r="K9" s="21" t="str">
        <x:v>UI / 产品 / 开发</x:v>
      </x:c>
      <x:c r="L9" s="21" t="str">
        <x:v>需 UI 补齐专项规范；当前不能认定某套编辑交互合规</x:v>
      </x:c>
      <x:c r="M9" s="21" t="str">
        <x:v>源文本或代码定位</x:v>
      </x:c>
      <x:c r="N9" s="26" t="str"/>
      <x:c r="O9" s="26" t="str">
        <x:v>待安排</x:v>
      </x:c>
      <x:c r="P9" s="26" t="str">
        <x:v>未执行</x:v>
      </x:c>
      <x:c r="Q9" s="26" t="str"/>
    </x:row>
    <x:row r="10" ht="84" customHeight="1">
      <x:c r="A10" s="23" t="str">
        <x:v>UI04</x:v>
      </x:c>
      <x:c r="B10" s="23" t="str">
        <x:v>P0</x:v>
      </x:c>
      <x:c r="C10" s="23" t="str">
        <x:v>全局文案</x:v>
      </x:c>
      <x:c r="D10" s="23" t="str">
        <x:v>原型差异</x:v>
      </x:c>
      <x:c r="E10" s="23" t="str">
        <x:v>原型混入流程说明、原型说明及冗余解释；需产品逐页确认去留。</x:v>
      </x:c>
      <x:c r="F10" s="23" t="str">
        <x:v>产品逐页删去展示无关的原型/流程说明；保留必需业务规则、字段帮助、错误反馈及风险提示。</x:v>
      </x:c>
      <x:c r="G10" s="23" t="str">
        <x:v>逐页检查页头、弹窗、空态、辅助文字；删文案后仍能理解必填、费用、状态及禁用原因。</x:v>
      </x:c>
      <x:c r="H10" s="23" t="str">
        <x:v>RV04</x:v>
      </x:c>
      <x:c r="I10" s="23" t="str">
        <x:v>§8 文案；RV04</x:v>
      </x:c>
      <x:c r="J10" s="23" t="str">
        <x:v>.\pcs-front\docs\other\SN318系统 · 产品、订单与合单配载交互原型_files\saved_resource.html</x:v>
      </x:c>
      <x:c r="K10" s="23" t="str">
        <x:v>产品 / 开发</x:v>
      </x:c>
      <x:c r="L10" s="23" t="str">
        <x:v>项目要求既有产品文案不得擅改；由产品给出最终文本</x:v>
      </x:c>
      <x:c r="M10" s="23" t="str">
        <x:v>源文本或代码定位</x:v>
      </x:c>
      <x:c r="N10" s="26" t="str"/>
      <x:c r="O10" s="26" t="str">
        <x:v>待安排</x:v>
      </x:c>
      <x:c r="P10" s="26" t="str">
        <x:v>未执行</x:v>
      </x:c>
      <x:c r="Q10" s="26" t="str"/>
    </x:row>
    <x:row r="11" ht="84" customHeight="1">
      <x:c r="A11" s="21" t="str">
        <x:v>UI05</x:v>
      </x:c>
      <x:c r="B11" s="21" t="str">
        <x:v>P0</x:v>
      </x:c>
      <x:c r="C11" s="21" t="str">
        <x:v>服务单元限制选择</x:v>
      </x:c>
      <x:c r="D11" s="21" t="str">
        <x:v>原型差异</x:v>
      </x:c>
      <x:c r="E11" s="21" t="str">
        <x:v>本地新建弹窗同时显示复选框、选中标签与已选计数。</x:v>
      </x:c>
      <x:c r="F11" s="21" t="str">
        <x:v>保留可勾选列表反馈，删除重复选中标签/数量汇总；保证勾选与实际提交值一致。</x:v>
      </x:c>
      <x:c r="G11" s="21" t="str">
        <x:v>勾选、取消、全选/部分选、重新进入，检查仅保留单套反馈且保存值不变。</x:v>
      </x:c>
      <x:c r="H11" s="21" t="str">
        <x:v>RV05</x:v>
      </x:c>
      <x:c r="I11" s="21" t="str">
        <x:v>RV05 专项建议；§5 多选</x:v>
      </x:c>
      <x:c r="J11" s="21" t="str">
        <x:v>.\pcs-front\docs\other\SN318系统 · 产品、订单与合单配载交互原型_files\saved_resource.html:17185</x:v>
      </x:c>
      <x:c r="K11" s="21" t="str">
        <x:v>UI / 开发</x:v>
      </x:c>
      <x:c r="L11" s="21" t="str">
        <x:v>无；按已读规范实施</x:v>
      </x:c>
      <x:c r="M11" s="21" t="str">
        <x:v>EV04 / EV05 / EV47</x:v>
      </x:c>
      <x:c r="N11" s="26" t="str"/>
      <x:c r="O11" s="26" t="str">
        <x:v>待安排</x:v>
      </x:c>
      <x:c r="P11" s="26" t="str">
        <x:v>未执行</x:v>
      </x:c>
      <x:c r="Q11" s="26" t="str"/>
    </x:row>
    <x:row r="12" ht="84" customHeight="1">
      <x:c r="A12" s="23" t="str">
        <x:v>UI06</x:v>
      </x:c>
      <x:c r="B12" s="23" t="str">
        <x:v>P1</x:v>
      </x:c>
      <x:c r="C12" s="23" t="str">
        <x:v>新增服务单元</x:v>
      </x:c>
      <x:c r="D12" s="23" t="str">
        <x:v>原型差异</x:v>
      </x:c>
      <x:c r="E12" s="23" t="str">
        <x:v>当前新建服务单元仍由长弹窗承载。</x:v>
      </x:c>
      <x:c r="F12" s="23" t="str">
        <x:v>使用独立完整表单页，复用 FormView；分组展示基础信息、限制与价卡相关内容，底部操作明确。</x:v>
      </x:c>
      <x:c r="G12" s="23" t="str">
        <x:v>由列表进入、填写长内容、校验、保存/取消、返回列表；表单页滚动与未保存提示均可用。</x:v>
      </x:c>
      <x:c r="H12" s="23" t="str">
        <x:v>RV06</x:v>
      </x:c>
      <x:c r="I12" s="23" t="str">
        <x:v>§6.4 表单页；RV06</x:v>
      </x:c>
      <x:c r="J12" s="23" t="str">
        <x:v>.\pcs-front\docs\other\SN318系统 · 产品、订单与合单配载交互原型_files\saved_resource.html:17185；复用 src/views/demo/FormView.vue</x:v>
      </x:c>
      <x:c r="K12" s="23" t="str">
        <x:v>开发</x:v>
      </x:c>
      <x:c r="L12" s="23" t="str">
        <x:v>无；按已读规范实施</x:v>
      </x:c>
      <x:c r="M12" s="23" t="str">
        <x:v>EV06 / EV07 / EV47</x:v>
      </x:c>
      <x:c r="N12" s="26" t="str"/>
      <x:c r="O12" s="26" t="str">
        <x:v>待安排</x:v>
      </x:c>
      <x:c r="P12" s="26" t="str">
        <x:v>未执行</x:v>
      </x:c>
      <x:c r="Q12" s="26" t="str"/>
    </x:row>
    <x:row r="13" ht="84" customHeight="1">
      <x:c r="A13" s="21" t="str">
        <x:v>UI07</x:v>
      </x:c>
      <x:c r="B13" s="21" t="str">
        <x:v>P0</x:v>
      </x:c>
      <x:c r="C13" s="21" t="str">
        <x:v>服务单元详情</x:v>
      </x:c>
      <x:c r="D13" s="21" t="str">
        <x:v>需求冲突</x:v>
      </x:c>
      <x:c r="E13" s="21" t="str">
        <x:v>RV07 要独立页面；RV22 要右侧 Drawer；本地原型实际为居中详情弹窗。</x:v>
      </x:c>
      <x:c r="F13" s="21" t="str">
        <x:v>先由产品/UI 确认唯一承载方案；建议列表快速查看用 Drawer，完整操作是否保留独立页需明确入口和职责。</x:v>
      </x:c>
      <x:c r="G13" s="21" t="str">
        <x:v>决策后点击详情：核对列表上下文、分组、长内容滚动、关闭返回、刷新/深链；不得同时做两套重复详情。</x:v>
      </x:c>
      <x:c r="H13" s="21" t="str">
        <x:v>RV07 / RV22</x:v>
      </x:c>
      <x:c r="I13" s="21" t="str">
        <x:v>§6.2 详情页 / §6.3 详情抽屉；RV07、RV22</x:v>
      </x:c>
      <x:c r="J13" s="21" t="str">
        <x:v>.\pcs-front\docs\other\SN318系统 · 产品、订单与合单配载交互原型_files\saved_resource.html:17026；未来 SU 业务路由未找到</x:v>
      </x:c>
      <x:c r="K13" s="21" t="str">
        <x:v>产品 / UI / 开发</x:v>
      </x:c>
      <x:c r="L13" s="21" t="str">
        <x:v>独立页与 Drawer 必须择定或明确不同用途；RV07 原记录角色/状态缺失</x:v>
      </x:c>
      <x:c r="M13" s="21" t="str">
        <x:v>EV08 / EV09 / EV38 / EV39 / EV40 / EV48</x:v>
      </x:c>
      <x:c r="N13" s="26" t="str"/>
      <x:c r="O13" s="26" t="str">
        <x:v>待安排</x:v>
      </x:c>
      <x:c r="P13" s="26" t="str">
        <x:v>未执行</x:v>
      </x:c>
      <x:c r="Q13" s="26" t="str"/>
    </x:row>
    <x:row r="14" ht="84" customHeight="1">
      <x:c r="A14" s="23" t="str">
        <x:v>UI08</x:v>
      </x:c>
      <x:c r="B14" s="23" t="str">
        <x:v>P1</x:v>
      </x:c>
      <x:c r="C14" s="23" t="str">
        <x:v>历史版本</x:v>
      </x:c>
      <x:c r="D14" s="23" t="str">
        <x:v>迁移待验证</x:v>
      </x:c>
      <x:c r="E14" s="23" t="str">
        <x:v>Review 标记设计完毕；附件给出 Drawer 草稿，未证明业务实现已上线。</x:v>
      </x:c>
      <x:c r="F14" s="23" t="str">
        <x:v>历史版本列表与详情放同一 Drawer 内切换；详情顶部提供返回；字段按组展示，保留列表上下文。</x:v>
      </x:c>
      <x:c r="G14" s="23" t="str">
        <x:v>查看版本列表→详情→返回；切换版本无多层弹窗；滚动、关闭、版本标识和原列表位置正确。</x:v>
      </x:c>
      <x:c r="H14" s="23" t="str">
        <x:v>RV08</x:v>
      </x:c>
      <x:c r="I14" s="23" t="str">
        <x:v>§5 Drawer；§6.3；RV08</x:v>
      </x:c>
      <x:c r="J14" s="23" t="str">
        <x:v>服务单元/价卡历史版本入口；ByDrawer 模板</x:v>
      </x:c>
      <x:c r="K14" s="23" t="str">
        <x:v>UI / 产品 / 开发</x:v>
      </x:c>
      <x:c r="L14" s="23" t="str">
        <x:v>无；按已读规范实施</x:v>
      </x:c>
      <x:c r="M14" s="23" t="str">
        <x:v>EV10 / EV11 / EV12 / EV13</x:v>
      </x:c>
      <x:c r="N14" s="26" t="str"/>
      <x:c r="O14" s="26" t="str">
        <x:v>待安排</x:v>
      </x:c>
      <x:c r="P14" s="26" t="str">
        <x:v>未执行</x:v>
      </x:c>
      <x:c r="Q14" s="26" t="str"/>
    </x:row>
    <x:row r="15" ht="84" customHeight="1">
      <x:c r="A15" s="21" t="str">
        <x:v>UI09</x:v>
      </x:c>
      <x:c r="B15" s="21" t="str">
        <x:v>P1</x:v>
      </x:c>
      <x:c r="C15" s="21" t="str">
        <x:v>禁用编排确认</x:v>
      </x:c>
      <x:c r="D15" s="21" t="str">
        <x:v>迁移待验证</x:v>
      </x:c>
      <x:c r="E15" s="21" t="str">
        <x:v>Review 附件使用信息语义图标，操作实际是警示确认。</x:v>
      </x:c>
      <x:c r="F15" s="21" t="str">
        <x:v>换 Warning 图标及警示语义；明确影响和取消/确认禁用动作。</x:v>
      </x:c>
      <x:c r="G15" s="21" t="str">
        <x:v>打开确认后检查 Warning、影响文案、按钮层级；取消不改变状态；确认及失败反馈另在测试环境执行。</x:v>
      </x:c>
      <x:c r="H15" s="21" t="str">
        <x:v>RV09</x:v>
      </x:c>
      <x:c r="I15" s="21" t="str">
        <x:v>§3.1 语义色；§3.7 图标；RV09</x:v>
      </x:c>
      <x:c r="J15" s="21" t="str">
        <x:v>服务单元禁用编排确认弹窗</x:v>
      </x:c>
      <x:c r="K15" s="21" t="str">
        <x:v>UI / 产品 / 开发</x:v>
      </x:c>
      <x:c r="L15" s="21" t="str">
        <x:v>无；按已读规范实施</x:v>
      </x:c>
      <x:c r="M15" s="21" t="str">
        <x:v>EV14</x:v>
      </x:c>
      <x:c r="N15" s="26" t="str"/>
      <x:c r="O15" s="26" t="str">
        <x:v>待安排</x:v>
      </x:c>
      <x:c r="P15" s="26" t="str">
        <x:v>未执行</x:v>
      </x:c>
      <x:c r="Q15" s="26" t="str"/>
    </x:row>
    <x:row r="16" ht="84" customHeight="1">
      <x:c r="A16" s="23" t="str">
        <x:v>UI10</x:v>
      </x:c>
      <x:c r="B16" s="23" t="str">
        <x:v>P2</x:v>
      </x:c>
      <x:c r="C16" s="23" t="str">
        <x:v>侧边栏视觉</x:v>
      </x:c>
      <x:c r="D16" s="23" t="str">
        <x:v>迁移待验证</x:v>
      </x:c>
      <x:c r="E16" s="23" t="str">
        <x:v>Review 指向框架已有样式；模板可复用，但业务菜单尚未接入。</x:v>
      </x:c>
      <x:c r="F16" s="23" t="str">
        <x:v>统一层级缩进、字重、选中范围、箭头、间距与一级图标，复用框架 Token。</x:v>
      </x:c>
      <x:c r="G16" s="23" t="str">
        <x:v>展开/折叠、长菜单名、选中/悬停、窄屏，按设计稿对照；不把 RV02 交互与视觉混作一个验收。</x:v>
      </x:c>
      <x:c r="H16" s="23" t="str">
        <x:v>RV10</x:v>
      </x:c>
      <x:c r="I16" s="23" t="str">
        <x:v>§3 基础；RV10</x:v>
      </x:c>
      <x:c r="J16" s="23" t="str">
        <x:v>.\pcs-front\src\layout\components\AppSider.vue:139</x:v>
      </x:c>
      <x:c r="K16" s="23" t="str">
        <x:v>开发</x:v>
      </x:c>
      <x:c r="L16" s="23" t="str">
        <x:v>无；按已读规范实施</x:v>
      </x:c>
      <x:c r="M16" s="23" t="str">
        <x:v>EV15 / EV16</x:v>
      </x:c>
      <x:c r="N16" s="26" t="str"/>
      <x:c r="O16" s="26" t="str">
        <x:v>待安排</x:v>
      </x:c>
      <x:c r="P16" s="26" t="str">
        <x:v>未执行</x:v>
      </x:c>
      <x:c r="Q16" s="26" t="str"/>
    </x:row>
    <x:row r="17" ht="84" customHeight="1">
      <x:c r="A17" s="21" t="str">
        <x:v>UI11</x:v>
      </x:c>
      <x:c r="B17" s="21" t="str">
        <x:v>P2</x:v>
      </x:c>
      <x:c r="C17" s="21" t="str">
        <x:v>顶部导航</x:v>
      </x:c>
      <x:c r="D17" s="21" t="str">
        <x:v>代码差异</x:v>
      </x:c>
      <x:c r="E17" s="21" t="str">
        <x:v>模板搜索框与通知入口展示但没有对应搜索/通知动作。</x:v>
      </x:c>
      <x:c r="F17" s="21" t="str">
        <x:v>复用框架顶部导航；隐藏未接功能入口；标题与页头职责明确，不重复页面标题。</x:v>
      </x:c>
      <x:c r="G17" s="21" t="str">
        <x:v>检查所有可见顶部入口均有可用动作；标题、用户菜单与展开侧栏功能正确。</x:v>
      </x:c>
      <x:c r="H17" s="21" t="str">
        <x:v>RV11</x:v>
      </x:c>
      <x:c r="I17" s="21" t="str">
        <x:v>RV11；§6 页面布局</x:v>
      </x:c>
      <x:c r="J17" s="21" t="str">
        <x:v>.\pcs-front\src\layout\components\AppHeader.vue:33</x:v>
      </x:c>
      <x:c r="K17" s="21" t="str">
        <x:v>开发</x:v>
      </x:c>
      <x:c r="L17" s="21" t="str">
        <x:v>无；按已读规范实施</x:v>
      </x:c>
      <x:c r="M17" s="21" t="str">
        <x:v>EV17 / EV18</x:v>
      </x:c>
      <x:c r="N17" s="26" t="str"/>
      <x:c r="O17" s="26" t="str">
        <x:v>待安排</x:v>
      </x:c>
      <x:c r="P17" s="26" t="str">
        <x:v>未执行</x:v>
      </x:c>
      <x:c r="Q17" s="26" t="str"/>
    </x:row>
    <x:row r="18" ht="84" customHeight="1">
      <x:c r="A18" s="23" t="str">
        <x:v>UI12</x:v>
      </x:c>
      <x:c r="B18" s="23" t="str">
        <x:v>P1</x:v>
      </x:c>
      <x:c r="C18" s="23" t="str">
        <x:v>所有页面页头</x:v>
      </x:c>
      <x:c r="D18" s="23" t="str">
        <x:v>迁移待验证</x:v>
      </x:c>
      <x:c r="E18" s="23" t="str">
        <x:v>框架 PageHeader 存在；业务页仍需迁移核对，Review 要避免标题重复。</x:v>
      </x:c>
      <x:c r="F18" s="23" t="str">
        <x:v>面包屑移至页头；唯一 H1；说明仅必要时显示且一行；操作区右对齐末行；不使用「」装饰说明。</x:v>
      </x:c>
      <x:c r="G18" s="23" t="str">
        <x:v>完整/标准/紧凑三种页头；长标题、副标题缺省、按钮较多、窄屏；检查对齐及重复标题。</x:v>
      </x:c>
      <x:c r="H18" s="23" t="str">
        <x:v>RV12</x:v>
      </x:c>
      <x:c r="I18" s="23" t="str">
        <x:v>§5 页头 N09/N10；RV12</x:v>
      </x:c>
      <x:c r="J18" s="23" t="str">
        <x:v>.\pcs-front\src\layout\components\PageHeader.vue:1</x:v>
      </x:c>
      <x:c r="K18" s="23" t="str">
        <x:v>产品 / 开发</x:v>
      </x:c>
      <x:c r="L18" s="23" t="str">
        <x:v>无；按已读规范实施</x:v>
      </x:c>
      <x:c r="M18" s="23" t="str">
        <x:v>EV19 / EV20</x:v>
      </x:c>
      <x:c r="N18" s="26" t="str"/>
      <x:c r="O18" s="26" t="str">
        <x:v>待安排</x:v>
      </x:c>
      <x:c r="P18" s="26" t="str">
        <x:v>未执行</x:v>
      </x:c>
      <x:c r="Q18" s="26" t="str"/>
    </x:row>
    <x:row r="19" ht="84" customHeight="1">
      <x:c r="A19" s="21" t="str">
        <x:v>UI13</x:v>
      </x:c>
      <x:c r="B19" s="21" t="str">
        <x:v>P2</x:v>
      </x:c>
      <x:c r="C19" s="21" t="str">
        <x:v>所有筛选区</x:v>
      </x:c>
      <x:c r="D19" s="21" t="str">
        <x:v>迁移待验证</x:v>
      </x:c>
      <x:c r="E19" s="21" t="str">
        <x:v>Review 强调实际字段数量，不机械照抄示例列数；业务查询联动未全测。</x:v>
      </x:c>
      <x:c r="F19" s="21" t="str">
        <x:v>复用筛选尺寸/间距与查询重置；保留真实字段；三项自然排列；下拉使用框架组件，操作有刷新反馈。</x:v>
      </x:c>
      <x:c r="G19" s="21" t="str">
        <x:v>3项/多项/长选项/窄屏；查询改变结果、重置清空全部条件；日期和多选也纳入重置与请求。</x:v>
      </x:c>
      <x:c r="H19" s="21" t="str">
        <x:v>RV13</x:v>
      </x:c>
      <x:c r="I19" s="21" t="str">
        <x:v>§6.1 列表页；RV13</x:v>
      </x:c>
      <x:c r="J19" s="21" t="str">
        <x:v>业务筛选组件；参考 src/views/demo/ListView.vue</x:v>
      </x:c>
      <x:c r="K19" s="21" t="str">
        <x:v>开发</x:v>
      </x:c>
      <x:c r="L19" s="21" t="str">
        <x:v>无；按已读规范实施</x:v>
      </x:c>
      <x:c r="M19" s="21" t="str">
        <x:v>EV21 / EV22</x:v>
      </x:c>
      <x:c r="N19" s="26" t="str"/>
      <x:c r="O19" s="26" t="str">
        <x:v>待安排</x:v>
      </x:c>
      <x:c r="P19" s="26" t="str">
        <x:v>未执行</x:v>
      </x:c>
      <x:c r="Q19" s="26" t="str"/>
    </x:row>
    <x:row r="20" ht="84" customHeight="1">
      <x:c r="A20" s="23" t="str">
        <x:v>UI14</x:v>
      </x:c>
      <x:c r="B20" s="23" t="str">
        <x:v>P2</x:v>
      </x:c>
      <x:c r="C20" s="23" t="str">
        <x:v>所有表格容器</x:v>
      </x:c>
      <x:c r="D20" s="23" t="str">
        <x:v>迁移待验证</x:v>
      </x:c>
      <x:c r="E20" s="23" t="str">
        <x:v>已有 ByTable 框架可复用，业务表格未在源码中逐一落地。</x:v>
      </x:c>
      <x:c r="F20" s="23" t="str">
        <x:v>统一容器 padding、表头/行高、背景、固定列、长内容及操作区；隐藏无用工具栏仍保留间距。</x:v>
      </x:c>
      <x:c r="G20" s="23" t="str">
        <x:v>无工具栏、有工具栏、长表头、长行内容、横向滚动；检查间距和固定区无错位。</x:v>
      </x:c>
      <x:c r="H20" s="23" t="str">
        <x:v>RV14</x:v>
      </x:c>
      <x:c r="I20" s="23" t="str">
        <x:v>§5 Table N11；RV14</x:v>
      </x:c>
      <x:c r="J20" s="23" t="str">
        <x:v>ByTable；参考 src/views/components/sections/TableSection.vue</x:v>
      </x:c>
      <x:c r="K20" s="23" t="str">
        <x:v>开发</x:v>
      </x:c>
      <x:c r="L20" s="23" t="str">
        <x:v>无；按已读规范实施</x:v>
      </x:c>
      <x:c r="M20" s="23" t="str">
        <x:v>EV23 / EV24</x:v>
      </x:c>
      <x:c r="N20" s="26" t="str"/>
      <x:c r="O20" s="26" t="str">
        <x:v>待安排</x:v>
      </x:c>
      <x:c r="P20" s="26" t="str">
        <x:v>未执行</x:v>
      </x:c>
      <x:c r="Q20" s="26" t="str"/>
    </x:row>
    <x:row r="21" ht="84" customHeight="1">
      <x:c r="A21" s="21" t="str">
        <x:v>UI15</x:v>
      </x:c>
      <x:c r="B21" s="21" t="str">
        <x:v>P1</x:v>
      </x:c>
      <x:c r="C21" s="21" t="str">
        <x:v>所有分页</x:v>
      </x:c>
      <x:c r="D21" s="21" t="str">
        <x:v>迁移待验证</x:v>
      </x:c>
      <x:c r="E21" s="21" t="str">
        <x:v>Review 要求复用分页；总数、分页与接口对应未执行。</x:v>
      </x:c>
      <x:c r="F21" s="21" t="str">
        <x:v>统一 total、当前页、页容量及跳页；可按业务配置显示，禁止另造视觉样式。</x:v>
      </x:c>
      <x:c r="G21" s="21" t="str">
        <x:v>页容量变化回到合法页；删除/筛选后总数和页码一致；末页、空列表和大总数不溢出。</x:v>
      </x:c>
      <x:c r="H21" s="21" t="str">
        <x:v>RV15</x:v>
      </x:c>
      <x:c r="I21" s="21" t="str">
        <x:v>§5 Table；RV15</x:v>
      </x:c>
      <x:c r="J21" s="21" t="str">
        <x:v>ByTable 分页配置；业务列表 composable</x:v>
      </x:c>
      <x:c r="K21" s="21" t="str">
        <x:v>开发</x:v>
      </x:c>
      <x:c r="L21" s="21" t="str">
        <x:v>无；按已读规范实施</x:v>
      </x:c>
      <x:c r="M21" s="21" t="str">
        <x:v>EV25 / EV26</x:v>
      </x:c>
      <x:c r="N21" s="26" t="str"/>
      <x:c r="O21" s="26" t="str">
        <x:v>待安排</x:v>
      </x:c>
      <x:c r="P21" s="26" t="str">
        <x:v>未执行</x:v>
      </x:c>
      <x:c r="Q21" s="26" t="str"/>
    </x:row>
    <x:row r="22" ht="84" customHeight="1">
      <x:c r="A22" s="23" t="str">
        <x:v>UI16</x:v>
      </x:c>
      <x:c r="B22" s="23" t="str">
        <x:v>P1</x:v>
      </x:c>
      <x:c r="C22" s="23" t="str">
        <x:v>表格固定列</x:v>
      </x:c>
      <x:c r="D22" s="23" t="str">
        <x:v>迁移待验证</x:v>
      </x:c>
      <x:c r="E22" s="23" t="str">
        <x:v>原型表格字段多，需防止核心字段与操作横向滚动丢失。</x:v>
      </x:c>
      <x:c r="F22" s="23" t="str">
        <x:v>仅固定左侧选择框/必要标识及右侧操作；保留分隔线/阴影，避免大面积冻结。</x:v>
      </x:c>
      <x:c r="G22" s="23" t="str">
        <x:v>横向滚动到两端与中间；核心标识、操作可达；固定列悬停/选中背景与滚动区一致。</x:v>
      </x:c>
      <x:c r="H22" s="23" t="str">
        <x:v>RV16</x:v>
      </x:c>
      <x:c r="I22" s="23" t="str">
        <x:v>N11 Table；RV16</x:v>
      </x:c>
      <x:c r="J22" s="23" t="str">
        <x:v>.\pcs-front\src\views\demo\config\listConfig.ts:49</x:v>
      </x:c>
      <x:c r="K22" s="23" t="str">
        <x:v>开发</x:v>
      </x:c>
      <x:c r="L22" s="23" t="str">
        <x:v>无；按已读规范实施</x:v>
      </x:c>
      <x:c r="M22" s="23" t="str">
        <x:v>EV27 / EV28</x:v>
      </x:c>
      <x:c r="N22" s="26" t="str"/>
      <x:c r="O22" s="26" t="str">
        <x:v>待安排</x:v>
      </x:c>
      <x:c r="P22" s="26" t="str">
        <x:v>未执行</x:v>
      </x:c>
      <x:c r="Q22" s="26" t="str"/>
    </x:row>
    <x:row r="23" ht="84" customHeight="1">
      <x:c r="A23" s="21" t="str">
        <x:v>UI17</x:v>
      </x:c>
      <x:c r="B23" s="21" t="str">
        <x:v>P1</x:v>
      </x:c>
      <x:c r="C23" s="21" t="str">
        <x:v>批量操作栏</x:v>
      </x:c>
      <x:c r="D23" s="21" t="str">
        <x:v>框架能力可复用</x:v>
      </x:c>
      <x:c r="E23" s="21" t="str">
        <x:v>ListBatchBar 已在普通流顶部提供按选中显示的能力；业务迁移未验证。</x:v>
      </x:c>
      <x:c r="F23" s="21" t="str">
        <x:v>使用表格顶部批量栏；选中&gt;=1显示，清空后恢复默认工具栏；禁止底部浮层遮挡列表。</x:v>
      </x:c>
      <x:c r="G23" s="21" t="str">
        <x:v>0/1/多条/部分全选/取消全选；分页策略明确；批量栏不遮挡内容和分页。</x:v>
      </x:c>
      <x:c r="H23" s="21" t="str">
        <x:v>RV17</x:v>
      </x:c>
      <x:c r="I23" s="21" t="str">
        <x:v>N14 选择状态；RV17</x:v>
      </x:c>
      <x:c r="J23" s="21" t="str">
        <x:v>.\pcs-front\src\components\biz\ListBatchBar.biz.vue:1</x:v>
      </x:c>
      <x:c r="K23" s="21" t="str">
        <x:v>开发</x:v>
      </x:c>
      <x:c r="L23" s="21" t="str">
        <x:v>无；按已读规范实施</x:v>
      </x:c>
      <x:c r="M23" s="21" t="str">
        <x:v>EV29 / EV30</x:v>
      </x:c>
      <x:c r="N23" s="26" t="str"/>
      <x:c r="O23" s="26" t="str">
        <x:v>待安排</x:v>
      </x:c>
      <x:c r="P23" s="26" t="str">
        <x:v>未执行</x:v>
      </x:c>
      <x:c r="Q23" s="26" t="str"/>
    </x:row>
    <x:row r="24" ht="84" customHeight="1">
      <x:c r="A24" s="23" t="str">
        <x:v>UI18</x:v>
      </x:c>
      <x:c r="B24" s="23" t="str">
        <x:v>P2</x:v>
      </x:c>
      <x:c r="C24" s="23" t="str">
        <x:v>表格行与 Tag</x:v>
      </x:c>
      <x:c r="D24" s="23" t="str">
        <x:v>迁移待验证</x:v>
      </x:c>
      <x:c r="E24" s="23" t="str">
        <x:v>Review 要求行高48与整行选中；图片不能证明实时所有状态一致。</x:v>
      </x:c>
      <x:c r="F24" s="23" t="str">
        <x:v>行高48；表头500字重；默认白色、hover #EBF3FD、选中 #D1E4FB，覆盖固定单元格；统一 Tag/复选框。</x:v>
      </x:c>
      <x:c r="G24" s="23" t="str">
        <x:v>普通、hover、选中、部分全选、固定列、长文本；实测行高、字重与颜色。</x:v>
      </x:c>
      <x:c r="H24" s="23" t="str">
        <x:v>RV18</x:v>
      </x:c>
      <x:c r="I24" s="23" t="str">
        <x:v>N11/N13；RV18</x:v>
      </x:c>
      <x:c r="J24" s="23" t="str">
        <x:v>ByTable / 业务列配置与状态 Tag</x:v>
      </x:c>
      <x:c r="K24" s="23" t="str">
        <x:v>开发</x:v>
      </x:c>
      <x:c r="L24" s="23" t="str">
        <x:v>无；按已读规范实施</x:v>
      </x:c>
      <x:c r="M24" s="23" t="str">
        <x:v>EV31 / EV32</x:v>
      </x:c>
      <x:c r="N24" s="26" t="str"/>
      <x:c r="O24" s="26" t="str">
        <x:v>待安排</x:v>
      </x:c>
      <x:c r="P24" s="26" t="str">
        <x:v>未执行</x:v>
      </x:c>
      <x:c r="Q24" s="26" t="str"/>
    </x:row>
    <x:row r="25" ht="84" customHeight="1">
      <x:c r="A25" s="21" t="str">
        <x:v>UI19</x:v>
      </x:c>
      <x:c r="B25" s="21" t="str">
        <x:v>P0</x:v>
      </x:c>
      <x:c r="C25" s="21" t="str">
        <x:v>列表编码链接</x:v>
      </x:c>
      <x:c r="D25" s="21" t="str">
        <x:v>待产品决策</x:v>
      </x:c>
      <x:c r="E25" s="21" t="str">
        <x:v>Review 指出编码蓝色可点击外观却无动作，容易误导。</x:v>
      </x:c>
      <x:c r="F25" s="21" t="str">
        <x:v>产品决定编码是否进入详情；有详情则真链接并支持键盘，无动作则改普通文字。</x:v>
      </x:c>
      <x:c r="G25" s="21" t="str">
        <x:v>逐个蓝色编码点击/键盘 Enter；有路径可返回列表；无动作不出现链接视觉或 tabindex。</x:v>
      </x:c>
      <x:c r="H25" s="21" t="str">
        <x:v>RV19</x:v>
      </x:c>
      <x:c r="I25" s="21" t="str">
        <x:v>§8 交互文案；RV19</x:v>
      </x:c>
      <x:c r="J25" s="21" t="str">
        <x:v>各业务表格编码列渲染</x:v>
      </x:c>
      <x:c r="K25" s="21" t="str">
        <x:v>产品 / 开发</x:v>
      </x:c>
      <x:c r="L25" s="21" t="str">
        <x:v>需产品给出编码点击规则；不擅自给每个编码新增详情路由</x:v>
      </x:c>
      <x:c r="M25" s="21" t="str">
        <x:v>EV33</x:v>
      </x:c>
      <x:c r="N25" s="26" t="str"/>
      <x:c r="O25" s="26" t="str">
        <x:v>待安排</x:v>
      </x:c>
      <x:c r="P25" s="26" t="str">
        <x:v>未执行</x:v>
      </x:c>
      <x:c r="Q25" s="26" t="str"/>
    </x:row>
    <x:row r="26" ht="84" customHeight="1">
      <x:c r="A26" s="23" t="str">
        <x:v>UI20</x:v>
      </x:c>
      <x:c r="B26" s="23" t="str">
        <x:v>P0</x:v>
      </x:c>
      <x:c r="C26" s="23" t="str">
        <x:v>AI 建档解析</x:v>
      </x:c>
      <x:c r="D26" s="23" t="str">
        <x:v>迁移待验证</x:v>
      </x:c>
      <x:c r="E26" s="23" t="str">
        <x:v>Review 附件显示长向导弹窗；当前仓库没有业务 AI 建档页面。</x:v>
      </x:c>
      <x:c r="F26" s="23" t="str">
        <x:v>迁至独立表单页：上传、解析、人工确认、保存明确分步；桌面内容区24px；保留失败恢复和文件说明。</x:v>
      </x:c>
      <x:c r="G26" s="23" t="str">
        <x:v>完整路径及解析失败/重试/返回上步/未保存离开；验证 AI 结果需确认后才落业务。</x:v>
      </x:c>
      <x:c r="H26" s="23" t="str">
        <x:v>RV20</x:v>
      </x:c>
      <x:c r="I26" s="23" t="str">
        <x:v>§6.4 / §7 反馈；RV20</x:v>
      </x:c>
      <x:c r="J26" s="23" t="str">
        <x:v>服务单元 AI 文档建档入口，目标业务源码待定位</x:v>
      </x:c>
      <x:c r="K26" s="23" t="str">
        <x:v>产品 / 开发</x:v>
      </x:c>
      <x:c r="L26" s="23" t="str">
        <x:v>无；按已读规范实施</x:v>
      </x:c>
      <x:c r="M26" s="23" t="str">
        <x:v>EV34 / EV35 / EV36 / EV37</x:v>
      </x:c>
      <x:c r="N26" s="26" t="str"/>
      <x:c r="O26" s="26" t="str">
        <x:v>待安排</x:v>
      </x:c>
      <x:c r="P26" s="26" t="str">
        <x:v>未执行</x:v>
      </x:c>
      <x:c r="Q26" s="26" t="str"/>
    </x:row>
    <x:row r="27" ht="84" customHeight="1">
      <x:c r="A27" s="21" t="str">
        <x:v>UI21</x:v>
      </x:c>
      <x:c r="B27" s="21" t="str">
        <x:v>P1</x:v>
      </x:c>
      <x:c r="C27" s="21" t="str">
        <x:v>刷新与路由</x:v>
      </x:c>
      <x:c r="D27" s="21" t="str">
        <x:v>待运行验证</x:v>
      </x:c>
      <x:c r="E27" s="21" t="str">
        <x:v>Review 指出刷新后意外跳转；当前仅可检查模板，真实登录态业务路由未全测。</x:v>
      </x:c>
      <x:c r="F27" s="21" t="str">
        <x:v>保持当前合法路由和必要状态；仅在产品约定的无权限、过期等条件跳转。</x:v>
      </x:c>
      <x:c r="G27" s="21" t="str">
        <x:v>已登录列表/详情/子 Tab 刷新；前进后退与深链；筛选分页恢复策略及无权限路径均核对。</x:v>
      </x:c>
      <x:c r="H27" s="21" t="str">
        <x:v>RV21</x:v>
      </x:c>
      <x:c r="I27" s="21" t="str">
        <x:v>RV21；§6 页面导航</x:v>
      </x:c>
      <x:c r="J27" s="21" t="str">
        <x:v>src/router；业务列表 query 与详情路由</x:v>
      </x:c>
      <x:c r="K27" s="21" t="str">
        <x:v>开发</x:v>
      </x:c>
      <x:c r="L27" s="21" t="str">
        <x:v>需明确哪些筛选/Tab/草稿状态应持久化；不一概保存全部字段</x:v>
      </x:c>
      <x:c r="M27" s="21" t="str">
        <x:v>源文本或代码定位</x:v>
      </x:c>
      <x:c r="N27" s="26" t="str"/>
      <x:c r="O27" s="26" t="str">
        <x:v>待安排</x:v>
      </x:c>
      <x:c r="P27" s="26" t="str">
        <x:v>未执行</x:v>
      </x:c>
      <x:c r="Q27" s="26" t="str"/>
    </x:row>
    <x:row r="28" ht="84" customHeight="1">
      <x:c r="A28" s="23" t="str">
        <x:v>UI22</x:v>
      </x:c>
      <x:c r="B28" s="23" t="str">
        <x:v>P0</x:v>
      </x:c>
      <x:c r="C28" s="23" t="str">
        <x:v>服务单元页头操作</x:v>
      </x:c>
      <x:c r="D28" s="23" t="str">
        <x:v>迁移待验证</x:v>
      </x:c>
      <x:c r="E28" s="23" t="str">
        <x:v>Review 附件显示按钮层级与重复列表标题；需与当前真实业务界面核对。</x:v>
      </x:c>
      <x:c r="F28" s="23" t="str">
        <x:v>AI 文档建档与新增服务单元放页头右侧；删除重复“服务单元列表”卡片标题。</x:v>
      </x:c>
      <x:c r="G28" s="23" t="str">
        <x:v>按钮层级与标题唯一；长标题/多按钮/窄屏不遮挡；进入正确新建及 AI 流程。</x:v>
      </x:c>
      <x:c r="H28" s="23" t="str">
        <x:v>RV23</x:v>
      </x:c>
      <x:c r="I28" s="23" t="str">
        <x:v>N09 页头；RV23</x:v>
      </x:c>
      <x:c r="J28" s="23" t="str">
        <x:v>服务单元业务列表页；PageHeader actions 插槽</x:v>
      </x:c>
      <x:c r="K28" s="23" t="str">
        <x:v>开发</x:v>
      </x:c>
      <x:c r="L28" s="23" t="str">
        <x:v>该按钮规则仅针对服务单元；RV01 新增选项仍属于当前列表顶部</x:v>
      </x:c>
      <x:c r="M28" s="23" t="str">
        <x:v>EV41 / EV42</x:v>
      </x:c>
      <x:c r="N28" s="26" t="str"/>
      <x:c r="O28" s="26" t="str">
        <x:v>待安排</x:v>
      </x:c>
      <x:c r="P28" s="26" t="str">
        <x:v>未执行</x:v>
      </x:c>
      <x:c r="Q28" s="26" t="str"/>
    </x:row>
    <x:row r="29" ht="84" customHeight="1">
      <x:c r="A29" s="21" t="str">
        <x:v>UI23</x:v>
      </x:c>
      <x:c r="B29" s="21" t="str">
        <x:v>P1</x:v>
      </x:c>
      <x:c r="C29" s="21" t="str">
        <x:v>基础配置筛选空态</x:v>
      </x:c>
      <x:c r="D29" s="21" t="str">
        <x:v>线上观察</x:v>
      </x:c>
      <x:c r="E29" s="21" t="str">
        <x:v>本会话筛选国家无结果时显示普通无数据空态及新增引导。</x:v>
      </x:c>
      <x:c r="F29" s="21" t="str">
        <x:v>区分初始无数据与筛选无结果；后者显示“未找到相关结果，请调整筛选条件”及清空筛选。</x:v>
      </x:c>
      <x:c r="G29" s="21" t="str">
        <x:v>分别验证初始空库、筛选无结果、加载中、失败；清空筛选恢复原列表，不能引导误新增。</x:v>
      </x:c>
      <x:c r="H29" s="21" t="str">
        <x:v>补充</x:v>
      </x:c>
      <x:c r="I29" s="21" t="str">
        <x:v>§7.2 空态 N21</x:v>
      </x:c>
      <x:c r="J29" s="21" t="str">
        <x:v>测试环境 /pcs/system-config/master-data 国家列表；当前仓库缺少对应源码</x:v>
      </x:c>
      <x:c r="K29" s="21" t="str">
        <x:v>开发</x:v>
      </x:c>
      <x:c r="L29" s="21" t="str">
        <x:v>无；按已读规范实施</x:v>
      </x:c>
      <x:c r="M29" s="21" t="str">
        <x:v>EV43</x:v>
      </x:c>
      <x:c r="N29" s="26" t="str"/>
      <x:c r="O29" s="26" t="str">
        <x:v>待安排</x:v>
      </x:c>
      <x:c r="P29" s="26" t="str">
        <x:v>未执行</x:v>
      </x:c>
      <x:c r="Q29" s="26" t="str"/>
    </x:row>
    <x:row r="30" ht="84" customHeight="1">
      <x:c r="A30" s="23" t="str">
        <x:v>UI24</x:v>
      </x:c>
      <x:c r="B30" s="23" t="str">
        <x:v>P1</x:v>
      </x:c>
      <x:c r="C30" s="23" t="str">
        <x:v>国家新增/编辑字段</x:v>
      </x:c>
      <x:c r="D30" s="23" t="str">
        <x:v>线上观察</x:v>
      </x:c>
      <x:c r="E30" s="23" t="str">
        <x:v>本会话新增国家表单部分输入框缺少稳定可访问名称。</x:v>
      </x:c>
      <x:c r="F30" s="23" t="str">
        <x:v>为真实字段标签建立 for/id 或 aria-labelledby 关联；必填和错误通过同一字段定位，不依赖 placeholder。</x:v>
      </x:c>
      <x:c r="G30" s="23" t="str">
        <x:v>检查每个控件的可访问名称；点标签聚焦；键盘导航；错误指向字段；不同语言下名称不为空。</x:v>
      </x:c>
      <x:c r="H30" s="23" t="str">
        <x:v>补充</x:v>
      </x:c>
      <x:c r="I30" s="23" t="str">
        <x:v>§5 表单；补充可用性检查（关联标签验收）</x:v>
      </x:c>
      <x:c r="J30" s="23" t="str">
        <x:v>测试环境国家表单；目标 MasterDataWorkspace 未在仓库找到</x:v>
      </x:c>
      <x:c r="K30" s="23" t="str">
        <x:v>开发</x:v>
      </x:c>
      <x:c r="L30" s="23" t="str">
        <x:v>无；按已读规范实施</x:v>
      </x:c>
      <x:c r="M30" s="23" t="str">
        <x:v>EV44</x:v>
      </x:c>
      <x:c r="N30" s="26" t="str"/>
      <x:c r="O30" s="26" t="str">
        <x:v>待安排</x:v>
      </x:c>
      <x:c r="P30" s="26" t="str">
        <x:v>未执行</x:v>
      </x:c>
      <x:c r="Q30" s="26" t="str"/>
    </x:row>
    <x:row r="31" ht="84" customHeight="1">
      <x:c r="A31" s="21" t="str">
        <x:v>UI25</x:v>
      </x:c>
      <x:c r="B31" s="21" t="str">
        <x:v>P2</x:v>
      </x:c>
      <x:c r="C31" s="21" t="str">
        <x:v>示例表格操作列</x:v>
      </x:c>
      <x:c r="D31" s="21" t="str">
        <x:v>代码差异</x:v>
      </x:c>
      <x:c r="E31" s="21" t="str">
        <x:v>listConfig.ts 操作列 align=center，而规范将操作归为左对齐。</x:v>
      </x:c>
      <x:c r="F31" s="21" t="str">
        <x:v>操作列及表头左对齐；多操作间距16px；沿用固定右侧配置。</x:v>
      </x:c>
      <x:c r="G31" s="21" t="str">
        <x:v>窄/宽操作列、1/多操作、表头与文本起始位置；数值列仍右对齐。</x:v>
      </x:c>
      <x:c r="H31" s="21" t="str">
        <x:v>补充</x:v>
      </x:c>
      <x:c r="I31" s="21" t="str">
        <x:v>N12 对齐；N11 操作间距</x:v>
      </x:c>
      <x:c r="J31" s="21" t="str">
        <x:v>.\pcs-front\src\views\demo\config\listConfig.ts:53</x:v>
      </x:c>
      <x:c r="K31" s="21" t="str">
        <x:v>开发</x:v>
      </x:c>
      <x:c r="L31" s="21" t="str">
        <x:v>无；按已读规范实施</x:v>
      </x:c>
      <x:c r="M31" s="21" t="str">
        <x:v>源文本或代码定位</x:v>
      </x:c>
      <x:c r="N31" s="26" t="str"/>
      <x:c r="O31" s="26" t="str">
        <x:v>待安排</x:v>
      </x:c>
      <x:c r="P31" s="26" t="str">
        <x:v>未执行</x:v>
      </x:c>
      <x:c r="Q31" s="26" t="str"/>
    </x:row>
    <x:row r="32" ht="84" customHeight="1">
      <x:c r="A32" s="23" t="str">
        <x:v>UI26</x:v>
      </x:c>
      <x:c r="B32" s="23" t="str">
        <x:v>P1</x:v>
      </x:c>
      <x:c r="C32" s="23" t="str">
        <x:v>金额精度</x:v>
      </x:c>
      <x:c r="D32" s="23" t="str">
        <x:v>契约待核对</x:v>
      </x:c>
      <x:c r="E32" s="23" t="str">
        <x:v>示例金额输入 precision=2；V1.2 数值展示规定金额4位。输入精度与展示规则不能直接视为同一契约。</x:v>
      </x:c>
      <x:c r="F32" s="23" t="str">
        <x:v>产品明确输入、存储、计算、展示精度；展示按4位及币种/千分位；如允许4位输入，再调整字段与接口。</x:v>
      </x:c>
      <x:c r="G32" s="23" t="str">
        <x:v>测试1.2345、0、负值、极值、币种切换；核对输入/保存/展示不意外舍入。</x:v>
      </x:c>
      <x:c r="H32" s="23" t="str">
        <x:v>补充</x:v>
      </x:c>
      <x:c r="I32" s="23" t="str">
        <x:v>§9 数值格式 N22</x:v>
      </x:c>
      <x:c r="J32" s="23" t="str">
        <x:v>.\pcs-front\src\views\demo\components\FormFields.biz.vue:50</x:v>
      </x:c>
      <x:c r="K32" s="23" t="str">
        <x:v>产品 / 开发</x:v>
      </x:c>
      <x:c r="L32" s="23" t="str">
        <x:v>需确认金额输入与后端契约；不能仅把 precision=2 改4即认定完成</x:v>
      </x:c>
      <x:c r="M32" s="23" t="str">
        <x:v>源文本或代码定位</x:v>
      </x:c>
      <x:c r="N32" s="26" t="str"/>
      <x:c r="O32" s="26" t="str">
        <x:v>待安排</x:v>
      </x:c>
      <x:c r="P32" s="26" t="str">
        <x:v>未执行</x:v>
      </x:c>
      <x:c r="Q32" s="26" t="str"/>
    </x:row>
    <x:row r="33" ht="84" customHeight="1">
      <x:c r="A33" s="21" t="str">
        <x:v>UI27</x:v>
      </x:c>
      <x:c r="B33" s="21" t="str">
        <x:v>P1</x:v>
      </x:c>
      <x:c r="C33" s="21" t="str">
        <x:v>Tabs 键盘与语义</x:v>
      </x:c>
      <x:c r="D33" s="21" t="str">
        <x:v>规范补充检查</x:v>
      </x:c>
      <x:c r="E33" s="21" t="str">
        <x:v>新增 Tabs 已进入 V1.2；业务实现未找到，不能仅凭截图判定键盘能力。</x:v>
      </x:c>
      <x:c r="F33" s="21" t="str">
        <x:v>两级 Tab 使用 tablist/tab/tabpanel、aria-selected 与关联 ID；支持方向键/Home/End，始终单选并即时切内容。</x:v>
      </x:c>
      <x:c r="G33" s="21" t="str">
        <x:v>Tab 聚焦、方向键、Home/End；读屏识别层级与所控面板；未选面板不参与交互。</x:v>
      </x:c>
      <x:c r="H33" s="21" t="str">
        <x:v>RV01 衍生</x:v>
      </x:c>
      <x:c r="I33" s="21" t="str">
        <x:v>§5.17 Tabs 最新正文</x:v>
      </x:c>
      <x:c r="J33" s="21" t="str">
        <x:v>基础配置新增 Tab 组件；目标业务实现待定位</x:v>
      </x:c>
      <x:c r="K33" s="21" t="str">
        <x:v>UI / 开发</x:v>
      </x:c>
      <x:c r="L33" s="21" t="str">
        <x:v>无；按已读规范实施</x:v>
      </x:c>
      <x:c r="M33" s="21" t="str">
        <x:v>源文本或代码定位</x:v>
      </x:c>
      <x:c r="N33" s="26" t="str"/>
      <x:c r="O33" s="26" t="str">
        <x:v>待安排</x:v>
      </x:c>
      <x:c r="P33" s="26" t="str">
        <x:v>未执行</x:v>
      </x:c>
      <x:c r="Q33" s="26" t="str"/>
    </x:row>
    <x:row r="34" ht="84" customHeight="1">
      <x:c r="A34" s="23" t="str">
        <x:v>UI28</x:v>
      </x:c>
      <x:c r="B34" s="23" t="str">
        <x:v>P2</x:v>
      </x:c>
      <x:c r="C34" s="23" t="str">
        <x:v>Drawer 圆角</x:v>
      </x:c>
      <x:c r="D34" s="23" t="str">
        <x:v>规范待决</x:v>
      </x:c>
      <x:c r="E34" s="23" t="str">
        <x:v>V1.2 基础圆角写 Drawer16px；Core tokens 注释写“直角贴边”，仅凭注释不能判定实际渲染值。</x:v>
      </x:c>
      <x:c r="F34" s="23" t="str">
        <x:v>UI/核心层确认靠边抽屉是否例外；更新规范或统一组件。先测 ByDrawer 的实际计算样式，禁止改 node_modules 交付。</x:v>
      </x:c>
      <x:c r="G34" s="23" t="str">
        <x:v>打开真实 ByDrawer，读计算圆角及靠边边角；确认产品选定规则；如改核心层须在包仓库发布后升级。</x:v>
      </x:c>
      <x:c r="H34" s="23" t="str">
        <x:v>补充</x:v>
      </x:c>
      <x:c r="I34" s="23" t="str">
        <x:v>§3.4 圆角 N07；§5 Drawer</x:v>
      </x:c>
      <x:c r="J34" s="23" t="str">
        <x:v>.\pcs-front\node_modules\@baiyun\template-core\dist\styles\tokens.css:160</x:v>
      </x:c>
      <x:c r="K34" s="23" t="str">
        <x:v>UI / 核心层开发</x:v>
      </x:c>
      <x:c r="L34" s="23" t="str">
        <x:v>基础16px 与贴边直角规则需明确适用范围</x:v>
      </x:c>
      <x:c r="M34" s="23" t="str">
        <x:v>源文本或代码定位</x:v>
      </x:c>
      <x:c r="N34" s="26" t="str"/>
      <x:c r="O34" s="26" t="str">
        <x:v>待安排</x:v>
      </x:c>
      <x:c r="P34" s="26" t="str">
        <x:v>未执行</x:v>
      </x:c>
      <x:c r="Q34" s="26" t="str"/>
    </x:row>
    <x:row r="35" ht="84" customHeight="1">
      <x:c r="A35" s="21" t="str">
        <x:v>UI29</x:v>
      </x:c>
      <x:c r="B35" s="21" t="str">
        <x:v>P2</x:v>
      </x:c>
      <x:c r="C35" s="21" t="str">
        <x:v>页头高度规范文本</x:v>
      </x:c>
      <x:c r="D35" s="21" t="str">
        <x:v>规范待决</x:v>
      </x:c>
      <x:c r="E35" s="21" t="str">
        <x:v>V1.2 列出120/94/68px，同时描述全部为4的倍数；94并非4的倍数。Core 已使用94。</x:v>
      </x:c>
      <x:c r="F35" s="21" t="str">
        <x:v>UI 确认保留94及例外说明，或给出新标准并评估迁移；业务暂沿用已列明94，禁止自行改成96。</x:v>
      </x:c>
      <x:c r="G35" s="21" t="str">
        <x:v>规范文字与 Token 最终一致；三个档位及内容换行实测；若改变高度回归全部 PageHeader。</x:v>
      </x:c>
      <x:c r="H35" s="21" t="str">
        <x:v>补充</x:v>
      </x:c>
      <x:c r="I35" s="21" t="str">
        <x:v>页头 N10；§3.3 间距</x:v>
      </x:c>
      <x:c r="J35" s="21" t="str">
        <x:v>.\pcs-front\node_modules\@baiyun\template-core\dist\styles\tokens.css:208</x:v>
      </x:c>
      <x:c r="K35" s="21" t="str">
        <x:v>UI / 核心层开发</x:v>
      </x:c>
      <x:c r="L35" s="21" t="str">
        <x:v>属于规范内部表述冲突，不直接给现有94px实现判失败</x:v>
      </x:c>
      <x:c r="M35" s="21" t="str">
        <x:v>源文本或代码定位</x:v>
      </x:c>
      <x:c r="N35" s="26" t="str"/>
      <x:c r="O35" s="26" t="str">
        <x:v>待安排</x:v>
      </x:c>
      <x:c r="P35" s="26" t="str">
        <x:v>未执行</x:v>
      </x:c>
      <x:c r="Q35" s="26" t="str"/>
    </x:row>
    <x:row r="36" ht="84" customHeight="1">
      <x:c r="A36" s="24" t="str">
        <x:v>UI30</x:v>
      </x:c>
      <x:c r="B36" s="24" t="str">
        <x:v>P1</x:v>
      </x:c>
      <x:c r="C36" s="24" t="str">
        <x:v>服务单元详情图标</x:v>
      </x:c>
      <x:c r="D36" s="24" t="str">
        <x:v>原型差异</x:v>
      </x:c>
      <x:c r="E36" s="24" t="str">
        <x:v>本地详情仍使用“📋 下单限制” emoji 标题。</x:v>
      </x:c>
      <x:c r="F36" s="24" t="str">
        <x:v>用 Arco 线性图标表达下单限制，按16/20/24px语义尺寸与继承色；文案保留，装饰图标不重复读屏。</x:v>
      </x:c>
      <x:c r="G36" s="24" t="str">
        <x:v>Windows/浏览器不同字体下图标一致；标题与读屏名称不重复；不要更换产品字段名称。</x:v>
      </x:c>
      <x:c r="H36" s="24" t="str">
        <x:v>RV22 拆分</x:v>
      </x:c>
      <x:c r="I36" s="24" t="str">
        <x:v>RV22 禁止 emoji；§3.7 图标 N08</x:v>
      </x:c>
      <x:c r="J36" s="24" t="str">
        <x:v>.\pcs-front\docs\other\SN318系统 · 产品、订单与合单配载交互原型_files\saved_resource.html:17026</x:v>
      </x:c>
      <x:c r="K36" s="24" t="str">
        <x:v>开发</x:v>
      </x:c>
      <x:c r="L36" s="24" t="str">
        <x:v>无；按已读规范实施</x:v>
      </x:c>
      <x:c r="M36" s="24" t="str">
        <x:v>EV48</x:v>
      </x:c>
      <x:c r="N36" s="27" t="str"/>
      <x:c r="O36" s="27" t="str">
        <x:v>待安排</x:v>
      </x:c>
      <x:c r="P36" s="27" t="str">
        <x:v>未执行</x:v>
      </x:c>
      <x:c r="Q36" s="27" t="str"/>
    </x:row>
    <x:row r="37" ht="21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</x:sheetData>
  <x:mergeCells>
    <x:mergeCell ref="A1:F2"/>
    <x:mergeCell ref="A4:F4"/>
  </x:mergeCells>
  <x:conditionalFormatting sqref="B7:B3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2">
    <x:dataValidation type="list" sqref="O7:O36">
      <x:formula1>"待安排,待决策,开发中,待复测,完成,暂缓"</x:formula1>
    </x:dataValidation>
    <x:dataValidation type="list" sqref="P7:P36">
      <x:formula1>"未执行,通过,不通过,受阻,不适用"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e590833d584c95"/>
  </x:tableParts>
</x:worksheet>
</file>

<file path=xl/worksheets/sheet3.xml><?xml version="1.0" encoding="utf-8"?>
<x:worksheet xmlns:x="http://schemas.openxmlformats.org/spreadsheetml/2006/main">
  <x:sheetPr>
    <x:tabColor rgb="FF046EFC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21.25" hidden="0" customWidth="1"/>
    <x:col min="3" max="3" width="16.8799991607666" hidden="0" customWidth="1"/>
    <x:col min="4" max="4" width="11" hidden="0" customWidth="1"/>
    <x:col min="5" max="5" width="16.8799991607666" hidden="0" customWidth="1"/>
    <x:col min="6" max="6" width="12.5" hidden="0" customWidth="1"/>
    <x:col min="7" max="7" width="13.75" hidden="0" customWidth="1"/>
    <x:col min="8" max="8" width="15" hidden="0" customWidth="1"/>
    <x:col min="9" max="9" width="38.75" hidden="0" customWidth="1"/>
    <x:col min="10" max="10" width="50" hidden="0" customWidth="1"/>
    <x:col min="11" max="11" width="27.5" hidden="0" customWidth="1"/>
    <x:col min="12" max="12" width="28.75" hidden="0" customWidth="1"/>
    <x:col min="13" max="13" width="18.75" hidden="0" customWidth="1"/>
    <x:col min="14" max="14" width="17.5" hidden="0" customWidth="1"/>
  </x:cols>
  <x:sheetData>
    <x:row r="1" ht="21" customHeight="1">
      <x:c r="A1" s="6" t="str">
        <x:v>Review 原始记录对照｜revision 680</x:v>
      </x:c>
      <x:c r="B1" s="6" t="str">
        <x:v>ReviewSource</x:v>
      </x:c>
      <x:c r="C1" s="6" t="str">
        <x:v>ReviewSource</x:v>
      </x:c>
      <x:c r="D1" s="6" t="str">
        <x:v>ReviewSource</x:v>
      </x:c>
      <x:c r="E1" s="6" t="str">
        <x:v>ReviewSource</x:v>
      </x:c>
      <x:c r="F1" s="6" t="str">
        <x:v>ReviewSource</x:v>
      </x:c>
      <x:c r="G1" s="3"/>
      <x:c r="H1" s="3"/>
      <x:c r="I1" s="3"/>
      <x:c r="J1" s="3"/>
      <x:c r="K1" s="3"/>
      <x:c r="L1" s="3"/>
      <x:c r="M1" s="3"/>
      <x:c r="N1" s="3"/>
    </x:row>
    <x:row r="2" ht="21" customHeight="1">
      <x:c r="A2" s="6" t="str">
        <x:v>ReviewSource</x:v>
      </x:c>
      <x:c r="B2" s="6" t="str">
        <x:v>ReviewSource</x:v>
      </x:c>
      <x:c r="C2" s="6" t="str">
        <x:v>ReviewSource</x:v>
      </x:c>
      <x:c r="D2" s="6" t="str">
        <x:v>ReviewSource</x:v>
      </x:c>
      <x:c r="E2" s="6" t="str">
        <x:v>ReviewSource</x:v>
      </x:c>
      <x:c r="F2" s="6" t="str">
        <x:v>ReviewSource</x:v>
      </x:c>
      <x:c r="G2" s="3"/>
      <x:c r="H2" s="3"/>
      <x:c r="I2" s="3"/>
      <x:c r="J2" s="3"/>
      <x:c r="K2" s="3"/>
      <x:c r="L2" s="3"/>
      <x:c r="M2" s="3"/>
      <x:c r="N2" s="3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9" customHeight="1">
      <x:c r="A4" s="3" t="str">
        <x:v>24条原始记录；RV24为空白占位，不生成修改项。保留原文本、优先级、角色与状态；@提及仅保留人名文本，不发送通知。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1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31.5" customHeight="1">
      <x:c r="A6" s="18" t="str">
        <x:v>Review编号</x:v>
      </x:c>
      <x:c r="B6" s="18" t="str">
        <x:v>record_id</x:v>
      </x:c>
      <x:c r="C6" s="18" t="str">
        <x:v>原页面 / 模块</x:v>
      </x:c>
      <x:c r="D6" s="18" t="str">
        <x:v>原优先级</x:v>
      </x:c>
      <x:c r="E6" s="18" t="str">
        <x:v>原框架适配判断</x:v>
      </x:c>
      <x:c r="F6" s="18" t="str">
        <x:v>原确认状态</x:v>
      </x:c>
      <x:c r="G6" s="18" t="str">
        <x:v>原处理角色</x:v>
      </x:c>
      <x:c r="H6" s="18" t="str">
        <x:v>原Review类型</x:v>
      </x:c>
      <x:c r="I6" s="18" t="str">
        <x:v>原当前原型问题</x:v>
      </x:c>
      <x:c r="J6" s="18" t="str">
        <x:v>原Review建议</x:v>
      </x:c>
      <x:c r="K6" s="18" t="str">
        <x:v>原后续处理建议</x:v>
      </x:c>
      <x:c r="L6" s="18" t="str">
        <x:v>原备注</x:v>
      </x:c>
      <x:c r="M6" s="18" t="str">
        <x:v>修改项映射</x:v>
      </x:c>
      <x:c r="N6" s="18" t="str">
        <x:v>截图证据ID</x:v>
      </x:c>
    </x:row>
    <x:row r="7" ht="134.25" customHeight="1">
      <x:c r="A7" s="20" t="str">
        <x:v>RV01</x:v>
      </x:c>
      <x:c r="B7" s="20" t="str">
        <x:v>review-67fb39add5</x:v>
      </x:c>
      <x:c r="C7" s="20" t="str">
        <x:v>基础配置</x:v>
      </x:c>
      <x:c r="D7" s="20" t="str">
        <x:v>P0</x:v>
      </x:c>
      <x:c r="E7" s="20" t="str">
        <x:v>🔴 无法覆盖</x:v>
      </x:c>
      <x:c r="F7" s="20" t="str">
        <x:v>设计完毕</x:v>
      </x:c>
      <x:c r="G7" s="20" t="str">
        <x:v>UI</x:v>
      </x:c>
      <x:c r="H7" s="20" t="str">
        <x:v>页面结构 / 信息层级 / 交互逻辑</x:v>
      </x:c>
      <x:c r="I7" s="20" t="str">
        <x:v>当前“基础配置”页面同时承载“主数据 / 计价底座”两类内容及其下属选项，信息层级较多，现有框架难以清晰承载该场景。</x:v>
      </x:c>
      <x:c r="J7" s="20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K7" s="20" t="str">
        <x:v>UI 产出专项设计稿与规范</x:v>
      </x:c>
      <x:c r="L7" s="20" t="str">
        <x:v>见蓝湖：[https://lanhuapp.com/link/#/invite?sid=lxQpOe6a](https://lanhuapp.com/link/#/invite?sid=lxQpOe6a)</x:v>
      </x:c>
      <x:c r="M7" s="20" t="str">
        <x:v>UI01 / UI27</x:v>
      </x:c>
      <x:c r="N7" s="20" t="str">
        <x:v>EV01</x:v>
      </x:c>
    </x:row>
    <x:row r="8" ht="225" customHeight="1">
      <x:c r="A8" s="23" t="str">
        <x:v>RV02</x:v>
      </x:c>
      <x:c r="B8" s="23" t="str">
        <x:v>review-4122ab1853</x:v>
      </x:c>
      <x:c r="C8" s="23" t="str">
        <x:v>左侧菜单</x:v>
      </x:c>
      <x:c r="D8" s="23" t="str">
        <x:v>P1</x:v>
      </x:c>
      <x:c r="E8" s="23" t="str">
        <x:v>🔴 无法覆盖</x:v>
      </x:c>
      <x:c r="F8" s="23" t="str">
        <x:v>设计完毕</x:v>
      </x:c>
      <x:c r="G8" s="23" t="str">
        <x:v>UI</x:v>
      </x:c>
      <x:c r="H8" s="23" t="str">
        <x:v>信息层级</x:v>
      </x:c>
      <x:c r="I8" s="23" t="str">
        <x:v>原方案将二级分类调整为不可点击的分组标题，但实际呈现中分类层级区分不够明显，且不利于多层级菜单的导航管理。</x:v>
      </x:c>
      <x:c r="J8" s="23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K8" s="23" t="str">
        <x:v>UI 根据现有框架调整产出专项设计稿</x:v>
      </x:c>
      <x:c r="L8" s="23" t="str">
        <x:v>未填写</x:v>
      </x:c>
      <x:c r="M8" s="23" t="str">
        <x:v>UI02</x:v>
      </x:c>
      <x:c r="N8" s="23" t="str">
        <x:v>EV02 / EV03</x:v>
      </x:c>
    </x:row>
    <x:row r="9" ht="112.5" customHeight="1">
      <x:c r="A9" s="21" t="str">
        <x:v>RV03</x:v>
      </x:c>
      <x:c r="B9" s="21" t="str">
        <x:v>review-294de09d51</x:v>
      </x:c>
      <x:c r="C9" s="21" t="str">
        <x:v>全局</x:v>
      </x:c>
      <x:c r="D9" s="21" t="str">
        <x:v>P1</x:v>
      </x:c>
      <x:c r="E9" s="21" t="str">
        <x:v>🔴 无法覆盖</x:v>
      </x:c>
      <x:c r="F9" s="21" t="str">
        <x:v>修改中</x:v>
      </x:c>
      <x:c r="G9" s="21" t="str">
        <x:v>UI</x:v>
      </x:c>
      <x:c r="H9" s="21" t="str">
        <x:v>组件使用</x:v>
      </x:c>
      <x:c r="I9" s="21" t="str">
        <x:v>未填写</x:v>
      </x:c>
      <x:c r="J9" s="21" t="str">
        <x:v>未填写</x:v>
      </x:c>
      <x:c r="K9" s="21" t="str">
        <x:v>UI 产出行内编辑组件规范</x:v>
      </x:c>
      <x:c r="L9" s="21" t="str">
        <x:v>未填写</x:v>
      </x:c>
      <x:c r="M9" s="21" t="str">
        <x:v>UI03</x:v>
      </x:c>
      <x:c r="N9" s="21" t="str"/>
    </x:row>
    <x:row r="10" ht="116.25" customHeight="1">
      <x:c r="A10" s="23" t="str">
        <x:v>RV04</x:v>
      </x:c>
      <x:c r="B10" s="23" t="str">
        <x:v>review-5cb0b5dcb6</x:v>
      </x:c>
      <x:c r="C10" s="23" t="str">
        <x:v>全局</x:v>
      </x:c>
      <x:c r="D10" s="23" t="str">
        <x:v>P0</x:v>
      </x:c>
      <x:c r="E10" s="23" t="str">
        <x:v>⚪业务交互、信息待明确</x:v>
      </x:c>
      <x:c r="F10" s="23" t="str">
        <x:v>待确认</x:v>
      </x:c>
      <x:c r="G10" s="23" t="str">
        <x:v>产品</x:v>
      </x:c>
      <x:c r="H10" s="23" t="str">
        <x:v>信息层级</x:v>
      </x:c>
      <x:c r="I10" s="23" t="str">
        <x:v>AI 原型中存在较多辅助说明、功能解释及过程性文案，部分内容更偏向原型说明，并非最终页面必须展示的信息，容易增加页面阅读负担，干扰核心操作。</x:v>
      </x:c>
      <x:c r="J10" s="23" t="str">
        <x:v>建议产品统一审查页面文案，仅保留与用户操作、业务规则及必要提示相关的内容，其余原型说明性或重复性文字删除。</x:v>
      </x:c>
      <x:c r="K10" s="23" t="str">
        <x:v>产品审核原型多余说明文字并删除</x:v>
      </x:c>
      <x:c r="L10" s="23" t="str">
        <x:v>未填写</x:v>
      </x:c>
      <x:c r="M10" s="23" t="str">
        <x:v>UI04</x:v>
      </x:c>
      <x:c r="N10" s="23" t="str"/>
    </x:row>
    <x:row r="11" ht="134.25" customHeight="1">
      <x:c r="A11" s="21" t="str">
        <x:v>RV05</x:v>
      </x:c>
      <x:c r="B11" s="21" t="str">
        <x:v>review-24220c26b9</x:v>
      </x:c>
      <x:c r="C11" s="21" t="str">
        <x:v>服务单元</x:v>
      </x:c>
      <x:c r="D11" s="21" t="str">
        <x:v>P0</x:v>
      </x:c>
      <x:c r="E11" s="21" t="str">
        <x:v>🔵 组合复用</x:v>
      </x:c>
      <x:c r="F11" s="21" t="str">
        <x:v>待确认</x:v>
      </x:c>
      <x:c r="G11" s="21" t="str">
        <x:v>UI / 开发</x:v>
      </x:c>
      <x:c r="H11" s="21" t="str">
        <x:v>视觉规范 / 交互逻辑</x:v>
      </x:c>
      <x:c r="I11" s="21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J11" s="21" t="str">
        <x:v>建议仅保留列表 Checkbox 作为选中状态反馈，删除顶部已选 Tag 及底部数量汇总，降低信息干扰。</x:v>
      </x:c>
      <x:c r="K11" s="21" t="str">
        <x:v>UI 补充布局设计，开发组合实现，</x:v>
      </x:c>
      <x:c r="L11" s="21" t="str">
        <x:v>未填写</x:v>
      </x:c>
      <x:c r="M11" s="21" t="str">
        <x:v>UI05</x:v>
      </x:c>
      <x:c r="N11" s="21" t="str">
        <x:v>EV04 / EV05</x:v>
      </x:c>
    </x:row>
    <x:row r="12" ht="116.25" customHeight="1">
      <x:c r="A12" s="23" t="str">
        <x:v>RV06</x:v>
      </x:c>
      <x:c r="B12" s="23" t="str">
        <x:v>review-de7057751b</x:v>
      </x:c>
      <x:c r="C12" s="23" t="str">
        <x:v>服务单元</x:v>
      </x:c>
      <x:c r="D12" s="23" t="str">
        <x:v>P1</x:v>
      </x:c>
      <x:c r="E12" s="23" t="str">
        <x:v>🔵 组合复用</x:v>
      </x:c>
      <x:c r="F12" s="23" t="str">
        <x:v>修改中</x:v>
      </x:c>
      <x:c r="G12" s="23" t="str">
        <x:v>开发</x:v>
      </x:c>
      <x:c r="H12" s="23" t="str">
        <x:v>组件使用 / 信息层级 / 页面结构</x:v>
      </x:c>
      <x:c r="I12" s="23" t="str">
        <x:v>当前新建服务单元：信息量较大，包含多组基础信息、关联关系及规则配置，使用弹窗承载后纵向内容较长，内部滚动明显，且弹窗空间限制较大，不利于后续字段扩展及连续查看。</x:v>
      </x:c>
      <x:c r="J12" s="23" t="str">
        <x:v>替换为新页面承载</x:v>
      </x:c>
      <x:c r="K12" s="23" t="str">
        <x:v>UI 补充布局设计，开发组合实现，整体框架使用新建表单页模板</x:v>
      </x:c>
      <x:c r="L12" s="23" t="str">
        <x:v>未填写</x:v>
      </x:c>
      <x:c r="M12" s="23" t="str">
        <x:v>UI06</x:v>
      </x:c>
      <x:c r="N12" s="23" t="str">
        <x:v>EV06 / EV07</x:v>
      </x:c>
    </x:row>
    <x:row r="13" ht="116.25" customHeight="1">
      <x:c r="A13" s="21" t="str">
        <x:v>RV07</x:v>
      </x:c>
      <x:c r="B13" s="21" t="str">
        <x:v>review-331da30eb4</x:v>
      </x:c>
      <x:c r="C13" s="21" t="str">
        <x:v>服务单元</x:v>
      </x:c>
      <x:c r="D13" s="21" t="str">
        <x:v>P1</x:v>
      </x:c>
      <x:c r="E13" s="21" t="str">
        <x:v>🔵 组合复用</x:v>
      </x:c>
      <x:c r="F13" s="21" t="str"/>
      <x:c r="G13" s="21" t="str"/>
      <x:c r="H13" s="21" t="str">
        <x:v>页面结构 / 信息层级</x:v>
      </x:c>
      <x:c r="I13" s="21" t="str">
        <x:v>当前服务单元详情：信息量较大，包含多组基础信息、关联关系及规则配置，使用弹窗承载后纵向内容较长，内部滚动明显，且弹窗空间限制较大，不利于后续字段扩展及连续查看。</x:v>
      </x:c>
      <x:c r="J13" s="21" t="str">
        <x:v>替换为新页面承载</x:v>
      </x:c>
      <x:c r="K13" s="21" t="str">
        <x:v>未填写</x:v>
      </x:c>
      <x:c r="L13" s="21" t="str">
        <x:v>未填写</x:v>
      </x:c>
      <x:c r="M13" s="21" t="str">
        <x:v>UI07</x:v>
      </x:c>
      <x:c r="N13" s="21" t="str">
        <x:v>EV08 / EV09</x:v>
      </x:c>
    </x:row>
    <x:row r="14" ht="116.25" customHeight="1">
      <x:c r="A14" s="23" t="str">
        <x:v>RV08</x:v>
      </x:c>
      <x:c r="B14" s="23" t="str">
        <x:v>review-2a5a56bb27</x:v>
      </x:c>
      <x:c r="C14" s="23" t="str">
        <x:v>服务单元</x:v>
      </x:c>
      <x:c r="D14" s="23" t="str">
        <x:v>P1</x:v>
      </x:c>
      <x:c r="E14" s="23" t="str">
        <x:v>🔵 组合复用</x:v>
      </x:c>
      <x:c r="F14" s="23" t="str">
        <x:v>设计完毕</x:v>
      </x:c>
      <x:c r="G14" s="23" t="str">
        <x:v>UI / 产品</x:v>
      </x:c>
      <x:c r="H14" s="23" t="str">
        <x:v>页面结构 / 信息层级</x:v>
      </x:c>
      <x:c r="I14" s="23" t="str">
        <x:v>原历史版本列表及版本详情均采用弹窗展示，连续查看时需在不同弹窗间切换，交互连贯性不足；版本详情采用纵向表格展示，信息占用空间较大，阅读效率较低。</x:v>
      </x:c>
      <x:c r="J14" s="23" t="str">
        <x:v>将历史版本列表及版本详情统一调整为抽屉形式，通过抽屉内部视图切换实现版本查看；版本详情改为分组信息布局，并在顶部增加返回入口，优化信息层级及阅读效率。</x:v>
      </x:c>
      <x:c r="K14" s="23" t="str">
        <x:v>UI 补充布局设计，开发组合实现，页面框架使用业务抽屉模板</x:v>
      </x:c>
      <x:c r="L14" s="23" t="str">
        <x:v>未填写</x:v>
      </x:c>
      <x:c r="M14" s="23" t="str">
        <x:v>UI08</x:v>
      </x:c>
      <x:c r="N14" s="23" t="str">
        <x:v>EV10 / EV11 / EV12 / EV13</x:v>
      </x:c>
    </x:row>
    <x:row r="15" ht="112.5" customHeight="1">
      <x:c r="A15" s="21" t="str">
        <x:v>RV09</x:v>
      </x:c>
      <x:c r="B15" s="21" t="str">
        <x:v>review-c79c73690c</x:v>
      </x:c>
      <x:c r="C15" s="21" t="str">
        <x:v>服务单元</x:v>
      </x:c>
      <x:c r="D15" s="21" t="str">
        <x:v>P1</x:v>
      </x:c>
      <x:c r="E15" s="21" t="str">
        <x:v>🟡 调整后复用</x:v>
      </x:c>
      <x:c r="F15" s="21" t="str">
        <x:v>待确认</x:v>
      </x:c>
      <x:c r="G15" s="21" t="str">
        <x:v>UI / 产品</x:v>
      </x:c>
      <x:c r="H15" s="21" t="str">
        <x:v>组件使用 / 视觉规范</x:v>
      </x:c>
      <x:c r="I15" s="21" t="str">
        <x:v>当前确认弹窗使用普通信息提示图标，与“禁用编排”的风险语义不一致</x:v>
      </x:c>
      <x:c r="J15" s="21" t="str">
        <x:v>建议改用 Warning 警告图标</x:v>
      </x:c>
      <x:c r="K15" s="21" t="str">
        <x:v>替换图标与语义色</x:v>
      </x:c>
      <x:c r="L15" s="21" t="str">
        <x:v>未填写</x:v>
      </x:c>
      <x:c r="M15" s="21" t="str">
        <x:v>UI09</x:v>
      </x:c>
      <x:c r="N15" s="21" t="str">
        <x:v>EV14</x:v>
      </x:c>
    </x:row>
    <x:row r="16" ht="112.5" customHeight="1">
      <x:c r="A16" s="23" t="str">
        <x:v>RV10</x:v>
      </x:c>
      <x:c r="B16" s="23" t="str">
        <x:v>review-e3abcc238c</x:v>
      </x:c>
      <x:c r="C16" s="23" t="str">
        <x:v>左侧菜单</x:v>
      </x:c>
      <x:c r="D16" s="23" t="str">
        <x:v>P2</x:v>
      </x:c>
      <x:c r="E16" s="23" t="str">
        <x:v>🟢 直接复用</x:v>
      </x:c>
      <x:c r="F16" s="23" t="str">
        <x:v>待确认</x:v>
      </x:c>
      <x:c r="G16" s="23" t="str">
        <x:v>开发</x:v>
      </x:c>
      <x:c r="H16" s="23" t="str">
        <x:v>视觉规范</x:v>
      </x:c>
      <x:c r="I16" s="23" t="str">
        <x:v>缩进、字号字重、选中态尺寸、展开箭头及菜单间距等方面与现有前端通用框架存在较大差异。且一级菜单缺少左侧图标</x:v>
      </x:c>
      <x:c r="J16" s="23" t="str">
        <x:v>复用现有框架</x:v>
      </x:c>
      <x:c r="K16" s="23" t="str">
        <x:v>开发对齐现有框架、规范开发</x:v>
      </x:c>
      <x:c r="L16" s="23" t="str">
        <x:v>未填写</x:v>
      </x:c>
      <x:c r="M16" s="23" t="str">
        <x:v>UI10</x:v>
      </x:c>
      <x:c r="N16" s="23" t="str">
        <x:v>EV15 / EV16</x:v>
      </x:c>
    </x:row>
    <x:row r="17" ht="112.5" customHeight="1">
      <x:c r="A17" s="21" t="str">
        <x:v>RV11</x:v>
      </x:c>
      <x:c r="B17" s="21" t="str">
        <x:v>review-a2a817eb2a</x:v>
      </x:c>
      <x:c r="C17" s="21" t="str">
        <x:v>顶部导航</x:v>
      </x:c>
      <x:c r="D17" s="21" t="str">
        <x:v>P2</x:v>
      </x:c>
      <x:c r="E17" s="21" t="str">
        <x:v>🟢 直接复用</x:v>
      </x:c>
      <x:c r="F17" s="21" t="str">
        <x:v>待确认</x:v>
      </x:c>
      <x:c r="G17" s="21" t="str">
        <x:v>开发</x:v>
      </x:c>
      <x:c r="H17" s="21" t="str">
        <x:v>视觉规范</x:v>
      </x:c>
      <x:c r="I17" s="21" t="str">
        <x:v>与规范、框架不一致，有多余的页面标题，无功能的板块可先暂时隐藏，如搜索、消息等</x:v>
      </x:c>
      <x:c r="J17" s="21" t="str">
        <x:v>复用现有框架</x:v>
      </x:c>
      <x:c r="K17" s="21" t="str">
        <x:v>开发对齐现有框架、规范开发</x:v>
      </x:c>
      <x:c r="L17" s="21" t="str">
        <x:v>未填写</x:v>
      </x:c>
      <x:c r="M17" s="21" t="str">
        <x:v>UI11</x:v>
      </x:c>
      <x:c r="N17" s="21" t="str">
        <x:v>EV17 / EV18</x:v>
      </x:c>
    </x:row>
    <x:row r="18" ht="116.25" customHeight="1">
      <x:c r="A18" s="23" t="str">
        <x:v>RV12</x:v>
      </x:c>
      <x:c r="B18" s="23" t="str">
        <x:v>review-716a17fbb6</x:v>
      </x:c>
      <x:c r="C18" s="23" t="str">
        <x:v>所有页头栏</x:v>
      </x:c>
      <x:c r="D18" s="23" t="str">
        <x:v>P1</x:v>
      </x:c>
      <x:c r="E18" s="23" t="str">
        <x:v>🟢 直接复用</x:v>
      </x:c>
      <x:c r="F18" s="23" t="str">
        <x:v>待确认</x:v>
      </x:c>
      <x:c r="G18" s="23" t="str">
        <x:v>产品 / 开发</x:v>
      </x:c>
      <x:c r="H18" s="23" t="str">
        <x:v>信息层级 / 视觉规范</x:v>
      </x:c>
      <x:c r="I18" s="23" t="str">
        <x:v>当前将面包屑导航放置于顶部导航，与现有通用框架页面结构不一致，同时与页面标题存在重复表达。
操作按钮对齐方式与框架不一致</x:v>
      </x:c>
      <x:c r="J18" s="23" t="str">
        <x:v>1、复用现有框架，
2、着重考虑副标题的存在必要性，如无完全必要可考虑删除，带副标题的页头可见规范规定
3、说明文字最好不要出现「」</x:v>
      </x:c>
      <x:c r="K18" s="23" t="str">
        <x:v>开发对齐现有框架、规范开发</x:v>
      </x:c>
      <x:c r="L18" s="23" t="str">
        <x:v>未填写</x:v>
      </x:c>
      <x:c r="M18" s="23" t="str">
        <x:v>UI12</x:v>
      </x:c>
      <x:c r="N18" s="23" t="str">
        <x:v>EV19 / EV20</x:v>
      </x:c>
    </x:row>
    <x:row r="19" ht="189" customHeight="1">
      <x:c r="A19" s="21" t="str">
        <x:v>RV13</x:v>
      </x:c>
      <x:c r="B19" s="21" t="str">
        <x:v>review-96579d37d7</x:v>
      </x:c>
      <x:c r="C19" s="21" t="str">
        <x:v>所有查询区</x:v>
      </x:c>
      <x:c r="D19" s="21" t="str">
        <x:v>P2</x:v>
      </x:c>
      <x:c r="E19" s="21" t="str">
        <x:v>🟢 直接复用</x:v>
      </x:c>
      <x:c r="F19" s="21" t="str">
        <x:v>待确认</x:v>
      </x:c>
      <x:c r="G19" s="21" t="str">
        <x:v>开发</x:v>
      </x:c>
      <x:c r="H19" s="21" t="str">
        <x:v>视觉规范</x:v>
      </x:c>
      <x:c r="I19" s="21" t="str">
        <x:v>当前筛选区控件尺寸、排列、操作按钮样式、下拉样式与通用框架存在差异。</x:v>
      </x:c>
      <x:c r="J19" s="21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K19" s="21" t="str">
        <x:v>开发对齐现有框架、规范开发</x:v>
      </x:c>
      <x:c r="L19" s="21" t="str">
        <x:v>未填写</x:v>
      </x:c>
      <x:c r="M19" s="21" t="str">
        <x:v>UI13</x:v>
      </x:c>
      <x:c r="N19" s="21" t="str">
        <x:v>EV21 / EV22</x:v>
      </x:c>
    </x:row>
    <x:row r="20" ht="134.25" customHeight="1">
      <x:c r="A20" s="23" t="str">
        <x:v>RV14</x:v>
      </x:c>
      <x:c r="B20" s="23" t="str">
        <x:v>review-92624f2e97</x:v>
      </x:c>
      <x:c r="C20" s="23" t="str">
        <x:v>所有列表区</x:v>
      </x:c>
      <x:c r="D20" s="23" t="str">
        <x:v>P2</x:v>
      </x:c>
      <x:c r="E20" s="23" t="str">
        <x:v>🟢 直接复用</x:v>
      </x:c>
      <x:c r="F20" s="23" t="str">
        <x:v>待确认</x:v>
      </x:c>
      <x:c r="G20" s="23" t="str">
        <x:v>开发</x:v>
      </x:c>
      <x:c r="H20" s="23" t="str">
        <x:v>视觉规范</x:v>
      </x:c>
      <x:c r="I20" s="23" t="str">
        <x:v>当前原型 Table 在容器间距、表头/行高、行背景、列宽、固定列及操作区等方面与前端通用框架存在较大差异。</x:v>
      </x:c>
      <x:c r="J20" s="23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K20" s="23" t="str">
        <x:v>开发对齐现有框架、规范开发</x:v>
      </x:c>
      <x:c r="L20" s="23" t="str">
        <x:v>未填写</x:v>
      </x:c>
      <x:c r="M20" s="23" t="str">
        <x:v>UI14</x:v>
      </x:c>
      <x:c r="N20" s="23" t="str">
        <x:v>EV23 / EV24</x:v>
      </x:c>
    </x:row>
    <x:row r="21" ht="116.25" customHeight="1">
      <x:c r="A21" s="21" t="str">
        <x:v>RV15</x:v>
      </x:c>
      <x:c r="B21" s="21" t="str">
        <x:v>review-08ef6a1468</x:v>
      </x:c>
      <x:c r="C21" s="21" t="str">
        <x:v>所有列表区</x:v>
      </x:c>
      <x:c r="D21" s="21" t="str">
        <x:v>P1</x:v>
      </x:c>
      <x:c r="E21" s="21" t="str">
        <x:v>🟢 直接复用</x:v>
      </x:c>
      <x:c r="F21" s="21" t="str">
        <x:v>待确认</x:v>
      </x:c>
      <x:c r="G21" s="21" t="str">
        <x:v>开发</x:v>
      </x:c>
      <x:c r="H21" s="21" t="str">
        <x:v>组件使用</x:v>
      </x:c>
      <x:c r="I21" s="21" t="str">
        <x:v>当前原型分页组件在布局、页码样式、每页条数选择及总数信息展示方式上与前端通用框架不一致。</x:v>
      </x:c>
      <x:c r="J21" s="21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K21" s="21" t="str">
        <x:v>开发对齐现有框架、规范开发</x:v>
      </x:c>
      <x:c r="L21" s="21" t="str">
        <x:v>未填写</x:v>
      </x:c>
      <x:c r="M21" s="21" t="str">
        <x:v>UI15</x:v>
      </x:c>
      <x:c r="N21" s="21" t="str">
        <x:v>EV25 / EV26</x:v>
      </x:c>
    </x:row>
    <x:row r="22" ht="134.25" customHeight="1">
      <x:c r="A22" s="23" t="str">
        <x:v>RV16</x:v>
      </x:c>
      <x:c r="B22" s="23" t="str">
        <x:v>review-79dfb7278b</x:v>
      </x:c>
      <x:c r="C22" s="23" t="str">
        <x:v>所有列表区</x:v>
      </x:c>
      <x:c r="D22" s="23" t="str">
        <x:v>P1</x:v>
      </x:c>
      <x:c r="E22" s="23" t="str">
        <x:v>🟢 直接复用</x:v>
      </x:c>
      <x:c r="F22" s="23" t="str">
        <x:v>待确认</x:v>
      </x:c>
      <x:c r="G22" s="23" t="str">
        <x:v>开发</x:v>
      </x:c>
      <x:c r="H22" s="23" t="str">
        <x:v>交互逻辑</x:v>
      </x:c>
      <x:c r="I22" s="23" t="str">
        <x:v>当前原型在表格横向滚动时，左侧关键操作列未明确冻结范围，勾选框等批量操作入口可能随内容滚动移出可视区域，影响连续选择和操作效率。</x:v>
      </x:c>
      <x:c r="J22" s="23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K22" s="23" t="str">
        <x:v>开发对齐现有框架、规范开发</x:v>
      </x:c>
      <x:c r="L22" s="23" t="str">
        <x:v>未填写</x:v>
      </x:c>
      <x:c r="M22" s="23" t="str">
        <x:v>UI16</x:v>
      </x:c>
      <x:c r="N22" s="23" t="str">
        <x:v>EV27 / EV28</x:v>
      </x:c>
    </x:row>
    <x:row r="23" ht="112.5" customHeight="1">
      <x:c r="A23" s="21" t="str">
        <x:v>RV17</x:v>
      </x:c>
      <x:c r="B23" s="21" t="str">
        <x:v>review-42f80e1fec</x:v>
      </x:c>
      <x:c r="C23" s="21" t="str">
        <x:v>所有列表区</x:v>
      </x:c>
      <x:c r="D23" s="21" t="str">
        <x:v>P1</x:v>
      </x:c>
      <x:c r="E23" s="21" t="str">
        <x:v>🟢 直接复用</x:v>
      </x:c>
      <x:c r="F23" s="21" t="str">
        <x:v>待确认</x:v>
      </x:c>
      <x:c r="G23" s="21" t="str">
        <x:v>开发</x:v>
      </x:c>
      <x:c r="H23" s="21" t="str">
        <x:v>交互逻辑 / 视觉规范</x:v>
      </x:c>
      <x:c r="I23" s="21" t="str">
        <x:v>当前原型勾选数据后，批量操作采用页面底部悬浮操作条，与现有通用框架的批量操作方式不一致；悬浮层同时会遮挡部分表格内容</x:v>
      </x:c>
      <x:c r="J23" s="21" t="str">
        <x:v>统一复用通用框架的批量操作栏：勾选数据后，在 Table 顶部展示操作按钮，取消选择后恢复默认状态；选中行同步使用框架统一选中态。不再新增底部悬浮操作条</x:v>
      </x:c>
      <x:c r="K23" s="21" t="str">
        <x:v>开发对齐现有框架、规范开发</x:v>
      </x:c>
      <x:c r="L23" s="21" t="str">
        <x:v>未填写</x:v>
      </x:c>
      <x:c r="M23" s="21" t="str">
        <x:v>UI17</x:v>
      </x:c>
      <x:c r="N23" s="21" t="str">
        <x:v>EV29 / EV30</x:v>
      </x:c>
    </x:row>
    <x:row r="24" ht="134.25" customHeight="1">
      <x:c r="A24" s="23" t="str">
        <x:v>RV18</x:v>
      </x:c>
      <x:c r="B24" s="23" t="str">
        <x:v>review-6436a27114</x:v>
      </x:c>
      <x:c r="C24" s="23" t="str">
        <x:v>所有列表区</x:v>
      </x:c>
      <x:c r="D24" s="23" t="str">
        <x:v>P2</x:v>
      </x:c>
      <x:c r="E24" s="23" t="str">
        <x:v>🟢 直接复用</x:v>
      </x:c>
      <x:c r="F24" s="23" t="str">
        <x:v>待确认</x:v>
      </x:c>
      <x:c r="G24" s="23" t="str">
        <x:v>开发</x:v>
      </x:c>
      <x:c r="H24" s="23" t="str">
        <x:v>视觉规范</x:v>
      </x:c>
      <x:c r="I24" s="23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J24" s="23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K24" s="23" t="str">
        <x:v>开发对齐现有框架、规范开发</x:v>
      </x:c>
      <x:c r="L24" s="23" t="str">
        <x:v>未填写</x:v>
      </x:c>
      <x:c r="M24" s="23" t="str">
        <x:v>UI18</x:v>
      </x:c>
      <x:c r="N24" s="23" t="str">
        <x:v>EV31 / EV32</x:v>
      </x:c>
    </x:row>
    <x:row r="25" ht="116.25" customHeight="1">
      <x:c r="A25" s="21" t="str">
        <x:v>RV19</x:v>
      </x:c>
      <x:c r="B25" s="21" t="str">
        <x:v>review-a7e8b941e2</x:v>
      </x:c>
      <x:c r="C25" s="21" t="str">
        <x:v>所有列表区</x:v>
      </x:c>
      <x:c r="D25" s="21" t="str">
        <x:v>P0</x:v>
      </x:c>
      <x:c r="E25" s="21" t="str">
        <x:v>🟢 直接复用</x:v>
      </x:c>
      <x:c r="F25" s="21" t="str">
        <x:v>待确认</x:v>
      </x:c>
      <x:c r="G25" s="21" t="str">
        <x:v>产品</x:v>
      </x:c>
      <x:c r="H25" s="21" t="str">
        <x:v>交互逻辑 / 视觉规范</x:v>
      </x:c>
      <x:c r="I25" s="21" t="str">
        <x:v>编码使用蓝色链接态但无点击能力，存在错误交互暗示</x:v>
      </x:c>
      <x:c r="J25" s="21" t="str">
        <x:v>建议无跳转能力时改为普通文本；如需作为详情入口，则补充完整点击交互。</x:v>
      </x:c>
      <x:c r="K25" s="21" t="str">
        <x:v>先确认服务单元编码是否需要承担详情入口；不需要则取消蓝色链接态，需要则补充可点击交互。@人员04</x:v>
      </x:c>
      <x:c r="L25" s="21" t="str">
        <x:v>未填写</x:v>
      </x:c>
      <x:c r="M25" s="21" t="str">
        <x:v>UI19</x:v>
      </x:c>
      <x:c r="N25" s="21" t="str">
        <x:v>EV33</x:v>
      </x:c>
    </x:row>
    <x:row r="26" ht="152.25" customHeight="1">
      <x:c r="A26" s="23" t="str">
        <x:v>RV20</x:v>
      </x:c>
      <x:c r="B26" s="23" t="str">
        <x:v>review-f228825adf</x:v>
      </x:c>
      <x:c r="C26" s="23" t="str">
        <x:v>Ai 建档解析</x:v>
      </x:c>
      <x:c r="D26" s="23" t="str">
        <x:v>P0</x:v>
      </x:c>
      <x:c r="E26" s="23" t="str">
        <x:v>🟢 直接复用</x:v>
      </x:c>
      <x:c r="F26" s="23" t="str">
        <x:v>待确认</x:v>
      </x:c>
      <x:c r="G26" s="23" t="str">
        <x:v>产品</x:v>
      </x:c>
      <x:c r="H26" s="23" t="str">
        <x:v>交互逻辑</x:v>
      </x:c>
      <x:c r="I26" s="23" t="str">
        <x:v>当前原型使用弹窗承载，信息量较大、操作链路较长。</x:v>
      </x:c>
      <x:c r="J26" s="23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K26" s="23" t="str">
        <x:v>产品按照独立表单页框架调整原型</x:v>
      </x:c>
      <x:c r="L26" s="23" t="str">
        <x:v>未填写</x:v>
      </x:c>
      <x:c r="M26" s="23" t="str">
        <x:v>UI20</x:v>
      </x:c>
      <x:c r="N26" s="23" t="str">
        <x:v>EV34 / EV35 / EV36 / EV37</x:v>
      </x:c>
    </x:row>
    <x:row r="27" ht="112.5" customHeight="1">
      <x:c r="A27" s="21" t="str">
        <x:v>RV21</x:v>
      </x:c>
      <x:c r="B27" s="21" t="str">
        <x:v>review-70bd2614ce</x:v>
      </x:c>
      <x:c r="C27" s="21" t="str">
        <x:v>全局</x:v>
      </x:c>
      <x:c r="D27" s="21" t="str">
        <x:v>P1</x:v>
      </x:c>
      <x:c r="E27" s="21" t="str">
        <x:v>🟢 直接复用</x:v>
      </x:c>
      <x:c r="F27" s="21" t="str">
        <x:v>待确认</x:v>
      </x:c>
      <x:c r="G27" s="21" t="str">
        <x:v>开发</x:v>
      </x:c>
      <x:c r="H27" s="21" t="str">
        <x:v>交互逻辑</x:v>
      </x:c>
      <x:c r="I27" s="21" t="str">
        <x:v>当前页面刷新后会跳转至其他页面，未保持当前路由，导致用户操作上下文中断。</x:v>
      </x:c>
      <x:c r="J27" s="21" t="str">
        <x:v>页面刷新后应保持当前页面及必要状态，不应发生非预期跳转。</x:v>
      </x:c>
      <x:c r="K27" s="21" t="str">
        <x:v>检查当前路由及刷新逻辑，调整为刷新后保持当前页面；如有特殊跳转逻辑需产品确认</x:v>
      </x:c>
      <x:c r="L27" s="21" t="str">
        <x:v>未填写</x:v>
      </x:c>
      <x:c r="M27" s="21" t="str">
        <x:v>UI21</x:v>
      </x:c>
      <x:c r="N27" s="21" t="str"/>
    </x:row>
    <x:row r="28" ht="152.25" customHeight="1">
      <x:c r="A28" s="23" t="str">
        <x:v>RV22</x:v>
      </x:c>
      <x:c r="B28" s="23" t="str">
        <x:v>review-f828afea0f</x:v>
      </x:c>
      <x:c r="C28" s="23" t="str">
        <x:v>服务单元</x:v>
      </x:c>
      <x:c r="D28" s="23" t="str">
        <x:v>P0</x:v>
      </x:c>
      <x:c r="E28" s="23" t="str">
        <x:v>🟢 直接复用</x:v>
      </x:c>
      <x:c r="F28" s="23" t="str">
        <x:v>待确认</x:v>
      </x:c>
      <x:c r="G28" s="23" t="str">
        <x:v>开发 / 产品</x:v>
      </x:c>
      <x:c r="H28" s="23" t="str">
        <x:v>组件使用</x:v>
      </x:c>
      <x:c r="I28" s="23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J28" s="23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K28" s="23" t="str">
        <x:v>按现有详情 Drawer 结构调整</x:v>
      </x:c>
      <x:c r="L28" s="23" t="str">
        <x:v>未填写</x:v>
      </x:c>
      <x:c r="M28" s="23" t="str">
        <x:v>UI07 / UI30</x:v>
      </x:c>
      <x:c r="N28" s="23" t="str">
        <x:v>EV38 / EV39 / EV40</x:v>
      </x:c>
    </x:row>
    <x:row r="29" ht="112.5" customHeight="1">
      <x:c r="A29" s="21" t="str">
        <x:v>RV23</x:v>
      </x:c>
      <x:c r="B29" s="21" t="str">
        <x:v>review-b8b8e36a2b</x:v>
      </x:c>
      <x:c r="C29" s="21" t="str">
        <x:v>服务单元</x:v>
      </x:c>
      <x:c r="D29" s="21" t="str">
        <x:v>P0</x:v>
      </x:c>
      <x:c r="E29" s="21" t="str">
        <x:v>🟢 直接复用</x:v>
      </x:c>
      <x:c r="F29" s="21" t="str">
        <x:v>待确认</x:v>
      </x:c>
      <x:c r="G29" s="21" t="str">
        <x:v>开发</x:v>
      </x:c>
      <x:c r="H29" s="21" t="str">
        <x:v>信息层级</x:v>
      </x:c>
      <x:c r="I29" s="21" t="str">
        <x:v>1、AI文档建档、新建服务单元位置不合适，
2、当前列表卡片内额外设置 服务单元列表 标题</x:v>
      </x:c>
      <x:c r="J29" s="21" t="str">
        <x:v>1、参照通用框架，将两个创建入口统一调整至页头栏右侧。
2、参照通用框架，取消 服务单元列表 标题</x:v>
      </x:c>
      <x:c r="K29" s="21" t="str">
        <x:v>使用通用列表页框架开发</x:v>
      </x:c>
      <x:c r="L29" s="21" t="str">
        <x:v>未填写</x:v>
      </x:c>
      <x:c r="M29" s="21" t="str">
        <x:v>UI22</x:v>
      </x:c>
      <x:c r="N29" s="21" t="str">
        <x:v>EV41 / EV42</x:v>
      </x:c>
    </x:row>
    <x:row r="30" ht="112.5" customHeight="1">
      <x:c r="A30" s="24" t="str">
        <x:v>RV24</x:v>
      </x:c>
      <x:c r="B30" s="24" t="str">
        <x:v>review-dfa7090250</x:v>
      </x:c>
      <x:c r="C30" s="24" t="str"/>
      <x:c r="D30" s="24" t="str"/>
      <x:c r="E30" s="24" t="str">
        <x:v>🟢 直接复用</x:v>
      </x:c>
      <x:c r="F30" s="24" t="str"/>
      <x:c r="G30" s="24" t="str"/>
      <x:c r="H30" s="24" t="str"/>
      <x:c r="I30" s="24" t="str">
        <x:v>未填写</x:v>
      </x:c>
      <x:c r="J30" s="24" t="str">
        <x:v>未填写</x:v>
      </x:c>
      <x:c r="K30" s="24" t="str">
        <x:v>未填写</x:v>
      </x:c>
      <x:c r="L30" s="24" t="str">
        <x:v>未填写</x:v>
      </x:c>
      <x:c r="M30" s="24" t="str">
        <x:v>仅保留空白占位，未生成修改项</x:v>
      </x:c>
      <x:c r="N30" s="24" t="str"/>
    </x:row>
    <x:row r="31" ht="21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</x:sheetData>
  <x:mergeCells>
    <x:mergeCell ref="A1:F2"/>
    <x:mergeCell ref="A4:F4"/>
  </x:mergeCells>
  <x:pageMargins left="0.7" right="0.7" top="0.75" bottom="0.75" header="0.3" footer="0.3"/>
  <x:tableParts count="1">
    <x:tablePart xmlns:r="http://schemas.openxmlformats.org/officeDocument/2006/relationships" r:id="R521317c4676d4acb"/>
  </x:tableParts>
</x:worksheet>
</file>

<file path=xl/worksheets/sheet4.xml><?xml version="1.0" encoding="utf-8"?>
<x:worksheet xmlns:x="http://schemas.openxmlformats.org/spreadsheetml/2006/main">
  <x:sheetPr>
    <x:tabColor rgb="FF046EFC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21.25" hidden="0" customWidth="1"/>
    <x:col min="4" max="4" width="48.75" hidden="0" customWidth="1"/>
    <x:col min="5" max="5" width="21.8799991607666" hidden="0" customWidth="1"/>
    <x:col min="6" max="6" width="25" hidden="0" customWidth="1"/>
    <x:col min="7" max="7" width="18.75" hidden="0" customWidth="1"/>
    <x:col min="8" max="8" width="40" hidden="0" customWidth="1"/>
  </x:cols>
  <x:sheetData>
    <x:row r="1" ht="21" customHeight="1">
      <x:c r="A1" s="6" t="str">
        <x:v>UI 规范检查矩阵｜28个维度</x:v>
      </x:c>
      <x:c r="B1" s="6" t="str">
        <x:v>SpecChecks</x:v>
      </x:c>
      <x:c r="C1" s="6" t="str">
        <x:v>SpecChecks</x:v>
      </x:c>
      <x:c r="D1" s="6" t="str">
        <x:v>SpecChecks</x:v>
      </x:c>
      <x:c r="E1" s="6" t="str">
        <x:v>SpecChecks</x:v>
      </x:c>
      <x:c r="F1" s="6" t="str">
        <x:v>SpecChecks</x:v>
      </x:c>
      <x:c r="G1" s="3"/>
      <x:c r="H1" s="3"/>
    </x:row>
    <x:row r="2" ht="21" customHeight="1">
      <x:c r="A2" s="6" t="str">
        <x:v>SpecChecks</x:v>
      </x:c>
      <x:c r="B2" s="6" t="str">
        <x:v>SpecChecks</x:v>
      </x:c>
      <x:c r="C2" s="6" t="str">
        <x:v>SpecChecks</x:v>
      </x:c>
      <x:c r="D2" s="6" t="str">
        <x:v>SpecChecks</x:v>
      </x:c>
      <x:c r="E2" s="6" t="str">
        <x:v>SpecChecks</x:v>
      </x:c>
      <x:c r="F2" s="6" t="str">
        <x:v>SpecChecks</x:v>
      </x:c>
      <x:c r="G2" s="3"/>
      <x:c r="H2" s="3"/>
    </x:row>
    <x:row r="3" ht="21" customHeight="1">
      <x:c r="A3" s="3"/>
      <x:c r="B3" s="3"/>
      <x:c r="C3" s="3"/>
      <x:c r="D3" s="3"/>
      <x:c r="E3" s="3"/>
      <x:c r="F3" s="3"/>
      <x:c r="G3" s="3"/>
      <x:c r="H3" s="3"/>
    </x:row>
    <x:row r="4" ht="39" customHeight="1">
      <x:c r="A4" s="3" t="str">
        <x:v>以 V1.2 revision 5256 为准。未运行的检查不标通过；规范例外/矛盾先列决策，不擅自更改共享组件或数值契约。</x:v>
      </x:c>
      <x:c r="B4" s="3"/>
      <x:c r="C4" s="3"/>
      <x:c r="D4" s="3"/>
      <x:c r="E4" s="3"/>
      <x:c r="F4" s="3"/>
      <x:c r="G4" s="3"/>
      <x:c r="H4" s="3"/>
    </x:row>
    <x:row r="5" ht="21" customHeight="1">
      <x:c r="A5" s="3"/>
      <x:c r="B5" s="3"/>
      <x:c r="C5" s="3"/>
      <x:c r="D5" s="3"/>
      <x:c r="E5" s="3"/>
      <x:c r="F5" s="3"/>
      <x:c r="G5" s="3"/>
      <x:c r="H5" s="3"/>
    </x:row>
    <x:row r="6" ht="31.5" customHeight="1">
      <x:c r="A6" s="18" t="str">
        <x:v>检查编号</x:v>
      </x:c>
      <x:c r="B6" s="18" t="str">
        <x:v>规范维度</x:v>
      </x:c>
      <x:c r="C6" s="18" t="str">
        <x:v>规范引用</x:v>
      </x:c>
      <x:c r="D6" s="18" t="str">
        <x:v>规范要求（摘录）</x:v>
      </x:c>
      <x:c r="E6" s="18" t="str">
        <x:v>适用范围</x:v>
      </x:c>
      <x:c r="F6" s="18" t="str">
        <x:v>本次核对结论</x:v>
      </x:c>
      <x:c r="G6" s="18" t="str">
        <x:v>关联修改项</x:v>
      </x:c>
      <x:c r="H6" s="18" t="str">
        <x:v>检查方式</x:v>
      </x:c>
    </x:row>
    <x:row r="7" ht="84" customHeight="1">
      <x:c r="A7" s="20" t="str">
        <x:v>QC01</x:v>
      </x:c>
      <x:c r="B7" s="20" t="str">
        <x:v>主色与交互色</x:v>
      </x:c>
      <x:c r="C7" s="20" t="str">
        <x:v>N01 / §3.1</x:v>
      </x:c>
      <x:c r="D7" s="20" t="str">
        <x:v>#046EFC / hover #035ED4 / active #0242A8</x:v>
      </x:c>
      <x:c r="E7" s="20" t="str">
        <x:v>全局 Token 与业务页</x:v>
      </x:c>
      <x:c r="F7" s="20" t="str">
        <x:v>Core具备；业务未全测</x:v>
      </x:c>
      <x:c r="G7" s="20" t="str">
        <x:v>UI10/UI18</x:v>
      </x:c>
      <x:c r="H7" s="20" t="str">
        <x:v>计算样式检查按钮、链接、选中态；禁止自定义近似蓝色</x:v>
      </x:c>
    </x:row>
    <x:row r="8" ht="84" customHeight="1">
      <x:c r="A8" s="23" t="str">
        <x:v>QC02</x:v>
      </x:c>
      <x:c r="B8" s="23" t="str">
        <x:v>语义色</x:v>
      </x:c>
      <x:c r="C8" s="23" t="str">
        <x:v>N02 / §3.1</x:v>
      </x:c>
      <x:c r="D8" s="23" t="str">
        <x:v>成功#18A058；警示#E87D13；错误#E24B4A；信息#046EFC</x:v>
      </x:c>
      <x:c r="E8" s="23" t="str">
        <x:v>确认、错误和状态</x:v>
      </x:c>
      <x:c r="F8" s="23" t="str">
        <x:v>需业务复测</x:v>
      </x:c>
      <x:c r="G8" s="23" t="str">
        <x:v>UI09</x:v>
      </x:c>
      <x:c r="H8" s="23" t="str">
        <x:v>核对图标/色彩/文本同时表达语义</x:v>
      </x:c>
    </x:row>
    <x:row r="9" ht="84" customHeight="1">
      <x:c r="A9" s="21" t="str">
        <x:v>QC03</x:v>
      </x:c>
      <x:c r="B9" s="21" t="str">
        <x:v>中性色</x:v>
      </x:c>
      <x:c r="C9" s="21" t="str">
        <x:v>N03 / §3.1</x:v>
      </x:c>
      <x:c r="D9" s="21" t="str">
        <x:v>页底#EFF2F7；卡片白；表面#F7F7F7；正文#4B5564；标题#1A2130</x:v>
      </x:c>
      <x:c r="E9" s="21" t="str">
        <x:v>页面背景与文本</x:v>
      </x:c>
      <x:c r="F9" s="21" t="str">
        <x:v>Core具备；业务未全测</x:v>
      </x:c>
      <x:c r="G9" s="21" t="str">
        <x:v>UI10/UI14</x:v>
      </x:c>
      <x:c r="H9" s="21" t="str">
        <x:v>读计算样式并核对文本层级</x:v>
      </x:c>
    </x:row>
    <x:row r="10" ht="84" customHeight="1">
      <x:c r="A10" s="23" t="str">
        <x:v>QC04</x:v>
      </x:c>
      <x:c r="B10" s="23" t="str">
        <x:v>字体层级</x:v>
      </x:c>
      <x:c r="C10" s="23" t="str">
        <x:v>N05 / §3.2</x:v>
      </x:c>
      <x:c r="D10" s="23" t="str">
        <x:v>H1 20/500；H2 16/500；H3 14/500；正文14/400；辅助13、12；不使用600/700</x:v>
      </x:c>
      <x:c r="E10" s="23" t="str">
        <x:v>标题、表格及说明</x:v>
      </x:c>
      <x:c r="F10" s="23" t="str">
        <x:v>需业务复测</x:v>
      </x:c>
      <x:c r="G10" s="23" t="str">
        <x:v>UI12/UI18</x:v>
      </x:c>
      <x:c r="H10" s="23" t="str">
        <x:v>逐页检查字号、字重和行高</x:v>
      </x:c>
    </x:row>
    <x:row r="11" ht="84" customHeight="1">
      <x:c r="A11" s="21" t="str">
        <x:v>QC05</x:v>
      </x:c>
      <x:c r="B11" s="21" t="str">
        <x:v>间距</x:v>
      </x:c>
      <x:c r="C11" s="21" t="str">
        <x:v>N06 / §3.3</x:v>
      </x:c>
      <x:c r="D11" s="21" t="str">
        <x:v>4、8、16、24、32、48px；桌面页内容24px</x:v>
      </x:c>
      <x:c r="E11" s="21" t="str">
        <x:v>表单、列表、按钮</x:v>
      </x:c>
      <x:c r="F11" s="21" t="str">
        <x:v>需业务复测</x:v>
      </x:c>
      <x:c r="G11" s="21" t="str">
        <x:v>UI13/UI14/UI20</x:v>
      </x:c>
      <x:c r="H11" s="21" t="str">
        <x:v>测容器padding、控件gap、按钮间距</x:v>
      </x:c>
    </x:row>
    <x:row r="12" ht="84" customHeight="1">
      <x:c r="A12" s="23" t="str">
        <x:v>QC06</x:v>
      </x:c>
      <x:c r="B12" s="23" t="str">
        <x:v>圆角</x:v>
      </x:c>
      <x:c r="C12" s="23" t="str">
        <x:v>N07 / §3.4</x:v>
      </x:c>
      <x:c r="D12" s="23" t="str">
        <x:v>控件8；卡片12；Modal/Drawer16px</x:v>
      </x:c>
      <x:c r="E12" s="23" t="str">
        <x:v>弹窗与抽屉</x:v>
      </x:c>
      <x:c r="F12" s="23" t="str">
        <x:v>待明确Drawer例外</x:v>
      </x:c>
      <x:c r="G12" s="23" t="str">
        <x:v>UI28</x:v>
      </x:c>
      <x:c r="H12" s="23" t="str">
        <x:v>核对实际样式与贴边直角的适用范围</x:v>
      </x:c>
    </x:row>
    <x:row r="13" ht="84" customHeight="1">
      <x:c r="A13" s="21" t="str">
        <x:v>QC07</x:v>
      </x:c>
      <x:c r="B13" s="21" t="str">
        <x:v>图标</x:v>
      </x:c>
      <x:c r="C13" s="21" t="str">
        <x:v>N08 / §3.7</x:v>
      </x:c>
      <x:c r="D13" s="21" t="str">
        <x:v>Arco；行内16、操作20、装饰24；色继承；不用emoji</x:v>
      </x:c>
      <x:c r="E13" s="21" t="str">
        <x:v>全局/详情</x:v>
      </x:c>
      <x:c r="F13" s="21" t="str">
        <x:v>本地原型差异已见</x:v>
      </x:c>
      <x:c r="G13" s="21" t="str">
        <x:v>UI09/UI30</x:v>
      </x:c>
      <x:c r="H13" s="21" t="str">
        <x:v>详情标题图标及警示确认检查</x:v>
      </x:c>
    </x:row>
    <x:row r="14" ht="84" customHeight="1">
      <x:c r="A14" s="23" t="str">
        <x:v>QC08</x:v>
      </x:c>
      <x:c r="B14" s="23" t="str">
        <x:v>唯一页头</x:v>
      </x:c>
      <x:c r="C14" s="23" t="str">
        <x:v>N09 / 页头</x:v>
      </x:c>
      <x:c r="D14" s="23" t="str">
        <x:v>唯一H1；面包屑在页头；可选单行说明；动作右对齐末行</x:v>
      </x:c>
      <x:c r="E14" s="23" t="str">
        <x:v>全部业务页</x:v>
      </x:c>
      <x:c r="F14" s="23" t="str">
        <x:v>业务迁移待核对</x:v>
      </x:c>
      <x:c r="G14" s="23" t="str">
        <x:v>UI12/UI22</x:v>
      </x:c>
      <x:c r="H14" s="23" t="str">
        <x:v>全量路由截图逐页比对</x:v>
      </x:c>
    </x:row>
    <x:row r="15" ht="84" customHeight="1">
      <x:c r="A15" s="21" t="str">
        <x:v>QC09</x:v>
      </x:c>
      <x:c r="B15" s="21" t="str">
        <x:v>页头档位</x:v>
      </x:c>
      <x:c r="C15" s="21" t="str">
        <x:v>N10 / 页头</x:v>
      </x:c>
      <x:c r="D15" s="21" t="str">
        <x:v>完整120、标准94、紧凑68px；94与4倍数描述冲突</x:v>
      </x:c>
      <x:c r="E15" s="21" t="str">
        <x:v>PageHeader</x:v>
      </x:c>
      <x:c r="F15" s="21" t="str">
        <x:v>规范待决</x:v>
      </x:c>
      <x:c r="G15" s="21" t="str">
        <x:v>UI29</x:v>
      </x:c>
      <x:c r="H15" s="21" t="str">
        <x:v>UI确认后核对Token及实际高度</x:v>
      </x:c>
    </x:row>
    <x:row r="16" ht="84" customHeight="1">
      <x:c r="A16" s="23" t="str">
        <x:v>QC10</x:v>
      </x:c>
      <x:c r="B16" s="23" t="str">
        <x:v>Tab视觉</x:v>
      </x:c>
      <x:c r="C16" s="23" t="str">
        <x:v>§5.17 正文</x:v>
      </x:c>
      <x:c r="D16" s="23" t="str">
        <x:v>页头48px/14/500/gap24；列表40px/14/400/gap16；底线2px主色；水平padding0</x:v>
      </x:c>
      <x:c r="E16" s="23" t="str">
        <x:v>基础配置</x:v>
      </x:c>
      <x:c r="F16" s="23" t="str">
        <x:v>目标实现未找到</x:v>
      </x:c>
      <x:c r="G16" s="23" t="str">
        <x:v>UI01</x:v>
      </x:c>
      <x:c r="H16" s="23" t="str">
        <x:v>两层分类切换及计算样式对照</x:v>
      </x:c>
    </x:row>
    <x:row r="17" ht="84" customHeight="1">
      <x:c r="A17" s="21" t="str">
        <x:v>QC11</x:v>
      </x:c>
      <x:c r="B17" s="21" t="str">
        <x:v>Tab语义与键盘</x:v>
      </x:c>
      <x:c r="C17" s="21" t="str">
        <x:v>§5.17 正文</x:v>
      </x:c>
      <x:c r="D17" s="21" t="str">
        <x:v>单选；aria-selected；tablist/tab/tabpanel；方向键/Home/End</x:v>
      </x:c>
      <x:c r="E17" s="21" t="str">
        <x:v>基础配置</x:v>
      </x:c>
      <x:c r="F17" s="21" t="str">
        <x:v>未执行运行验证</x:v>
      </x:c>
      <x:c r="G17" s="21" t="str">
        <x:v>UI27</x:v>
      </x:c>
      <x:c r="H17" s="21" t="str">
        <x:v>键盘+可访问树检验</x:v>
      </x:c>
    </x:row>
    <x:row r="18" ht="84" customHeight="1">
      <x:c r="A18" s="23" t="str">
        <x:v>QC12</x:v>
      </x:c>
      <x:c r="B18" s="23" t="str">
        <x:v>手动多组展开</x:v>
      </x:c>
      <x:c r="C18" s="23" t="str">
        <x:v>RV02 专项</x:v>
      </x:c>
      <x:c r="D18" s="23" t="str">
        <x:v>手动展开不限多组；跨组选择子项才收起其他组</x:v>
      </x:c>
      <x:c r="E18" s="23" t="str">
        <x:v>AppSider</x:v>
      </x:c>
      <x:c r="F18" s="23" t="str">
        <x:v>代码差异</x:v>
      </x:c>
      <x:c r="G18" s="23" t="str">
        <x:v>UI02</x:v>
      </x:c>
      <x:c r="H18" s="23" t="str">
        <x:v>区分两种动作并检查祖先展开</x:v>
      </x:c>
    </x:row>
    <x:row r="19" ht="84" customHeight="1">
      <x:c r="A19" s="21" t="str">
        <x:v>QC13</x:v>
      </x:c>
      <x:c r="B19" s="21" t="str">
        <x:v>筛选布局及行为</x:v>
      </x:c>
      <x:c r="C19" s="21" t="str">
        <x:v>RV13 / §6.1</x:v>
      </x:c>
      <x:c r="D19" s="21" t="str">
        <x:v>按业务字段自然排布；查询/重置标准尺寸及刷新反馈</x:v>
      </x:c>
      <x:c r="E19" s="21" t="str">
        <x:v>列表</x:v>
      </x:c>
      <x:c r="F19" s="21" t="str">
        <x:v>行为未全测</x:v>
      </x:c>
      <x:c r="G19" s="21" t="str">
        <x:v>UI13</x:v>
      </x:c>
      <x:c r="H19" s="21" t="str">
        <x:v>多选/日期/关键词一起筛选与重置</x:v>
      </x:c>
    </x:row>
    <x:row r="20" ht="84" customHeight="1">
      <x:c r="A20" s="23" t="str">
        <x:v>QC14</x:v>
      </x:c>
      <x:c r="B20" s="23" t="str">
        <x:v>Table尺寸</x:v>
      </x:c>
      <x:c r="C20" s="23" t="str">
        <x:v>N11 / Table</x:v>
      </x:c>
      <x:c r="D20" s="23" t="str">
        <x:v>48px行高；表头#F7F7F7/500；分割线1px#EBEBEB</x:v>
      </x:c>
      <x:c r="E20" s="23" t="str">
        <x:v>列表</x:v>
      </x:c>
      <x:c r="F20" s="23" t="str">
        <x:v>待迁移验证</x:v>
      </x:c>
      <x:c r="G20" s="23" t="str">
        <x:v>UI14/UI18</x:v>
      </x:c>
      <x:c r="H20" s="23" t="str">
        <x:v>测行高、表头及容器padding</x:v>
      </x:c>
    </x:row>
    <x:row r="21" ht="84" customHeight="1">
      <x:c r="A21" s="21" t="str">
        <x:v>QC15</x:v>
      </x:c>
      <x:c r="B21" s="21" t="str">
        <x:v>列对齐</x:v>
      </x:c>
      <x:c r="C21" s="21" t="str">
        <x:v>N12</x:v>
      </x:c>
      <x:c r="D21" s="21" t="str">
        <x:v>文本/状态/时间/操作左对齐；金额/重量/数量右对齐</x:v>
      </x:c>
      <x:c r="E21" s="21" t="str">
        <x:v>示例及业务表格</x:v>
      </x:c>
      <x:c r="F21" s="21" t="str">
        <x:v>示例代码差异</x:v>
      </x:c>
      <x:c r="G21" s="21" t="str">
        <x:v>UI25</x:v>
      </x:c>
      <x:c r="H21" s="21" t="str">
        <x:v>检查操作列配置及表头对齐</x:v>
      </x:c>
    </x:row>
    <x:row r="22" ht="84" customHeight="1">
      <x:c r="A22" s="23" t="str">
        <x:v>QC16</x:v>
      </x:c>
      <x:c r="B22" s="23" t="str">
        <x:v>行状态</x:v>
      </x:c>
      <x:c r="C22" s="23" t="str">
        <x:v>N13</x:v>
      </x:c>
      <x:c r="D22" s="23" t="str">
        <x:v>默认白；hover#EBF3FD；选中#D1E4FB；固定列也覆盖</x:v>
      </x:c>
      <x:c r="E22" s="23" t="str">
        <x:v>列表</x:v>
      </x:c>
      <x:c r="F22" s="23" t="str">
        <x:v>未执行实时状态测试</x:v>
      </x:c>
      <x:c r="G22" s="23" t="str">
        <x:v>UI18</x:v>
      </x:c>
      <x:c r="H22" s="23" t="str">
        <x:v>hover+选中+横向滚动检查</x:v>
      </x:c>
    </x:row>
    <x:row r="23" ht="84" customHeight="1">
      <x:c r="A23" s="21" t="str">
        <x:v>QC17</x:v>
      </x:c>
      <x:c r="B23" s="21" t="str">
        <x:v>选择/批量栏</x:v>
      </x:c>
      <x:c r="C23" s="21" t="str">
        <x:v>N14 / RV17</x:v>
      </x:c>
      <x:c r="D23" s="21" t="str">
        <x:v>全/空/部分选择；选中&gt;=1显示表格顶部批量栏</x:v>
      </x:c>
      <x:c r="E23" s="21" t="str">
        <x:v>列表</x:v>
      </x:c>
      <x:c r="F23" s="21" t="str">
        <x:v>框架能力可复用</x:v>
      </x:c>
      <x:c r="G23" s="21" t="str">
        <x:v>UI17</x:v>
      </x:c>
      <x:c r="H23" s="21" t="str">
        <x:v>0/1/多选、切页、取消，检查不遮挡</x:v>
      </x:c>
    </x:row>
    <x:row r="24" ht="84" customHeight="1">
      <x:c r="A24" s="23" t="str">
        <x:v>QC18</x:v>
      </x:c>
      <x:c r="B24" s="23" t="str">
        <x:v>固定列</x:v>
      </x:c>
      <x:c r="C24" s="23" t="str">
        <x:v>N11 / RV16</x:v>
      </x:c>
      <x:c r="D24" s="23" t="str">
        <x:v>左选择+必要标识；右操作；分隔阴影；避免过度冻结</x:v>
      </x:c>
      <x:c r="E24" s="23" t="str">
        <x:v>宽表格</x:v>
      </x:c>
      <x:c r="F24" s="23" t="str">
        <x:v>需业务复测</x:v>
      </x:c>
      <x:c r="G24" s="23" t="str">
        <x:v>UI16</x:v>
      </x:c>
      <x:c r="H24" s="23" t="str">
        <x:v>滚动两端/中间与固定区同色</x:v>
      </x:c>
    </x:row>
    <x:row r="25" ht="84" customHeight="1">
      <x:c r="A25" s="21" t="str">
        <x:v>QC19</x:v>
      </x:c>
      <x:c r="B25" s="21" t="str">
        <x:v>分页</x:v>
      </x:c>
      <x:c r="C25" s="21" t="str">
        <x:v>RV15 / Table</x:v>
      </x:c>
      <x:c r="D25" s="21" t="str">
        <x:v>复用total/page/pageSize/jump；按业务配置显示</x:v>
      </x:c>
      <x:c r="E25" s="21" t="str">
        <x:v>列表</x:v>
      </x:c>
      <x:c r="F25" s="21" t="str">
        <x:v>接口未验证</x:v>
      </x:c>
      <x:c r="G25" s="21" t="str">
        <x:v>UI15</x:v>
      </x:c>
      <x:c r="H25" s="21" t="str">
        <x:v>边界页、筛选后页码、页容量变化</x:v>
      </x:c>
    </x:row>
    <x:row r="26" ht="84" customHeight="1">
      <x:c r="A26" s="23" t="str">
        <x:v>QC20</x:v>
      </x:c>
      <x:c r="B26" s="23" t="str">
        <x:v>空态区分</x:v>
      </x:c>
      <x:c r="C26" s="23" t="str">
        <x:v>N15/N21 / §7.2</x:v>
      </x:c>
      <x:c r="D26" s="23" t="str">
        <x:v>初始无数据→新增；筛选无结果→调整/清空筛选；无权限→联系管理员</x:v>
      </x:c>
      <x:c r="E26" s="23" t="str">
        <x:v>国家筛选</x:v>
      </x:c>
      <x:c r="F26" s="23" t="str">
        <x:v>线上差异已见</x:v>
      </x:c>
      <x:c r="G26" s="23" t="str">
        <x:v>UI23</x:v>
      </x:c>
      <x:c r="H26" s="23" t="str">
        <x:v>复测三种空态及失败/加载</x:v>
      </x:c>
    </x:row>
    <x:row r="27" ht="84" customHeight="1">
      <x:c r="A27" s="21" t="str">
        <x:v>QC21</x:v>
      </x:c>
      <x:c r="B27" s="21" t="str">
        <x:v>Drawer基础</x:v>
      </x:c>
      <x:c r="C27" s="21" t="str">
        <x:v>N16/N17</x:v>
      </x:c>
      <x:c r="D27" s="21" t="str">
        <x:v>480/640px、全高靠右；标题16/500；内边距24；固定底部；遮罩.45</x:v>
      </x:c>
      <x:c r="E27" s="21" t="str">
        <x:v>详情/历史版本</x:v>
      </x:c>
      <x:c r="F27" s="21" t="str">
        <x:v>承载决策及实现待核对</x:v>
      </x:c>
      <x:c r="G27" s="21" t="str">
        <x:v>UI07/UI08</x:v>
      </x:c>
      <x:c r="H27" s="21" t="str">
        <x:v>长内容、关闭、遮罩、内部滚动与列表恢复</x:v>
      </x:c>
    </x:row>
    <x:row r="28" ht="84" customHeight="1">
      <x:c r="A28" s="23" t="str">
        <x:v>QC22</x:v>
      </x:c>
      <x:c r="B28" s="23" t="str">
        <x:v>Drawer状态</x:v>
      </x:c>
      <x:c r="C28" s="23" t="str">
        <x:v>N18</x:v>
      </x:c>
      <x:c r="D28" s="23" t="str">
        <x:v>打开250ms ease-out；关闭200ms ease-in；loading头部可关闭</x:v>
      </x:c>
      <x:c r="E28" s="23" t="str">
        <x:v>详情/历史版本</x:v>
      </x:c>
      <x:c r="F28" s="23" t="str">
        <x:v>未执行动效验证</x:v>
      </x:c>
      <x:c r="G28" s="23" t="str">
        <x:v>UI08</x:v>
      </x:c>
      <x:c r="H28" s="23" t="str">
        <x:v>慢请求/失败/长内容与返回列表</x:v>
      </x:c>
    </x:row>
    <x:row r="29" ht="84" customHeight="1">
      <x:c r="A29" s="21" t="str">
        <x:v>QC23</x:v>
      </x:c>
      <x:c r="B29" s="21" t="str">
        <x:v>新建编辑表单</x:v>
      </x:c>
      <x:c r="C29" s="21" t="str">
        <x:v>N20 / §6.4</x:v>
      </x:c>
      <x:c r="D29" s="21" t="str">
        <x:v>标题新增XXX/编辑XXX；长复杂任务独立页；必填与校验明确</x:v>
      </x:c>
      <x:c r="E29" s="21" t="str">
        <x:v>服务单元</x:v>
      </x:c>
      <x:c r="F29" s="21" t="str">
        <x:v>本地仍长弹窗</x:v>
      </x:c>
      <x:c r="G29" s="21" t="str">
        <x:v>UI06</x:v>
      </x:c>
      <x:c r="H29" s="21" t="str">
        <x:v>字段分组与完整保存/取消路径</x:v>
      </x:c>
    </x:row>
    <x:row r="30" ht="84" customHeight="1">
      <x:c r="A30" s="23" t="str">
        <x:v>QC24</x:v>
      </x:c>
      <x:c r="B30" s="23" t="str">
        <x:v>AI流程</x:v>
      </x:c>
      <x:c r="C30" s="23" t="str">
        <x:v>RV20 / §6.4/§7</x:v>
      </x:c>
      <x:c r="D30" s="23" t="str">
        <x:v>独立页；上传/解析/人工确认；失败可恢复</x:v>
      </x:c>
      <x:c r="E30" s="23" t="str">
        <x:v>AI建档</x:v>
      </x:c>
      <x:c r="F30" s="23" t="str">
        <x:v>待业务实施验证</x:v>
      </x:c>
      <x:c r="G30" s="23" t="str">
        <x:v>UI20</x:v>
      </x:c>
      <x:c r="H30" s="23" t="str">
        <x:v>不跳过人工确认；重试保留材料和状态</x:v>
      </x:c>
    </x:row>
    <x:row r="31" ht="84" customHeight="1">
      <x:c r="A31" s="21" t="str">
        <x:v>QC25</x:v>
      </x:c>
      <x:c r="B31" s="21" t="str">
        <x:v>金额与单位</x:v>
      </x:c>
      <x:c r="C31" s="21" t="str">
        <x:v>N22 / §9</x:v>
      </x:c>
      <x:c r="D31" s="21" t="str">
        <x:v>展示金额4位+币种+千分位；重量3位KG；数量整数；比例2%；体积4位CBM</x:v>
      </x:c>
      <x:c r="E31" s="21" t="str">
        <x:v>列表/表单</x:v>
      </x:c>
      <x:c r="F31" s="21" t="str">
        <x:v>输入契约待核对</x:v>
      </x:c>
      <x:c r="G31" s="21" t="str">
        <x:v>UI26</x:v>
      </x:c>
      <x:c r="H31" s="21" t="str">
        <x:v>边界数值与完整保存回显</x:v>
      </x:c>
    </x:row>
    <x:row r="32" ht="84" customHeight="1">
      <x:c r="A32" s="23" t="str">
        <x:v>QC26</x:v>
      </x:c>
      <x:c r="B32" s="23" t="str">
        <x:v>可操作视觉</x:v>
      </x:c>
      <x:c r="C32" s="23" t="str">
        <x:v>RV19</x:v>
      </x:c>
      <x:c r="D32" s="23" t="str">
        <x:v>蓝色链接有动作；无动作普通文字</x:v>
      </x:c>
      <x:c r="E32" s="23" t="str">
        <x:v>编码/入口</x:v>
      </x:c>
      <x:c r="F32" s="23" t="str">
        <x:v>需产品决策</x:v>
      </x:c>
      <x:c r="G32" s="23" t="str">
        <x:v>UI19/UI11</x:v>
      </x:c>
      <x:c r="H32" s="23" t="str">
        <x:v>鼠标+键盘逐个检查可见入口</x:v>
      </x:c>
    </x:row>
    <x:row r="33" ht="84" customHeight="1">
      <x:c r="A33" s="21" t="str">
        <x:v>QC27</x:v>
      </x:c>
      <x:c r="B33" s="21" t="str">
        <x:v>路由刷新</x:v>
      </x:c>
      <x:c r="C33" s="21" t="str">
        <x:v>RV21</x:v>
      </x:c>
      <x:c r="D33" s="21" t="str">
        <x:v>合法当前路由与必要状态保留；特殊跳转产品约定</x:v>
      </x:c>
      <x:c r="E33" s="21" t="str">
        <x:v>业务各页</x:v>
      </x:c>
      <x:c r="F33" s="21" t="str">
        <x:v>未执行登录态回归</x:v>
      </x:c>
      <x:c r="G33" s="21" t="str">
        <x:v>UI21</x:v>
      </x:c>
      <x:c r="H33" s="21" t="str">
        <x:v>刷新、深链、返回/前进、过期/无权限</x:v>
      </x:c>
    </x:row>
    <x:row r="34" ht="84" customHeight="1">
      <x:c r="A34" s="24" t="str">
        <x:v>QC28</x:v>
      </x:c>
      <x:c r="B34" s="24" t="str">
        <x:v>文案及字段名称</x:v>
      </x:c>
      <x:c r="C34" s="24" t="str">
        <x:v>§8 / RV04；补充标签检查</x:v>
      </x:c>
      <x:c r="D34" s="24" t="str">
        <x:v>删无关原型说明；保留必要帮助；控件有稳定字段名称</x:v>
      </x:c>
      <x:c r="E34" s="24" t="str">
        <x:v>业务页/国家表单</x:v>
      </x:c>
      <x:c r="F34" s="24" t="str">
        <x:v>局部差异已见</x:v>
      </x:c>
      <x:c r="G34" s="24" t="str">
        <x:v>UI04/UI24</x:v>
      </x:c>
      <x:c r="H34" s="24" t="str">
        <x:v>人工扫文案及可访问名称、错误关联</x:v>
      </x:c>
    </x:row>
    <x:row r="35" ht="21" customHeight="1">
      <x:c r="A35" s="3"/>
      <x:c r="B35" s="3"/>
      <x:c r="C35" s="3"/>
      <x:c r="D35" s="3"/>
      <x:c r="E35" s="3"/>
      <x:c r="F35" s="3"/>
      <x:c r="G35" s="3"/>
      <x:c r="H35" s="3"/>
    </x:row>
  </x:sheetData>
  <x:mergeCells>
    <x:mergeCell ref="A1:F2"/>
    <x:mergeCell ref="A4:F4"/>
  </x:mergeCells>
  <x:pageMargins left="0.7" right="0.7" top="0.75" bottom="0.75" header="0.3" footer="0.3"/>
  <x:tableParts count="1">
    <x:tablePart xmlns:r="http://schemas.openxmlformats.org/officeDocument/2006/relationships" r:id="R9477ba00e1d240de"/>
  </x:tableParts>
</x:worksheet>
</file>

<file path=xl/worksheets/sheet5.xml><?xml version="1.0" encoding="utf-8"?>
<x:worksheet xmlns:x="http://schemas.openxmlformats.org/spreadsheetml/2006/main">
  <x:sheetPr>
    <x:tabColor rgb="FF046EFC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7.5" hidden="0" customWidth="1"/>
    <x:col min="3" max="3" width="23.1299991607666" hidden="0" customWidth="1"/>
    <x:col min="4" max="4" width="21.25" hidden="0" customWidth="1"/>
    <x:col min="5" max="5" width="43.75" hidden="0" customWidth="1"/>
    <x:col min="6" max="6" width="16.25" hidden="0" customWidth="1"/>
    <x:col min="7" max="7" width="38.75" hidden="0" customWidth="1"/>
    <x:col min="8" max="8" width="21.8799991607666" hidden="0" customWidth="1"/>
  </x:cols>
  <x:sheetData>
    <x:row r="1" ht="21" customHeight="1">
      <x:c r="A1" s="6" t="str">
        <x:v>截图证据索引｜48张原图</x:v>
      </x:c>
      <x:c r="B1" s="6" t="str">
        <x:v>EvidenceIndex</x:v>
      </x:c>
      <x:c r="C1" s="6" t="str">
        <x:v>EvidenceIndex</x:v>
      </x:c>
      <x:c r="D1" s="6" t="str">
        <x:v>EvidenceIndex</x:v>
      </x:c>
      <x:c r="E1" s="6" t="str">
        <x:v>EvidenceIndex</x:v>
      </x:c>
      <x:c r="F1" s="6" t="str">
        <x:v>EvidenceIndex</x:v>
      </x:c>
      <x:c r="G1" s="3"/>
      <x:c r="H1" s="3"/>
    </x:row>
    <x:row r="2" ht="21" customHeight="1">
      <x:c r="A2" s="6" t="str">
        <x:v>EvidenceIndex</x:v>
      </x:c>
      <x:c r="B2" s="6" t="str">
        <x:v>EvidenceIndex</x:v>
      </x:c>
      <x:c r="C2" s="6" t="str">
        <x:v>EvidenceIndex</x:v>
      </x:c>
      <x:c r="D2" s="6" t="str">
        <x:v>EvidenceIndex</x:v>
      </x:c>
      <x:c r="E2" s="6" t="str">
        <x:v>EvidenceIndex</x:v>
      </x:c>
      <x:c r="F2" s="6" t="str">
        <x:v>EvidenceIndex</x:v>
      </x:c>
      <x:c r="G2" s="3"/>
      <x:c r="H2" s="3"/>
    </x:row>
    <x:row r="3" ht="21" customHeight="1">
      <x:c r="A3" s="3"/>
      <x:c r="B3" s="3"/>
      <x:c r="C3" s="3"/>
      <x:c r="D3" s="3"/>
      <x:c r="E3" s="3"/>
      <x:c r="F3" s="3"/>
      <x:c r="G3" s="3"/>
      <x:c r="H3" s="3"/>
    </x:row>
    <x:row r="4" ht="39" customHeight="1">
      <x:c r="A4" s="3" t="str">
        <x:v>所有原图位于工作簿同目录 evidence 文件夹；HTML报告可点击原图。SHA-256用于核对证据文件，附件截图不等于最新部署画面。</x:v>
      </x:c>
      <x:c r="B4" s="3"/>
      <x:c r="C4" s="3"/>
      <x:c r="D4" s="3"/>
      <x:c r="E4" s="3"/>
      <x:c r="F4" s="3"/>
      <x:c r="G4" s="3"/>
      <x:c r="H4" s="3"/>
    </x:row>
    <x:row r="5" ht="21" customHeight="1">
      <x:c r="A5" s="3"/>
      <x:c r="B5" s="3"/>
      <x:c r="C5" s="3"/>
      <x:c r="D5" s="3"/>
      <x:c r="E5" s="3"/>
      <x:c r="F5" s="3"/>
      <x:c r="G5" s="3"/>
      <x:c r="H5" s="3"/>
    </x:row>
    <x:row r="6" ht="31.5" customHeight="1">
      <x:c r="A6" s="18" t="str">
        <x:v>证据ID</x:v>
      </x:c>
      <x:c r="B6" s="18" t="str">
        <x:v>Review引用</x:v>
      </x:c>
      <x:c r="C6" s="18" t="str">
        <x:v>证据类型</x:v>
      </x:c>
      <x:c r="D6" s="18" t="str">
        <x:v>模块 / 上下文</x:v>
      </x:c>
      <x:c r="E6" s="18" t="str">
        <x:v>本地原图相对路径</x:v>
      </x:c>
      <x:c r="F6" s="18" t="str">
        <x:v>图像尺寸</x:v>
      </x:c>
      <x:c r="G6" s="18" t="str">
        <x:v>SHA-256</x:v>
      </x:c>
      <x:c r="H6" s="18" t="str">
        <x:v>源record_id</x:v>
      </x:c>
    </x:row>
    <x:row r="7" ht="46.5" customHeight="1">
      <x:c r="A7" s="20" t="str">
        <x:v>EV01</x:v>
      </x:c>
      <x:c r="B7" s="20" t="str">
        <x:v>RV01</x:v>
      </x:c>
      <x:c r="C7" s="20" t="str">
        <x:v>原型截图</x:v>
      </x:c>
      <x:c r="D7" s="20" t="str">
        <x:v>基础配置</x:v>
      </x:c>
      <x:c r="E7" s="20" t="str">
        <x:v>evidence/RV01_prototype_01.png</x:v>
      </x:c>
      <x:c r="F7" s="20" t="str">
        <x:v>2874 × 1870</x:v>
      </x:c>
      <x:c r="G7" s="20" t="str">
        <x:v>d8f0adaa9285d4aeb9fe25010239fb2b441fa1132935ecfa175d934ff730d8e8</x:v>
      </x:c>
      <x:c r="H7" s="20" t="str">
        <x:v>review-67fb39add5</x:v>
      </x:c>
    </x:row>
    <x:row r="8" ht="46.5" customHeight="1">
      <x:c r="A8" s="23" t="str">
        <x:v>EV02</x:v>
      </x:c>
      <x:c r="B8" s="23" t="str">
        <x:v>RV02</x:v>
      </x:c>
      <x:c r="C8" s="23" t="str">
        <x:v>原型截图</x:v>
      </x:c>
      <x:c r="D8" s="23" t="str">
        <x:v>左侧菜单</x:v>
      </x:c>
      <x:c r="E8" s="23" t="str">
        <x:v>evidence/RV02_prototype_01.png</x:v>
      </x:c>
      <x:c r="F8" s="23" t="str">
        <x:v>474 × 1508</x:v>
      </x:c>
      <x:c r="G8" s="23" t="str">
        <x:v>abc70e12b507856fbfe9743dc5048072492a5ca6a16902309eed4cf3bf9c5427</x:v>
      </x:c>
      <x:c r="H8" s="23" t="str">
        <x:v>review-4122ab1853</x:v>
      </x:c>
    </x:row>
    <x:row r="9" ht="46.5" customHeight="1">
      <x:c r="A9" s="21" t="str">
        <x:v>EV03</x:v>
      </x:c>
      <x:c r="B9" s="21" t="str">
        <x:v>RV02</x:v>
      </x:c>
      <x:c r="C9" s="21" t="str">
        <x:v>规范或设计稿</x:v>
      </x:c>
      <x:c r="D9" s="21" t="str">
        <x:v>左侧菜单</x:v>
      </x:c>
      <x:c r="E9" s="21" t="str">
        <x:v>evidence/RV02_design_02.png</x:v>
      </x:c>
      <x:c r="F9" s="21" t="str">
        <x:v>2356 × 1476</x:v>
      </x:c>
      <x:c r="G9" s="21" t="str">
        <x:v>e1979839828ba59b9085c1ac6b2c12d23cb33716314149c6a093eee14f725b3b</x:v>
      </x:c>
      <x:c r="H9" s="21" t="str">
        <x:v>review-4122ab1853</x:v>
      </x:c>
    </x:row>
    <x:row r="10" ht="46.5" customHeight="1">
      <x:c r="A10" s="23" t="str">
        <x:v>EV04</x:v>
      </x:c>
      <x:c r="B10" s="23" t="str">
        <x:v>RV05</x:v>
      </x:c>
      <x:c r="C10" s="23" t="str">
        <x:v>规范或设计稿</x:v>
      </x:c>
      <x:c r="D10" s="23" t="str">
        <x:v>服务单元</x:v>
      </x:c>
      <x:c r="E10" s="23" t="str">
        <x:v>evidence/RV05_design_01.png</x:v>
      </x:c>
      <x:c r="F10" s="23" t="str">
        <x:v>1648 × 1910</x:v>
      </x:c>
      <x:c r="G10" s="23" t="str">
        <x:v>b6c534881ddb0441a12a2cab51e6a80e0b617326dba37172616507241e1fe006</x:v>
      </x:c>
      <x:c r="H10" s="23" t="str">
        <x:v>review-24220c26b9</x:v>
      </x:c>
    </x:row>
    <x:row r="11" ht="46.5" customHeight="1">
      <x:c r="A11" s="21" t="str">
        <x:v>EV05</x:v>
      </x:c>
      <x:c r="B11" s="21" t="str">
        <x:v>RV05</x:v>
      </x:c>
      <x:c r="C11" s="21" t="str">
        <x:v>原型截图</x:v>
      </x:c>
      <x:c r="D11" s="21" t="str">
        <x:v>服务单元</x:v>
      </x:c>
      <x:c r="E11" s="21" t="str">
        <x:v>evidence/RV05_prototype_02.png</x:v>
      </x:c>
      <x:c r="F11" s="21" t="str">
        <x:v>1356 × 828</x:v>
      </x:c>
      <x:c r="G11" s="21" t="str">
        <x:v>f603052762b6583ba1c292b52d280dfa354ccaeded91636503b22bafa09e843d</x:v>
      </x:c>
      <x:c r="H11" s="21" t="str">
        <x:v>review-24220c26b9</x:v>
      </x:c>
    </x:row>
    <x:row r="12" ht="46.5" customHeight="1">
      <x:c r="A12" s="23" t="str">
        <x:v>EV06</x:v>
      </x:c>
      <x:c r="B12" s="23" t="str">
        <x:v>RV06</x:v>
      </x:c>
      <x:c r="C12" s="23" t="str">
        <x:v>规范或设计稿</x:v>
      </x:c>
      <x:c r="D12" s="23" t="str">
        <x:v>服务单元</x:v>
      </x:c>
      <x:c r="E12" s="23" t="str">
        <x:v>evidence/RV06_design_01.png</x:v>
      </x:c>
      <x:c r="F12" s="23" t="str">
        <x:v>1648 × 1910</x:v>
      </x:c>
      <x:c r="G12" s="23" t="str">
        <x:v>b6c534881ddb0441a12a2cab51e6a80e0b617326dba37172616507241e1fe006</x:v>
      </x:c>
      <x:c r="H12" s="23" t="str">
        <x:v>review-de7057751b</x:v>
      </x:c>
    </x:row>
    <x:row r="13" ht="46.5" customHeight="1">
      <x:c r="A13" s="21" t="str">
        <x:v>EV07</x:v>
      </x:c>
      <x:c r="B13" s="21" t="str">
        <x:v>RV06</x:v>
      </x:c>
      <x:c r="C13" s="21" t="str">
        <x:v>原型截图</x:v>
      </x:c>
      <x:c r="D13" s="21" t="str">
        <x:v>服务单元</x:v>
      </x:c>
      <x:c r="E13" s="21" t="str">
        <x:v>evidence/RV06_prototype_02.png</x:v>
      </x:c>
      <x:c r="F13" s="21" t="str">
        <x:v>1400 × 1888</x:v>
      </x:c>
      <x:c r="G13" s="21" t="str">
        <x:v>97dc9ec69b8b4032fd0964729989dd3241c2263f69c0dcea0ee4b3181ae42948</x:v>
      </x:c>
      <x:c r="H13" s="21" t="str">
        <x:v>review-de7057751b</x:v>
      </x:c>
    </x:row>
    <x:row r="14" ht="46.5" customHeight="1">
      <x:c r="A14" s="23" t="str">
        <x:v>EV08</x:v>
      </x:c>
      <x:c r="B14" s="23" t="str">
        <x:v>RV07</x:v>
      </x:c>
      <x:c r="C14" s="23" t="str">
        <x:v>原型截图</x:v>
      </x:c>
      <x:c r="D14" s="23" t="str">
        <x:v>服务单元</x:v>
      </x:c>
      <x:c r="E14" s="23" t="str">
        <x:v>evidence/RV07_prototype_01.png</x:v>
      </x:c>
      <x:c r="F14" s="23" t="str">
        <x:v>1442 × 2156</x:v>
      </x:c>
      <x:c r="G14" s="23" t="str">
        <x:v>f8685bcaff5b2a3403857c3df74aad26d523eb406a28d648f17c09ed192b132a</x:v>
      </x:c>
      <x:c r="H14" s="23" t="str">
        <x:v>review-331da30eb4</x:v>
      </x:c>
    </x:row>
    <x:row r="15" ht="46.5" customHeight="1">
      <x:c r="A15" s="21" t="str">
        <x:v>EV09</x:v>
      </x:c>
      <x:c r="B15" s="21" t="str">
        <x:v>RV07</x:v>
      </x:c>
      <x:c r="C15" s="21" t="str">
        <x:v>规范或设计稿</x:v>
      </x:c>
      <x:c r="D15" s="21" t="str">
        <x:v>服务单元</x:v>
      </x:c>
      <x:c r="E15" s="21" t="str">
        <x:v>evidence/RV07_design_02.png</x:v>
      </x:c>
      <x:c r="F15" s="21" t="str">
        <x:v>2880 × 1876</x:v>
      </x:c>
      <x:c r="G15" s="21" t="str">
        <x:v>5532b59bca1931e9c93951e80e172319a6996d74d94942c06373fe4da3e4722d</x:v>
      </x:c>
      <x:c r="H15" s="21" t="str">
        <x:v>review-331da30eb4</x:v>
      </x:c>
    </x:row>
    <x:row r="16" ht="46.5" customHeight="1">
      <x:c r="A16" s="23" t="str">
        <x:v>EV10</x:v>
      </x:c>
      <x:c r="B16" s="23" t="str">
        <x:v>RV08</x:v>
      </x:c>
      <x:c r="C16" s="23" t="str">
        <x:v>原型截图</x:v>
      </x:c>
      <x:c r="D16" s="23" t="str">
        <x:v>服务单元</x:v>
      </x:c>
      <x:c r="E16" s="23" t="str">
        <x:v>evidence/RV08_prototype_01.png</x:v>
      </x:c>
      <x:c r="F16" s="23" t="str">
        <x:v>1464 × 1844</x:v>
      </x:c>
      <x:c r="G16" s="23" t="str">
        <x:v>9a1bb998f5ef888903e9e790e79563dd69b721b741a1ab104f1ec4db595922a9</x:v>
      </x:c>
      <x:c r="H16" s="23" t="str">
        <x:v>review-2a5a56bb27</x:v>
      </x:c>
    </x:row>
    <x:row r="17" ht="46.5" customHeight="1">
      <x:c r="A17" s="21" t="str">
        <x:v>EV11</x:v>
      </x:c>
      <x:c r="B17" s="21" t="str">
        <x:v>RV08</x:v>
      </x:c>
      <x:c r="C17" s="21" t="str">
        <x:v>原型截图</x:v>
      </x:c>
      <x:c r="D17" s="21" t="str">
        <x:v>服务单元</x:v>
      </x:c>
      <x:c r="E17" s="21" t="str">
        <x:v>evidence/RV08_prototype_02.png</x:v>
      </x:c>
      <x:c r="F17" s="21" t="str">
        <x:v>1486 × 814</x:v>
      </x:c>
      <x:c r="G17" s="21" t="str">
        <x:v>3cc051744218fa40b370e0313ff5642abde2417bf3dbac2d2513a70274cbd13e</x:v>
      </x:c>
      <x:c r="H17" s="21" t="str">
        <x:v>review-2a5a56bb27</x:v>
      </x:c>
    </x:row>
    <x:row r="18" ht="46.5" customHeight="1">
      <x:c r="A18" s="23" t="str">
        <x:v>EV12</x:v>
      </x:c>
      <x:c r="B18" s="23" t="str">
        <x:v>RV08</x:v>
      </x:c>
      <x:c r="C18" s="23" t="str">
        <x:v>规范或设计稿</x:v>
      </x:c>
      <x:c r="D18" s="23" t="str">
        <x:v>服务单元</x:v>
      </x:c>
      <x:c r="E18" s="23" t="str">
        <x:v>evidence/RV08_design_03.png</x:v>
      </x:c>
      <x:c r="F18" s="23" t="str">
        <x:v>2880 × 1876</x:v>
      </x:c>
      <x:c r="G18" s="23" t="str">
        <x:v>025fc66185101948838945ed4f8082348acaeaaa021c09efa6418c00a6c74590</x:v>
      </x:c>
      <x:c r="H18" s="23" t="str">
        <x:v>review-2a5a56bb27</x:v>
      </x:c>
    </x:row>
    <x:row r="19" ht="46.5" customHeight="1">
      <x:c r="A19" s="21" t="str">
        <x:v>EV13</x:v>
      </x:c>
      <x:c r="B19" s="21" t="str">
        <x:v>RV08</x:v>
      </x:c>
      <x:c r="C19" s="21" t="str">
        <x:v>规范或设计稿</x:v>
      </x:c>
      <x:c r="D19" s="21" t="str">
        <x:v>服务单元</x:v>
      </x:c>
      <x:c r="E19" s="21" t="str">
        <x:v>evidence/RV08_design_04.png</x:v>
      </x:c>
      <x:c r="F19" s="21" t="str">
        <x:v>2880 × 1876</x:v>
      </x:c>
      <x:c r="G19" s="21" t="str">
        <x:v>fea7960939dfeeb0d01388311988ce41bce660b5267a4169c7b12fae48ca04c5</x:v>
      </x:c>
      <x:c r="H19" s="21" t="str">
        <x:v>review-2a5a56bb27</x:v>
      </x:c>
    </x:row>
    <x:row r="20" ht="46.5" customHeight="1">
      <x:c r="A20" s="23" t="str">
        <x:v>EV14</x:v>
      </x:c>
      <x:c r="B20" s="23" t="str">
        <x:v>RV09</x:v>
      </x:c>
      <x:c r="C20" s="23" t="str">
        <x:v>原型截图</x:v>
      </x:c>
      <x:c r="D20" s="23" t="str">
        <x:v>服务单元</x:v>
      </x:c>
      <x:c r="E20" s="23" t="str">
        <x:v>evidence/RV09_prototype_01.png</x:v>
      </x:c>
      <x:c r="F20" s="23" t="str">
        <x:v>1050 × 580</x:v>
      </x:c>
      <x:c r="G20" s="23" t="str">
        <x:v>585f170994519c4e671734695c6aef1470fa758afcc1935a1a4995ee33f3533e</x:v>
      </x:c>
      <x:c r="H20" s="23" t="str">
        <x:v>review-c79c73690c</x:v>
      </x:c>
    </x:row>
    <x:row r="21" ht="46.5" customHeight="1">
      <x:c r="A21" s="21" t="str">
        <x:v>EV15</x:v>
      </x:c>
      <x:c r="B21" s="21" t="str">
        <x:v>RV10</x:v>
      </x:c>
      <x:c r="C21" s="21" t="str">
        <x:v>原型截图</x:v>
      </x:c>
      <x:c r="D21" s="21" t="str">
        <x:v>左侧菜单</x:v>
      </x:c>
      <x:c r="E21" s="21" t="str">
        <x:v>evidence/RV10_prototype_01.png</x:v>
      </x:c>
      <x:c r="F21" s="21" t="str">
        <x:v>434 × 2042</x:v>
      </x:c>
      <x:c r="G21" s="21" t="str">
        <x:v>fe73b1c908b7d7f54d382949abfd6184cc616d003c1fba53e141729a810b4b1f</x:v>
      </x:c>
      <x:c r="H21" s="21" t="str">
        <x:v>review-e3abcc238c</x:v>
      </x:c>
    </x:row>
    <x:row r="22" ht="46.5" customHeight="1">
      <x:c r="A22" s="23" t="str">
        <x:v>EV16</x:v>
      </x:c>
      <x:c r="B22" s="23" t="str">
        <x:v>RV10</x:v>
      </x:c>
      <x:c r="C22" s="23" t="str">
        <x:v>规范或设计稿</x:v>
      </x:c>
      <x:c r="D22" s="23" t="str">
        <x:v>左侧菜单</x:v>
      </x:c>
      <x:c r="E22" s="23" t="str">
        <x:v>evidence/RV10_design_02.png</x:v>
      </x:c>
      <x:c r="F22" s="23" t="str">
        <x:v>448 × 722</x:v>
      </x:c>
      <x:c r="G22" s="23" t="str">
        <x:v>f652e7bd023dcefece84cbcab91b3e4692fe96a1767fa0219d8a707339daa421</x:v>
      </x:c>
      <x:c r="H22" s="23" t="str">
        <x:v>review-e3abcc238c</x:v>
      </x:c>
    </x:row>
    <x:row r="23" ht="46.5" customHeight="1">
      <x:c r="A23" s="21" t="str">
        <x:v>EV17</x:v>
      </x:c>
      <x:c r="B23" s="21" t="str">
        <x:v>RV11</x:v>
      </x:c>
      <x:c r="C23" s="21" t="str">
        <x:v>规范或设计稿</x:v>
      </x:c>
      <x:c r="D23" s="21" t="str">
        <x:v>顶部导航</x:v>
      </x:c>
      <x:c r="E23" s="21" t="str">
        <x:v>evidence/RV11_design_01.png</x:v>
      </x:c>
      <x:c r="F23" s="21" t="str">
        <x:v>3226 × 184</x:v>
      </x:c>
      <x:c r="G23" s="21" t="str">
        <x:v>a20bed74031b0b73f5fd17b2ce8e3efb1b628124e6846035556b371419799f98</x:v>
      </x:c>
      <x:c r="H23" s="21" t="str">
        <x:v>review-a2a817eb2a</x:v>
      </x:c>
    </x:row>
    <x:row r="24" ht="46.5" customHeight="1">
      <x:c r="A24" s="23" t="str">
        <x:v>EV18</x:v>
      </x:c>
      <x:c r="B24" s="23" t="str">
        <x:v>RV11</x:v>
      </x:c>
      <x:c r="C24" s="23" t="str">
        <x:v>原型截图</x:v>
      </x:c>
      <x:c r="D24" s="23" t="str">
        <x:v>顶部导航</x:v>
      </x:c>
      <x:c r="E24" s="23" t="str">
        <x:v>evidence/RV11_prototype_02.png</x:v>
      </x:c>
      <x:c r="F24" s="23" t="str">
        <x:v>1740 × 118</x:v>
      </x:c>
      <x:c r="G24" s="23" t="str">
        <x:v>d2697fa1b73b855c3ff919066ccf7059d3e71c4cb4c862c2c3af6e948dedb3c5</x:v>
      </x:c>
      <x:c r="H24" s="23" t="str">
        <x:v>review-a2a817eb2a</x:v>
      </x:c>
    </x:row>
    <x:row r="25" ht="46.5" customHeight="1">
      <x:c r="A25" s="21" t="str">
        <x:v>EV19</x:v>
      </x:c>
      <x:c r="B25" s="21" t="str">
        <x:v>RV12</x:v>
      </x:c>
      <x:c r="C25" s="21" t="str">
        <x:v>规范或设计稿</x:v>
      </x:c>
      <x:c r="D25" s="21" t="str">
        <x:v>所有页头栏</x:v>
      </x:c>
      <x:c r="E25" s="21" t="str">
        <x:v>evidence/RV12_design_01.png</x:v>
      </x:c>
      <x:c r="F25" s="21" t="str">
        <x:v>1768 × 1420</x:v>
      </x:c>
      <x:c r="G25" s="21" t="str">
        <x:v>d6480f8f6d2fa8332bc9d779dd5459fa729ba1b34fb74085e72909ac023b7bae</x:v>
      </x:c>
      <x:c r="H25" s="21" t="str">
        <x:v>review-716a17fbb6</x:v>
      </x:c>
    </x:row>
    <x:row r="26" ht="46.5" customHeight="1">
      <x:c r="A26" s="23" t="str">
        <x:v>EV20</x:v>
      </x:c>
      <x:c r="B26" s="23" t="str">
        <x:v>RV12</x:v>
      </x:c>
      <x:c r="C26" s="23" t="str">
        <x:v>原型截图</x:v>
      </x:c>
      <x:c r="D26" s="23" t="str">
        <x:v>所有页头栏</x:v>
      </x:c>
      <x:c r="E26" s="23" t="str">
        <x:v>evidence/RV12_prototype_02.png</x:v>
      </x:c>
      <x:c r="F26" s="23" t="str">
        <x:v>2626 × 308</x:v>
      </x:c>
      <x:c r="G26" s="23" t="str">
        <x:v>bbfadb65a950633ddf822e9d6dc3fa3ff5598fa3d70f9c6e30c3248404f1957f</x:v>
      </x:c>
      <x:c r="H26" s="23" t="str">
        <x:v>review-716a17fbb6</x:v>
      </x:c>
    </x:row>
    <x:row r="27" ht="46.5" customHeight="1">
      <x:c r="A27" s="21" t="str">
        <x:v>EV21</x:v>
      </x:c>
      <x:c r="B27" s="21" t="str">
        <x:v>RV13</x:v>
      </x:c>
      <x:c r="C27" s="21" t="str">
        <x:v>规范或设计稿</x:v>
      </x:c>
      <x:c r="D27" s="21" t="str">
        <x:v>所有查询区</x:v>
      </x:c>
      <x:c r="E27" s="21" t="str">
        <x:v>evidence/RV13_design_01.png</x:v>
      </x:c>
      <x:c r="F27" s="21" t="str">
        <x:v>2658 × 578</x:v>
      </x:c>
      <x:c r="G27" s="21" t="str">
        <x:v>070a40794ae99d40979eeb1f4d5812006ec2404a77da623516fe0faa15ac7981</x:v>
      </x:c>
      <x:c r="H27" s="21" t="str">
        <x:v>review-96579d37d7</x:v>
      </x:c>
    </x:row>
    <x:row r="28" ht="46.5" customHeight="1">
      <x:c r="A28" s="23" t="str">
        <x:v>EV22</x:v>
      </x:c>
      <x:c r="B28" s="23" t="str">
        <x:v>RV13</x:v>
      </x:c>
      <x:c r="C28" s="23" t="str">
        <x:v>原型截图</x:v>
      </x:c>
      <x:c r="D28" s="23" t="str">
        <x:v>所有查询区</x:v>
      </x:c>
      <x:c r="E28" s="23" t="str">
        <x:v>evidence/RV13_prototype_02.png</x:v>
      </x:c>
      <x:c r="F28" s="23" t="str">
        <x:v>2026 × 356</x:v>
      </x:c>
      <x:c r="G28" s="23" t="str">
        <x:v>09350afd1b34ca454752d0c4f6c6951cd38e546c937039e3a81146e752c8e476</x:v>
      </x:c>
      <x:c r="H28" s="23" t="str">
        <x:v>review-96579d37d7</x:v>
      </x:c>
    </x:row>
    <x:row r="29" ht="46.5" customHeight="1">
      <x:c r="A29" s="21" t="str">
        <x:v>EV23</x:v>
      </x:c>
      <x:c r="B29" s="21" t="str">
        <x:v>RV14</x:v>
      </x:c>
      <x:c r="C29" s="21" t="str">
        <x:v>规范或设计稿</x:v>
      </x:c>
      <x:c r="D29" s="21" t="str">
        <x:v>所有列表区</x:v>
      </x:c>
      <x:c r="E29" s="21" t="str">
        <x:v>evidence/RV14_design_01.png</x:v>
      </x:c>
      <x:c r="F29" s="21" t="str">
        <x:v>2500 × 760</x:v>
      </x:c>
      <x:c r="G29" s="21" t="str">
        <x:v>47857d9eb687d21c97478471b4c914e0ae9dacec15b093985ba77ebee762f6fb</x:v>
      </x:c>
      <x:c r="H29" s="21" t="str">
        <x:v>review-92624f2e97</x:v>
      </x:c>
    </x:row>
    <x:row r="30" ht="46.5" customHeight="1">
      <x:c r="A30" s="23" t="str">
        <x:v>EV24</x:v>
      </x:c>
      <x:c r="B30" s="23" t="str">
        <x:v>RV14</x:v>
      </x:c>
      <x:c r="C30" s="23" t="str">
        <x:v>原型截图</x:v>
      </x:c>
      <x:c r="D30" s="23" t="str">
        <x:v>所有列表区</x:v>
      </x:c>
      <x:c r="E30" s="23" t="str">
        <x:v>evidence/RV14_prototype_02.png</x:v>
      </x:c>
      <x:c r="F30" s="23" t="str">
        <x:v>2512 × 808</x:v>
      </x:c>
      <x:c r="G30" s="23" t="str">
        <x:v>872795b1e44103ba9f320fd7e89fdc9f516a8cacba8416579250968fa4684705</x:v>
      </x:c>
      <x:c r="H30" s="23" t="str">
        <x:v>review-92624f2e97</x:v>
      </x:c>
    </x:row>
    <x:row r="31" ht="46.5" customHeight="1">
      <x:c r="A31" s="21" t="str">
        <x:v>EV25</x:v>
      </x:c>
      <x:c r="B31" s="21" t="str">
        <x:v>RV15</x:v>
      </x:c>
      <x:c r="C31" s="21" t="str">
        <x:v>原型截图</x:v>
      </x:c>
      <x:c r="D31" s="21" t="str">
        <x:v>所有列表区</x:v>
      </x:c>
      <x:c r="E31" s="21" t="str">
        <x:v>evidence/RV15_prototype_01.png</x:v>
      </x:c>
      <x:c r="F31" s="21" t="str">
        <x:v>2474 × 210</x:v>
      </x:c>
      <x:c r="G31" s="21" t="str">
        <x:v>962c420047a54a5a616654486046b29d2c4a044382bceafb7877cbedefb6b650</x:v>
      </x:c>
      <x:c r="H31" s="21" t="str">
        <x:v>review-08ef6a1468</x:v>
      </x:c>
    </x:row>
    <x:row r="32" ht="46.5" customHeight="1">
      <x:c r="A32" s="23" t="str">
        <x:v>EV26</x:v>
      </x:c>
      <x:c r="B32" s="23" t="str">
        <x:v>RV15</x:v>
      </x:c>
      <x:c r="C32" s="23" t="str">
        <x:v>规范或设计稿</x:v>
      </x:c>
      <x:c r="D32" s="23" t="str">
        <x:v>所有列表区</x:v>
      </x:c>
      <x:c r="E32" s="23" t="str">
        <x:v>evidence/RV15_design_02.png</x:v>
      </x:c>
      <x:c r="F32" s="23" t="str">
        <x:v>2470 × 232</x:v>
      </x:c>
      <x:c r="G32" s="23" t="str">
        <x:v>7bebcce9ce2544c9f6f148e76946a4281bb4947cd830d32db5fc1ed2de58119c</x:v>
      </x:c>
      <x:c r="H32" s="23" t="str">
        <x:v>review-08ef6a1468</x:v>
      </x:c>
    </x:row>
    <x:row r="33" ht="46.5" customHeight="1">
      <x:c r="A33" s="21" t="str">
        <x:v>EV27</x:v>
      </x:c>
      <x:c r="B33" s="21" t="str">
        <x:v>RV16</x:v>
      </x:c>
      <x:c r="C33" s="21" t="str">
        <x:v>规范或设计稿</x:v>
      </x:c>
      <x:c r="D33" s="21" t="str">
        <x:v>所有列表区</x:v>
      </x:c>
      <x:c r="E33" s="21" t="str">
        <x:v>evidence/RV16_design_01.png</x:v>
      </x:c>
      <x:c r="F33" s="21" t="str">
        <x:v>2010 × 634</x:v>
      </x:c>
      <x:c r="G33" s="21" t="str">
        <x:v>f78aed1199d2484eb0314c41d5197138800fb627d9bfe44963d57dcc9d8e9b85</x:v>
      </x:c>
      <x:c r="H33" s="21" t="str">
        <x:v>review-79dfb7278b</x:v>
      </x:c>
    </x:row>
    <x:row r="34" ht="46.5" customHeight="1">
      <x:c r="A34" s="23" t="str">
        <x:v>EV28</x:v>
      </x:c>
      <x:c r="B34" s="23" t="str">
        <x:v>RV16</x:v>
      </x:c>
      <x:c r="C34" s="23" t="str">
        <x:v>原型截图</x:v>
      </x:c>
      <x:c r="D34" s="23" t="str">
        <x:v>所有列表区</x:v>
      </x:c>
      <x:c r="E34" s="23" t="str">
        <x:v>evidence/RV16_prototype_02.png</x:v>
      </x:c>
      <x:c r="F34" s="23" t="str">
        <x:v>2216 × 968</x:v>
      </x:c>
      <x:c r="G34" s="23" t="str">
        <x:v>4c42da93ef10e372f9bb7d49b9bfa7f631dc040cdca82d47bd8e77cd9a3f4ff6</x:v>
      </x:c>
      <x:c r="H34" s="23" t="str">
        <x:v>review-79dfb7278b</x:v>
      </x:c>
    </x:row>
    <x:row r="35" ht="46.5" customHeight="1">
      <x:c r="A35" s="21" t="str">
        <x:v>EV29</x:v>
      </x:c>
      <x:c r="B35" s="21" t="str">
        <x:v>RV17</x:v>
      </x:c>
      <x:c r="C35" s="21" t="str">
        <x:v>规范或设计稿</x:v>
      </x:c>
      <x:c r="D35" s="21" t="str">
        <x:v>所有列表区</x:v>
      </x:c>
      <x:c r="E35" s="21" t="str">
        <x:v>evidence/RV17_design_01.png</x:v>
      </x:c>
      <x:c r="F35" s="21" t="str">
        <x:v>2480 × 566</x:v>
      </x:c>
      <x:c r="G35" s="21" t="str">
        <x:v>8d74c0b47e26bd1a4c0ae70d65e852219021f149556530def11d839f9c43210e</x:v>
      </x:c>
      <x:c r="H35" s="21" t="str">
        <x:v>review-42f80e1fec</x:v>
      </x:c>
    </x:row>
    <x:row r="36" ht="46.5" customHeight="1">
      <x:c r="A36" s="23" t="str">
        <x:v>EV30</x:v>
      </x:c>
      <x:c r="B36" s="23" t="str">
        <x:v>RV17</x:v>
      </x:c>
      <x:c r="C36" s="23" t="str">
        <x:v>原型截图</x:v>
      </x:c>
      <x:c r="D36" s="23" t="str">
        <x:v>所有列表区</x:v>
      </x:c>
      <x:c r="E36" s="23" t="str">
        <x:v>evidence/RV17_prototype_02.png</x:v>
      </x:c>
      <x:c r="F36" s="23" t="str">
        <x:v>2180 × 978</x:v>
      </x:c>
      <x:c r="G36" s="23" t="str">
        <x:v>d8daaa613cf4b4317f76605bcbf4139f272b31bda32aad46e97c07ab8d2f9b9b</x:v>
      </x:c>
      <x:c r="H36" s="23" t="str">
        <x:v>review-42f80e1fec</x:v>
      </x:c>
    </x:row>
    <x:row r="37" ht="46.5" customHeight="1">
      <x:c r="A37" s="21" t="str">
        <x:v>EV31</x:v>
      </x:c>
      <x:c r="B37" s="21" t="str">
        <x:v>RV18</x:v>
      </x:c>
      <x:c r="C37" s="21" t="str">
        <x:v>原型截图</x:v>
      </x:c>
      <x:c r="D37" s="21" t="str">
        <x:v>所有列表区</x:v>
      </x:c>
      <x:c r="E37" s="21" t="str">
        <x:v>evidence/RV18_prototype_01.png</x:v>
      </x:c>
      <x:c r="F37" s="21" t="str">
        <x:v>2272 × 296</x:v>
      </x:c>
      <x:c r="G37" s="21" t="str">
        <x:v>3761d2a9cca250f01ffcf4326b35989fe484b5096732d1c974354665c2af5166</x:v>
      </x:c>
      <x:c r="H37" s="21" t="str">
        <x:v>review-6436a27114</x:v>
      </x:c>
    </x:row>
    <x:row r="38" ht="46.5" customHeight="1">
      <x:c r="A38" s="23" t="str">
        <x:v>EV32</x:v>
      </x:c>
      <x:c r="B38" s="23" t="str">
        <x:v>RV18</x:v>
      </x:c>
      <x:c r="C38" s="23" t="str">
        <x:v>规范或设计稿</x:v>
      </x:c>
      <x:c r="D38" s="23" t="str">
        <x:v>所有列表区</x:v>
      </x:c>
      <x:c r="E38" s="23" t="str">
        <x:v>evidence/RV18_design_02.png</x:v>
      </x:c>
      <x:c r="F38" s="23" t="str">
        <x:v>2486 × 418</x:v>
      </x:c>
      <x:c r="G38" s="23" t="str">
        <x:v>e6cd8af1aa88aa679ba5b12820d9fac9c7d2a96d4ca4d34893993d38137804db</x:v>
      </x:c>
      <x:c r="H38" s="23" t="str">
        <x:v>review-6436a27114</x:v>
      </x:c>
    </x:row>
    <x:row r="39" ht="46.5" customHeight="1">
      <x:c r="A39" s="21" t="str">
        <x:v>EV33</x:v>
      </x:c>
      <x:c r="B39" s="21" t="str">
        <x:v>RV19</x:v>
      </x:c>
      <x:c r="C39" s="21" t="str">
        <x:v>原型截图</x:v>
      </x:c>
      <x:c r="D39" s="21" t="str">
        <x:v>所有列表区</x:v>
      </x:c>
      <x:c r="E39" s="21" t="str">
        <x:v>evidence/RV19_prototype_01.png</x:v>
      </x:c>
      <x:c r="F39" s="21" t="str">
        <x:v>2830 × 638</x:v>
      </x:c>
      <x:c r="G39" s="21" t="str">
        <x:v>d99e7bcc410b5601087cbd0d55745ee4e5b3b7994fefa45f68ba2a5d15d1ca41</x:v>
      </x:c>
      <x:c r="H39" s="21" t="str">
        <x:v>review-a7e8b941e2</x:v>
      </x:c>
    </x:row>
    <x:row r="40" ht="46.5" customHeight="1">
      <x:c r="A40" s="23" t="str">
        <x:v>EV34</x:v>
      </x:c>
      <x:c r="B40" s="23" t="str">
        <x:v>RV20</x:v>
      </x:c>
      <x:c r="C40" s="23" t="str">
        <x:v>原型截图</x:v>
      </x:c>
      <x:c r="D40" s="23" t="str">
        <x:v>Ai 建档解析</x:v>
      </x:c>
      <x:c r="E40" s="23" t="str">
        <x:v>evidence/RV20_prototype_01.png</x:v>
      </x:c>
      <x:c r="F40" s="23" t="str">
        <x:v>2136 × 2044</x:v>
      </x:c>
      <x:c r="G40" s="23" t="str">
        <x:v>eec43d32d71cf6e316b5cc1813c6bae8adf7e4fbf52bbc9dcd4c7c690d85edad</x:v>
      </x:c>
      <x:c r="H40" s="23" t="str">
        <x:v>review-f228825adf</x:v>
      </x:c>
    </x:row>
    <x:row r="41" ht="46.5" customHeight="1">
      <x:c r="A41" s="21" t="str">
        <x:v>EV35</x:v>
      </x:c>
      <x:c r="B41" s="21" t="str">
        <x:v>RV20</x:v>
      </x:c>
      <x:c r="C41" s="21" t="str">
        <x:v>规范或设计稿</x:v>
      </x:c>
      <x:c r="D41" s="21" t="str">
        <x:v>Ai 建档解析</x:v>
      </x:c>
      <x:c r="E41" s="21" t="str">
        <x:v>evidence/RV20_design_02.png</x:v>
      </x:c>
      <x:c r="F41" s="21" t="str">
        <x:v>2588 × 1916</x:v>
      </x:c>
      <x:c r="G41" s="21" t="str">
        <x:v>d2c4c6aac26ef64d8dc9b7fd9af9f1df3c4922d8d527628080ace03971cb9544</x:v>
      </x:c>
      <x:c r="H41" s="21" t="str">
        <x:v>review-f228825adf</x:v>
      </x:c>
    </x:row>
    <x:row r="42" ht="46.5" customHeight="1">
      <x:c r="A42" s="23" t="str">
        <x:v>EV36</x:v>
      </x:c>
      <x:c r="B42" s="23" t="str">
        <x:v>RV20</x:v>
      </x:c>
      <x:c r="C42" s="23" t="str">
        <x:v>原型截图</x:v>
      </x:c>
      <x:c r="D42" s="23" t="str">
        <x:v>Ai 建档解析</x:v>
      </x:c>
      <x:c r="E42" s="23" t="str">
        <x:v>evidence/RV20_prototype_03.png</x:v>
      </x:c>
      <x:c r="F42" s="23" t="str">
        <x:v>1500 × 1938</x:v>
      </x:c>
      <x:c r="G42" s="23" t="str">
        <x:v>46d1af8b36d580342801c0ff5fd17123975732d0693fefb392d7a04aa13e9e28</x:v>
      </x:c>
      <x:c r="H42" s="23" t="str">
        <x:v>review-f228825adf</x:v>
      </x:c>
    </x:row>
    <x:row r="43" ht="46.5" customHeight="1">
      <x:c r="A43" s="21" t="str">
        <x:v>EV37</x:v>
      </x:c>
      <x:c r="B43" s="21" t="str">
        <x:v>RV20</x:v>
      </x:c>
      <x:c r="C43" s="21" t="str">
        <x:v>规范或设计稿</x:v>
      </x:c>
      <x:c r="D43" s="21" t="str">
        <x:v>Ai 建档解析</x:v>
      </x:c>
      <x:c r="E43" s="21" t="str">
        <x:v>evidence/RV20_design_04.png</x:v>
      </x:c>
      <x:c r="F43" s="21" t="str">
        <x:v>3272 × 2172</x:v>
      </x:c>
      <x:c r="G43" s="21" t="str">
        <x:v>553ae0e1f42ab5aab83d41f59fad8a79c1af681b9d1dda2e6d976f1f678ccaa6</x:v>
      </x:c>
      <x:c r="H43" s="21" t="str">
        <x:v>review-f228825adf</x:v>
      </x:c>
    </x:row>
    <x:row r="44" ht="46.5" customHeight="1">
      <x:c r="A44" s="23" t="str">
        <x:v>EV38</x:v>
      </x:c>
      <x:c r="B44" s="23" t="str">
        <x:v>RV22</x:v>
      </x:c>
      <x:c r="C44" s="23" t="str">
        <x:v>原型截图</x:v>
      </x:c>
      <x:c r="D44" s="23" t="str">
        <x:v>服务单元</x:v>
      </x:c>
      <x:c r="E44" s="23" t="str">
        <x:v>evidence/RV22_prototype_01.png</x:v>
      </x:c>
      <x:c r="F44" s="23" t="str">
        <x:v>3362 × 2028</x:v>
      </x:c>
      <x:c r="G44" s="23" t="str">
        <x:v>8576885013340f694a2a923cefc795e039919e4516e49c7631f4c51e9045d750</x:v>
      </x:c>
      <x:c r="H44" s="23" t="str">
        <x:v>review-f828afea0f</x:v>
      </x:c>
    </x:row>
    <x:row r="45" ht="46.5" customHeight="1">
      <x:c r="A45" s="21" t="str">
        <x:v>EV39</x:v>
      </x:c>
      <x:c r="B45" s="21" t="str">
        <x:v>RV22</x:v>
      </x:c>
      <x:c r="C45" s="21" t="str">
        <x:v>规范或设计稿</x:v>
      </x:c>
      <x:c r="D45" s="21" t="str">
        <x:v>服务单元</x:v>
      </x:c>
      <x:c r="E45" s="21" t="str">
        <x:v>evidence/RV22_design_02.png</x:v>
      </x:c>
      <x:c r="F45" s="21" t="str">
        <x:v>2730 × 2294</x:v>
      </x:c>
      <x:c r="G45" s="21" t="str">
        <x:v>52b66f0498ee1d563be8f23726d83125a1cac7b86971ba2432573efceb506e90</x:v>
      </x:c>
      <x:c r="H45" s="21" t="str">
        <x:v>review-f828afea0f</x:v>
      </x:c>
    </x:row>
    <x:row r="46" ht="46.5" customHeight="1">
      <x:c r="A46" s="23" t="str">
        <x:v>EV40</x:v>
      </x:c>
      <x:c r="B46" s="23" t="str">
        <x:v>RV22</x:v>
      </x:c>
      <x:c r="C46" s="23" t="str">
        <x:v>规范或设计稿</x:v>
      </x:c>
      <x:c r="D46" s="23" t="str">
        <x:v>服务单元</x:v>
      </x:c>
      <x:c r="E46" s="23" t="str">
        <x:v>evidence/RV22_design_03.png</x:v>
      </x:c>
      <x:c r="F46" s="23" t="str">
        <x:v>2714 × 1650</x:v>
      </x:c>
      <x:c r="G46" s="23" t="str">
        <x:v>af1d36361a059e2e61c65788dfcc163007c8bb352dcd1ac4c267a40b93901da9</x:v>
      </x:c>
      <x:c r="H46" s="23" t="str">
        <x:v>review-f828afea0f</x:v>
      </x:c>
    </x:row>
    <x:row r="47" ht="46.5" customHeight="1">
      <x:c r="A47" s="21" t="str">
        <x:v>EV41</x:v>
      </x:c>
      <x:c r="B47" s="21" t="str">
        <x:v>RV23</x:v>
      </x:c>
      <x:c r="C47" s="21" t="str">
        <x:v>规范或设计稿</x:v>
      </x:c>
      <x:c r="D47" s="21" t="str">
        <x:v>服务单元</x:v>
      </x:c>
      <x:c r="E47" s="21" t="str">
        <x:v>evidence/RV23_design_01.png</x:v>
      </x:c>
      <x:c r="F47" s="21" t="str">
        <x:v>2772 × 594</x:v>
      </x:c>
      <x:c r="G47" s="21" t="str">
        <x:v>601962362ccf054945d159c2949e6f9c1fa1957f7f402d85934e2ad846d4f820</x:v>
      </x:c>
      <x:c r="H47" s="21" t="str">
        <x:v>review-b8b8e36a2b</x:v>
      </x:c>
    </x:row>
    <x:row r="48" ht="46.5" customHeight="1">
      <x:c r="A48" s="23" t="str">
        <x:v>EV42</x:v>
      </x:c>
      <x:c r="B48" s="23" t="str">
        <x:v>RV23</x:v>
      </x:c>
      <x:c r="C48" s="23" t="str">
        <x:v>原型截图</x:v>
      </x:c>
      <x:c r="D48" s="23" t="str">
        <x:v>服务单元</x:v>
      </x:c>
      <x:c r="E48" s="23" t="str">
        <x:v>evidence/RV23_prototype_02.png</x:v>
      </x:c>
      <x:c r="F48" s="23" t="str">
        <x:v>3722 × 1148</x:v>
      </x:c>
      <x:c r="G48" s="23" t="str">
        <x:v>7e26ac2caab49991fbe4e3a27a7c998310712767bfabffdd619669c194ebb057</x:v>
      </x:c>
      <x:c r="H48" s="23" t="str">
        <x:v>review-b8b8e36a2b</x:v>
      </x:c>
    </x:row>
    <x:row r="49" ht="46.5" customHeight="1">
      <x:c r="A49" s="21" t="str">
        <x:v>EV43</x:v>
      </x:c>
      <x:c r="B49" s="21" t="str">
        <x:v>补充</x:v>
      </x:c>
      <x:c r="C49" s="21" t="str">
        <x:v>本会话线上空态</x:v>
      </x:c>
      <x:c r="D49" s="21" t="str">
        <x:v>本会话线上空态</x:v>
      </x:c>
      <x:c r="E49" s="21" t="str">
        <x:v>evidence/current-search-empty.jpg</x:v>
      </x:c>
      <x:c r="F49" s="21" t="str">
        <x:v>1265 × 712</x:v>
      </x:c>
      <x:c r="G49" s="21" t="str">
        <x:v>aa058d34725eb283d7a1852ab8e417d4bb6afab09ec3aff1c224f45183d7baa0</x:v>
      </x:c>
      <x:c r="H49" s="21" t="str">
        <x:v>本会话走查</x:v>
      </x:c>
    </x:row>
    <x:row r="50" ht="46.5" customHeight="1">
      <x:c r="A50" s="23" t="str">
        <x:v>EV44</x:v>
      </x:c>
      <x:c r="B50" s="23" t="str">
        <x:v>补充</x:v>
      </x:c>
      <x:c r="C50" s="23" t="str">
        <x:v>本会话线上字段名称</x:v>
      </x:c>
      <x:c r="D50" s="23" t="str">
        <x:v>本会话线上字段名称</x:v>
      </x:c>
      <x:c r="E50" s="23" t="str">
        <x:v>evidence/current-country-form.jpg</x:v>
      </x:c>
      <x:c r="F50" s="23" t="str">
        <x:v>1280 × 720</x:v>
      </x:c>
      <x:c r="G50" s="23" t="str">
        <x:v>d355bee2f64227b285e44f416dbc9763f5cdc4e1dfec74b98d0b24df14a2332a</x:v>
      </x:c>
      <x:c r="H50" s="23" t="str">
        <x:v>本会话走查</x:v>
      </x:c>
    </x:row>
    <x:row r="51" ht="46.5" customHeight="1">
      <x:c r="A51" s="21" t="str">
        <x:v>EV45</x:v>
      </x:c>
      <x:c r="B51" s="21" t="str">
        <x:v>补充</x:v>
      </x:c>
      <x:c r="C51" s="21" t="str">
        <x:v>本地登录页</x:v>
      </x:c>
      <x:c r="D51" s="21" t="str">
        <x:v>本地登录页</x:v>
      </x:c>
      <x:c r="E51" s="21" t="str">
        <x:v>evidence/local-login.jpg</x:v>
      </x:c>
      <x:c r="F51" s="21" t="str">
        <x:v>1280 × 720</x:v>
      </x:c>
      <x:c r="G51" s="21" t="str">
        <x:v>a3e7b9e2bd46c5a220055889ffb895f59f3151d1bc1e55dd1faf81c09db2be1c</x:v>
      </x:c>
      <x:c r="H51" s="21" t="str">
        <x:v>本会话走查</x:v>
      </x:c>
    </x:row>
    <x:row r="52" ht="46.5" customHeight="1">
      <x:c r="A52" s="23" t="str">
        <x:v>EV46</x:v>
      </x:c>
      <x:c r="B52" s="23" t="str">
        <x:v>补充</x:v>
      </x:c>
      <x:c r="C52" s="23" t="str">
        <x:v>本地产品编排</x:v>
      </x:c>
      <x:c r="D52" s="23" t="str">
        <x:v>本地产品编排</x:v>
      </x:c>
      <x:c r="E52" s="23" t="str">
        <x:v>evidence/prototype-builder-1440.jpg</x:v>
      </x:c>
      <x:c r="F52" s="23" t="str">
        <x:v>1440 × 896</x:v>
      </x:c>
      <x:c r="G52" s="23" t="str">
        <x:v>46885faf48fd33c668f8f40c4f3578e41d9267567eb8a3b0113bba309e7e410e</x:v>
      </x:c>
      <x:c r="H52" s="23" t="str">
        <x:v>本会话走查</x:v>
      </x:c>
    </x:row>
    <x:row r="53" ht="46.5" customHeight="1">
      <x:c r="A53" s="21" t="str">
        <x:v>EV47</x:v>
      </x:c>
      <x:c r="B53" s="21" t="str">
        <x:v>RV05 / RV06</x:v>
      </x:c>
      <x:c r="C53" s="21" t="str">
        <x:v>本会话本地原型走查</x:v>
      </x:c>
      <x:c r="D53" s="21" t="str">
        <x:v>服务单元</x:v>
      </x:c>
      <x:c r="E53" s="21" t="str">
        <x:v>evidence/current-su-create.jpg</x:v>
      </x:c>
      <x:c r="F53" s="21" t="str">
        <x:v>1280 × 720</x:v>
      </x:c>
      <x:c r="G53" s="21" t="str">
        <x:v>84f46bde0917b1c493f04e33617e17804d844d6ee92b17d398f38e56d7a9a36a</x:v>
      </x:c>
      <x:c r="H53" s="21" t="str">
        <x:v>本会话走查</x:v>
      </x:c>
    </x:row>
    <x:row r="54" ht="46.5" customHeight="1">
      <x:c r="A54" s="24" t="str">
        <x:v>EV48</x:v>
      </x:c>
      <x:c r="B54" s="24" t="str">
        <x:v>RV07 / RV22</x:v>
      </x:c>
      <x:c r="C54" s="24" t="str">
        <x:v>本会话本地原型走查</x:v>
      </x:c>
      <x:c r="D54" s="24" t="str">
        <x:v>服务单元</x:v>
      </x:c>
      <x:c r="E54" s="24" t="str">
        <x:v>evidence/current-su-detail.jpg</x:v>
      </x:c>
      <x:c r="F54" s="24" t="str">
        <x:v>1280 × 720</x:v>
      </x:c>
      <x:c r="G54" s="24" t="str">
        <x:v>8b5337ce12dc95982fa85cb5c9300221759c08dd9e16d85370038a3224919ff6</x:v>
      </x:c>
      <x:c r="H54" s="24" t="str">
        <x:v>本会话走查</x:v>
      </x:c>
    </x:row>
    <x:row r="55" ht="21" customHeight="1">
      <x:c r="A55" s="3"/>
      <x:c r="B55" s="3"/>
      <x:c r="C55" s="3"/>
      <x:c r="D55" s="3"/>
      <x:c r="E55" s="3"/>
      <x:c r="F55" s="3"/>
      <x:c r="G55" s="3"/>
      <x:c r="H55" s="3"/>
    </x:row>
  </x:sheetData>
  <x:mergeCells>
    <x:mergeCell ref="A1:F2"/>
    <x:mergeCell ref="A4:F4"/>
  </x:mergeCells>
  <x:pageMargins left="0.7" right="0.7" top="0.75" bottom="0.75" header="0.3" footer="0.3"/>
  <x:tableParts count="1">
    <x:tablePart xmlns:r="http://schemas.openxmlformats.org/officeDocument/2006/relationships" r:id="Ra2471cdb9ceb427f"/>
  </x:tableParts>
</x:worksheet>
</file>

<file path=xl/worksheets/sheet6.xml><?xml version="1.0" encoding="utf-8"?>
<x:worksheet xmlns:x="http://schemas.openxmlformats.org/spreadsheetml/2006/main">
  <x:sheetPr>
    <x:tabColor rgb="FF046EF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1" customHeight="1">
      <x:c r="A1" s="6" t="str">
        <x:v>关键截图对照｜原型、设计与本会话复现</x:v>
      </x:c>
      <x:c r="B1" s="6" t="str">
        <x:v>关键截图对照｜原型、设计与本会话复现</x:v>
      </x:c>
      <x:c r="C1" s="6" t="str">
        <x:v>关键截图对照｜原型、设计与本会话复现</x:v>
      </x:c>
      <x:c r="D1" s="6" t="str">
        <x:v>关键截图对照｜原型、设计与本会话复现</x:v>
      </x:c>
      <x:c r="E1" s="6" t="str">
        <x:v>关键截图对照｜原型、设计与本会话复现</x:v>
      </x:c>
      <x:c r="F1" s="6" t="str">
        <x:v>关键截图对照｜原型、设计与本会话复现</x:v>
      </x:c>
      <x:c r="G1" s="6" t="str">
        <x:v>关键截图对照｜原型、设计与本会话复现</x:v>
      </x:c>
      <x:c r="H1" s="6" t="str">
        <x:v>关键截图对照｜原型、设计与本会话复现</x:v>
      </x:c>
      <x:c r="I1" s="6" t="str">
        <x:v>关键截图对照｜原型、设计与本会话复现</x:v>
      </x:c>
      <x:c r="J1" s="6" t="str">
        <x:v>关键截图对照｜原型、设计与本会话复现</x:v>
      </x:c>
      <x:c r="K1" s="6" t="str">
        <x:v>关键截图对照｜原型、设计与本会话复现</x:v>
      </x:c>
      <x:c r="L1" s="6" t="str">
        <x:v>关键截图对照｜原型、设计与本会话复现</x:v>
      </x:c>
    </x:row>
    <x:row r="2" ht="21" customHeight="1">
      <x:c r="A2" s="6" t="str">
        <x:v>关键截图对照｜原型、设计与本会话复现</x:v>
      </x:c>
      <x:c r="B2" s="6" t="str">
        <x:v>关键截图对照｜原型、设计与本会话复现</x:v>
      </x:c>
      <x:c r="C2" s="6" t="str">
        <x:v>关键截图对照｜原型、设计与本会话复现</x:v>
      </x:c>
      <x:c r="D2" s="6" t="str">
        <x:v>关键截图对照｜原型、设计与本会话复现</x:v>
      </x:c>
      <x:c r="E2" s="6" t="str">
        <x:v>关键截图对照｜原型、设计与本会话复现</x:v>
      </x:c>
      <x:c r="F2" s="6" t="str">
        <x:v>关键截图对照｜原型、设计与本会话复现</x:v>
      </x:c>
      <x:c r="G2" s="6" t="str">
        <x:v>关键截图对照｜原型、设计与本会话复现</x:v>
      </x:c>
      <x:c r="H2" s="6" t="str">
        <x:v>关键截图对照｜原型、设计与本会话复现</x:v>
      </x:c>
      <x:c r="I2" s="6" t="str">
        <x:v>关键截图对照｜原型、设计与本会话复现</x:v>
      </x:c>
      <x:c r="J2" s="6" t="str">
        <x:v>关键截图对照｜原型、设计与本会话复现</x:v>
      </x:c>
      <x:c r="K2" s="6" t="str">
        <x:v>关键截图对照｜原型、设计与本会话复现</x:v>
      </x:c>
      <x:c r="L2" s="6" t="str">
        <x:v>关键截图对照｜原型、设计与本会话复现</x:v>
      </x:c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1" customHeight="1">
      <x:c r="A4" s="3" t="str">
        <x:v>保留图片比例；展示8张关键截图。完整48张见证据索引及HTML报告，不以设计稿替代实现验收。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1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1" customHeight="1">
      <x:c r="A6" s="29" t="str">
        <x:v>EV02 · RV02 · 原型截图</x:v>
      </x:c>
      <x:c r="B6" s="29"/>
      <x:c r="C6" s="29"/>
      <x:c r="D6" s="29"/>
      <x:c r="E6" s="29"/>
      <x:c r="F6" s="29"/>
      <x:c r="G6" s="29" t="str">
        <x:v>EV03 · RV02 · 规范或设计稿</x:v>
      </x:c>
      <x:c r="H6" s="29"/>
      <x:c r="I6" s="29"/>
      <x:c r="J6" s="29"/>
      <x:c r="K6" s="29"/>
      <x:c r="L6" s="29"/>
    </x:row>
    <x:row r="7" ht="21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 ht="21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1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1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1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1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1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1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1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1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1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1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1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1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1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1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1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1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1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1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1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1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1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1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1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1" customHeight="1">
      <x:c r="A32" s="30" t="str">
        <x:v>evidence/RV02_prototype_01.png</x:v>
      </x:c>
      <x:c r="B32" s="30"/>
      <x:c r="C32" s="30"/>
      <x:c r="D32" s="30"/>
      <x:c r="E32" s="30"/>
      <x:c r="F32" s="30"/>
      <x:c r="G32" s="30" t="str">
        <x:v>evidence/RV02_design_02.png</x:v>
      </x:c>
      <x:c r="H32" s="30"/>
      <x:c r="I32" s="30"/>
      <x:c r="J32" s="30"/>
      <x:c r="K32" s="30"/>
      <x:c r="L32" s="30"/>
    </x:row>
    <x:row r="33" ht="21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</x:row>
    <x:row r="34" ht="21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1" customHeight="1">
      <x:c r="A35" s="29" t="str">
        <x:v>EV47 · RV05 / RV06 · 本会话本地原型走查</x:v>
      </x:c>
      <x:c r="B35" s="29"/>
      <x:c r="C35" s="29"/>
      <x:c r="D35" s="29"/>
      <x:c r="E35" s="29"/>
      <x:c r="F35" s="29"/>
      <x:c r="G35" s="29" t="str">
        <x:v>EV04 · RV05 · 规范或设计稿</x:v>
      </x:c>
      <x:c r="H35" s="29"/>
      <x:c r="I35" s="29"/>
      <x:c r="J35" s="29"/>
      <x:c r="K35" s="29"/>
      <x:c r="L35" s="29"/>
    </x:row>
    <x:row r="36" ht="21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</x:row>
    <x:row r="37" ht="21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1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1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1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1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1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1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1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1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1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1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1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1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1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1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1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1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1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1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1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1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1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1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1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1" customHeight="1">
      <x:c r="A61" s="30" t="str">
        <x:v>evidence/current-su-create.jpg</x:v>
      </x:c>
      <x:c r="B61" s="30"/>
      <x:c r="C61" s="30"/>
      <x:c r="D61" s="30"/>
      <x:c r="E61" s="30"/>
      <x:c r="F61" s="30"/>
      <x:c r="G61" s="30" t="str">
        <x:v>evidence/RV05_design_01.png</x:v>
      </x:c>
      <x:c r="H61" s="30"/>
      <x:c r="I61" s="30"/>
      <x:c r="J61" s="30"/>
      <x:c r="K61" s="30"/>
      <x:c r="L61" s="30"/>
    </x:row>
    <x:row r="62" ht="21" customHeight="1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</x:row>
    <x:row r="63" ht="21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1" customHeight="1">
      <x:c r="A64" s="29" t="str">
        <x:v>EV48 · RV07 / RV22 · 本会话本地原型走查</x:v>
      </x:c>
      <x:c r="B64" s="29"/>
      <x:c r="C64" s="29"/>
      <x:c r="D64" s="29"/>
      <x:c r="E64" s="29"/>
      <x:c r="F64" s="29"/>
      <x:c r="G64" s="29" t="str">
        <x:v>EV39 · RV22 · 规范或设计稿</x:v>
      </x:c>
      <x:c r="H64" s="29"/>
      <x:c r="I64" s="29"/>
      <x:c r="J64" s="29"/>
      <x:c r="K64" s="29"/>
      <x:c r="L64" s="29"/>
    </x:row>
    <x:row r="65" ht="21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</x:row>
    <x:row r="66" ht="21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21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1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1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1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 ht="21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 ht="21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 ht="21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21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21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1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21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 ht="21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 ht="21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 ht="21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 ht="21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 ht="21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 ht="21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 ht="21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 ht="21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 ht="21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 ht="21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 ht="21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 ht="21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 ht="21" customHeight="1">
      <x:c r="A90" s="30" t="str">
        <x:v>evidence/current-su-detail.jpg</x:v>
      </x:c>
      <x:c r="B90" s="30"/>
      <x:c r="C90" s="30"/>
      <x:c r="D90" s="30"/>
      <x:c r="E90" s="30"/>
      <x:c r="F90" s="30"/>
      <x:c r="G90" s="30" t="str">
        <x:v>evidence/RV22_design_02.png</x:v>
      </x:c>
      <x:c r="H90" s="30"/>
      <x:c r="I90" s="30"/>
      <x:c r="J90" s="30"/>
      <x:c r="K90" s="30"/>
      <x:c r="L90" s="30"/>
    </x:row>
    <x:row r="91" ht="21" customHeight="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</x:row>
    <x:row r="92" ht="21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 ht="21" customHeight="1">
      <x:c r="A93" s="29" t="str">
        <x:v>EV43 · 补充 · 本会话线上空态</x:v>
      </x:c>
      <x:c r="B93" s="29"/>
      <x:c r="C93" s="29"/>
      <x:c r="D93" s="29"/>
      <x:c r="E93" s="29"/>
      <x:c r="F93" s="29"/>
      <x:c r="G93" s="29" t="str">
        <x:v>EV44 · 补充 · 本会话线上字段名称</x:v>
      </x:c>
      <x:c r="H93" s="29"/>
      <x:c r="I93" s="29"/>
      <x:c r="J93" s="29"/>
      <x:c r="K93" s="29"/>
      <x:c r="L93" s="29"/>
    </x:row>
    <x:row r="94" ht="21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</x:row>
    <x:row r="95" ht="21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 ht="21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 ht="21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 ht="21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 ht="21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 ht="21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 ht="21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 ht="21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 ht="21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 ht="21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 ht="21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 ht="21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 ht="21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 ht="21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 ht="21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 ht="21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 ht="21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 ht="21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 ht="21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 ht="21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 ht="21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 ht="21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 ht="21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 ht="21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 ht="21" customHeight="1">
      <x:c r="A119" s="30" t="str">
        <x:v>evidence/current-search-empty.jpg</x:v>
      </x:c>
      <x:c r="B119" s="30"/>
      <x:c r="C119" s="30"/>
      <x:c r="D119" s="30"/>
      <x:c r="E119" s="30"/>
      <x:c r="F119" s="30"/>
      <x:c r="G119" s="30" t="str">
        <x:v>evidence/current-country-form.jpg</x:v>
      </x:c>
      <x:c r="H119" s="30"/>
      <x:c r="I119" s="30"/>
      <x:c r="J119" s="30"/>
      <x:c r="K119" s="30"/>
      <x:c r="L119" s="30"/>
    </x:row>
    <x:row r="120" ht="21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</x:row>
    <x:row r="121" ht="21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 ht="21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</x:sheetData>
  <x:mergeCells>
    <x:mergeCell ref="A1:L2"/>
    <x:mergeCell ref="A4:L4"/>
    <x:mergeCell ref="A6:F7"/>
    <x:mergeCell ref="A32:F33"/>
    <x:mergeCell ref="G6:L7"/>
    <x:mergeCell ref="G32:L33"/>
    <x:mergeCell ref="A35:F36"/>
    <x:mergeCell ref="A61:F62"/>
    <x:mergeCell ref="G35:L36"/>
    <x:mergeCell ref="G61:L62"/>
    <x:mergeCell ref="A64:F65"/>
    <x:mergeCell ref="A90:F91"/>
    <x:mergeCell ref="G64:L65"/>
    <x:mergeCell ref="G90:L91"/>
    <x:mergeCell ref="A93:F94"/>
    <x:mergeCell ref="A119:F120"/>
    <x:mergeCell ref="G93:L94"/>
    <x:mergeCell ref="G119:L120"/>
  </x:mergeCells>
  <x:pageMargins left="0.7" right="0.7" top="0.75" bottom="0.75" header="0.3" footer="0.3"/>
</x:worksheet>
</file>