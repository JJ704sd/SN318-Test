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a51077fc1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5f27f8da5f03432a"/>
    <x:sheet xmlns:r="http://schemas.openxmlformats.org/officeDocument/2006/relationships" name="冒烟用例" sheetId="2" r:id="R05b54b23539440aa"/>
    <x:sheet xmlns:r="http://schemas.openxmlformats.org/officeDocument/2006/relationships" name="UI检查" sheetId="3" r:id="Rb0c2048511c6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3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0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f91e0a44b44b9" /><Relationship Type="http://schemas.openxmlformats.org/officeDocument/2006/relationships/theme" Target="/xl/theme/theme1.xml" Id="Re53927c56dd2438e" /><Relationship Type="http://schemas.openxmlformats.org/officeDocument/2006/relationships/sharedStrings" Target="/xl/sharedStrings.xml" Id="Rd3b957c790be4ba1" /><Relationship Type="http://schemas.openxmlformats.org/officeDocument/2006/relationships/worksheet" Target="/xl/worksheets/sheet1.xml" Id="R5f27f8da5f03432a" /><Relationship Type="http://schemas.openxmlformats.org/officeDocument/2006/relationships/worksheet" Target="/xl/worksheets/sheet2.xml" Id="R05b54b23539440aa" /><Relationship Type="http://schemas.openxmlformats.org/officeDocument/2006/relationships/worksheet" Target="/xl/worksheets/sheet3.xml" Id="Rb0c2048511c6402d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8" name="SmokeCases" displayName="SmokeCases" ref="A5:U67" headerRowCount="1" totalsRowCount="0" totalsRowShown="0">
  <x:autoFilter ref="A5:U67"/>
  <x:tableColumns count="21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9" name="UiCases" displayName="UiCases" ref="A5:AE39" headerRowCount="1" totalsRowCount="0" totalsRowShown="0">
  <x:autoFilter ref="A5:AE39"/>
  <x:tableColumns count="31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8f8c0ebae442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147622e044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6cf63c1bdc4b80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/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OR(B7="",B8="",B9="",B10="",B11="",B15="",B16="",B12&lt;&gt;"已确认",B17&lt;&gt;"已核对")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48" customHeight="1">
      <x:c r="A7" s="18" t="str">
        <x:v>批次名称</x:v>
      </x:c>
      <x:c r="B7" s="86" t="str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使用账号别名，不填密码或 Token。新增、编辑和删除使用专用测试数据。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 t="str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功能看有效需求正文；视觉看本批批准规范／设计稿；Review2项修改中、16项待确认，采纳后才成为本批预期。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仅统计本批已确认检查点通过率。它不代表全页像素相似度；未执行、待确认和延期需同时披露。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资料读取时，当前会话访问航司页跳回登录；未执行该环境的业务和 UI 测试。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 t="str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2026-10-10T00:00:00.000Z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COUNTIFS('冒烟用例'!$D$6:$D$67,"是",'冒烟用例'!$P$6:$P$67,"冒烟")</x:f>
        <x:v>5</x:v>
      </x:c>
      <x:c r="C20" s="2"/>
      <x:c r="D20" s="2"/>
      <x:c r="E20" s="2" t="str">
        <x:v>适用检查数</x:v>
      </x:c>
      <x:c r="F20" s="25" t="n">
        <x:f>COUNTIFS('UI检查'!$D$6:$D$39,"是")</x:f>
        <x:v>0</x:v>
      </x:c>
      <x:c r="G20" s="2" t="str">
        <x:v>适用检查数</x:v>
      </x:c>
      <x:c r="H20" s="25" t="n">
        <x:f>COUNTIFS('冒烟用例'!$D$6:$D$67,"是",'冒烟用例'!$P$6:$P$67,"专项回归")</x:f>
        <x:v>0</x:v>
      </x:c>
    </x:row>
    <x:row r="21" ht="21" customHeight="1">
      <x:c r="A21" s="2" t="str">
        <x:v>其中关键项</x:v>
      </x:c>
      <x:c r="B21" s="25" t="n">
        <x:f>COUNTIFS('冒烟用例'!$D$6:$D$67,"是",'冒烟用例'!$P$6:$P$67,"冒烟",'冒烟用例'!$E$6:$E$67,"是")</x:f>
        <x:v>5</x:v>
      </x:c>
      <x:c r="C21" s="2"/>
      <x:c r="D21" s="2"/>
      <x:c r="E21" s="2" t="str">
        <x:v>其中关键项</x:v>
      </x:c>
      <x:c r="F21" s="25" t="n">
        <x:f>COUNTIFS('UI检查'!$D$6:$D$39,"是",'UI检查'!$E$6:$E$39,"是")</x:f>
        <x:v>0</x:v>
      </x:c>
      <x:c r="G21" s="2" t="str">
        <x:v>其中关键项</x:v>
      </x:c>
      <x:c r="H21" s="25" t="n">
        <x:f>COUNTIFS('冒烟用例'!$D$6:$D$67,"是",'冒烟用例'!$P$6:$P$67,"专项回归",'冒烟用例'!$E$6:$E$67,"是")</x:f>
        <x:v>0</x:v>
      </x:c>
    </x:row>
    <x:row r="22" ht="21" customHeight="1">
      <x:c r="A22" s="2" t="str">
        <x:v>当前版本通过</x:v>
      </x:c>
      <x:c r="B22" s="25" t="n">
        <x:f>COUNTIFS('冒烟用例'!$D$6:$D$67,"是",'冒烟用例'!$P$6:$P$67,"冒烟",'冒烟用例'!$I$6:$I$67,"通过")</x:f>
        <x:v>0</x:v>
      </x:c>
      <x:c r="C22" s="2"/>
      <x:c r="D22" s="2"/>
      <x:c r="E22" s="2" t="str">
        <x:v>当前版本通过</x:v>
      </x:c>
      <x:c r="F22" s="25" t="n">
        <x:f>COUNTIFS('UI检查'!$D$6:$D$39,"是",'UI检查'!$I$6:$I$39,"通过")</x:f>
        <x:v>0</x:v>
      </x:c>
      <x:c r="G22" s="2" t="str">
        <x:v>当前版本通过</x:v>
      </x:c>
      <x:c r="H22" s="25" t="n">
        <x:f>COUNTIFS('冒烟用例'!$D$6:$D$67,"是",'冒烟用例'!$P$6:$P$67,"专项回归",'冒烟用例'!$I$6:$I$67,"通过")</x:f>
        <x:v>0</x:v>
      </x:c>
    </x:row>
    <x:row r="23" ht="21" customHeight="1">
      <x:c r="A23" s="2" t="str">
        <x:v>当前版本失败</x:v>
      </x:c>
      <x:c r="B23" s="25" t="n">
        <x:f>COUNTIFS('冒烟用例'!$D$6:$D$67,"是",'冒烟用例'!$P$6:$P$67,"冒烟",'冒烟用例'!$I$6:$I$67,"失败")</x:f>
        <x:v>0</x:v>
      </x:c>
      <x:c r="C23" s="2"/>
      <x:c r="D23" s="2"/>
      <x:c r="E23" s="2" t="str">
        <x:v>当前版本失败</x:v>
      </x:c>
      <x:c r="F23" s="25" t="n">
        <x:f>COUNTIFS('UI检查'!$D$6:$D$39,"是",'UI检查'!$I$6:$I$39,"失败")</x:f>
        <x:v>0</x:v>
      </x:c>
      <x:c r="G23" s="2" t="str">
        <x:v>当前版本失败</x:v>
      </x:c>
      <x:c r="H23" s="25" t="n">
        <x:f>COUNTIFS('冒烟用例'!$D$6:$D$67,"是",'冒烟用例'!$P$6:$P$67,"专项回归",'冒烟用例'!$I$6:$I$67,"失败")</x:f>
        <x:v>0</x:v>
      </x:c>
    </x:row>
    <x:row r="24" ht="21" customHeight="1">
      <x:c r="A24" s="2" t="str">
        <x:v>未完成／受阻</x:v>
      </x:c>
      <x:c r="B24" s="25" t="n">
        <x:f>COUNTIFS('冒烟用例'!$D$6:$D$67,"是",'冒烟用例'!$P$6:$P$67,"冒烟")-COUNTIFS('冒烟用例'!$D$6:$D$67,"是",'冒烟用例'!$P$6:$P$67,"冒烟",'冒烟用例'!$I$6:$I$67,"通过")-COUNTIFS('冒烟用例'!$D$6:$D$67,"是",'冒烟用例'!$P$6:$P$67,"冒烟",'冒烟用例'!$I$6:$I$67,"失败")</x:f>
        <x:v>5</x:v>
      </x:c>
      <x:c r="C24" s="2"/>
      <x:c r="D24" s="2"/>
      <x:c r="E24" s="2" t="str">
        <x:v>未完成／受阻</x:v>
      </x:c>
      <x:c r="F24" s="25" t="n">
        <x:f>COUNTIFS('UI检查'!$D$6:$D$39,"是")-COUNTIFS('UI检查'!$D$6:$D$39,"是",'UI检查'!$I$6:$I$39,"通过")-COUNTIFS('UI检查'!$D$6:$D$39,"是",'UI检查'!$I$6:$I$39,"失败")</x:f>
        <x:v>0</x:v>
      </x:c>
      <x:c r="G24" s="2" t="str">
        <x:v>未完成／受阻</x:v>
      </x:c>
      <x:c r="H24" s="25" t="n">
        <x:f>COUNTIFS('冒烟用例'!$D$6:$D$67,"是",'冒烟用例'!$P$6:$P$67,"专项回归")-COUNTIFS('冒烟用例'!$D$6:$D$67,"是",'冒烟用例'!$P$6:$P$67,"专项回归",'冒烟用例'!$I$6:$I$67,"通过")-COUNTIFS('冒烟用例'!$D$6:$D$67,"是",'冒烟用例'!$P$6:$P$67,"专项回归",'冒烟用例'!$I$6:$I$67,"失败")</x:f>
        <x:v>0</x:v>
      </x:c>
    </x:row>
    <x:row r="25" ht="21" customHeight="1">
      <x:c r="A25" s="2" t="str">
        <x:v>依据待确认</x:v>
      </x:c>
      <x:c r="B25" s="25" t="n">
        <x:f>COUNTIFS('冒烟用例'!$D$6:$D$67,"是",'冒烟用例'!$P$6:$P$67,"冒烟")-COUNTIFS('冒烟用例'!$D$6:$D$67,"是",'冒烟用例'!$P$6:$P$67,"冒烟",'冒烟用例'!$F$6:$F$67,"已确认")+COUNTIFS('冒烟用例'!$D$6:$D$67,"是",'冒烟用例'!$P$6:$P$67,"冒烟",'冒烟用例'!$F$6:$F$67,"已确认",'冒烟用例'!$I$6:$I$67,"依据待确认")</x:f>
        <x:v>5</x:v>
      </x:c>
      <x:c r="C25" s="2"/>
      <x:c r="D25" s="2"/>
      <x:c r="E25" s="2" t="str">
        <x:v>依据待确认</x:v>
      </x:c>
      <x:c r="F25" s="25" t="n">
        <x:f>COUNTIFS('UI检查'!$D$6:$D$39,"是")-COUNTIFS('UI检查'!$D$6:$D$39,"是",'UI检查'!$F$6:$F$39,"已确认")+COUNTIFS('UI检查'!$D$6:$D$39,"是",'UI检查'!$F$6:$F$39,"已确认",'UI检查'!$I$6:$I$39,"依据待确认")</x:f>
        <x:v>0</x:v>
      </x:c>
      <x:c r="G25" s="2" t="str">
        <x:v>依据待确认</x:v>
      </x:c>
      <x:c r="H25" s="25" t="n">
        <x:f>COUNTIFS('冒烟用例'!$D$6:$D$67,"是",'冒烟用例'!$P$6:$P$67,"专项回归")-COUNTIFS('冒烟用例'!$D$6:$D$67,"是",'冒烟用例'!$P$6:$P$67,"专项回归",'冒烟用例'!$F$6:$F$67,"已确认")+COUNTIFS('冒烟用例'!$D$6:$D$67,"是",'冒烟用例'!$P$6:$P$67,"专项回归",'冒烟用例'!$F$6:$F$67,"已确认",'冒烟用例'!$I$6:$I$67,"依据待确认")</x:f>
        <x:v>0</x:v>
      </x:c>
    </x:row>
    <x:row r="26" ht="21" customHeight="1">
      <x:c r="A26" s="2" t="str">
        <x:v>库内待筛选（提示）</x:v>
      </x:c>
      <x:c r="B26" s="25" t="n">
        <x:f>COUNTIFS('冒烟用例'!$D$6:$D$67,"待选择",'冒烟用例'!$P$6:$P$67,"冒烟")</x:f>
        <x:v>26</x:v>
      </x:c>
      <x:c r="C26" s="2"/>
      <x:c r="D26" s="2"/>
      <x:c r="E26" s="2" t="str">
        <x:v>库内待筛选（提示）</x:v>
      </x:c>
      <x:c r="F26" s="25" t="n">
        <x:f>COUNTIFS('UI检查'!$D$6:$D$39,"待选择")</x:f>
        <x:v>34</x:v>
      </x:c>
      <x:c r="G26" s="2" t="str">
        <x:v>库内待筛选（提示）</x:v>
      </x:c>
      <x:c r="H26" s="25" t="n">
        <x:f>COUNTIFS('冒烟用例'!$D$6:$D$67,"待选择",'冒烟用例'!$P$6:$P$67,"专项回归")</x:f>
        <x:v>31</x:v>
      </x:c>
    </x:row>
    <x:row r="27" ht="21" customHeight="1">
      <x:c r="A27" s="2" t="str">
        <x:v>关键失败</x:v>
      </x:c>
      <x:c r="B27" s="25" t="n">
        <x:f>COUNTIFS('冒烟用例'!$D$6:$D$67,"是",'冒烟用例'!$P$6:$P$67,"冒烟",'冒烟用例'!$E$6:$E$67,"是",'冒烟用例'!$I$6:$I$67,"失败")</x:f>
        <x:v>0</x:v>
      </x:c>
      <x:c r="C27" s="2"/>
      <x:c r="D27" s="2"/>
      <x:c r="E27" s="2" t="str">
        <x:v>关键失败</x:v>
      </x:c>
      <x:c r="F27" s="25" t="n">
        <x:f>COUNTIFS('UI检查'!$D$6:$D$39,"是",'UI检查'!$E$6:$E$39,"是",'UI检查'!$I$6:$I$39,"失败")</x:f>
        <x:v>0</x:v>
      </x:c>
      <x:c r="G27" s="2" t="str">
        <x:v>关键失败</x:v>
      </x:c>
      <x:c r="H27" s="25" t="n">
        <x:f>COUNTIFS('冒烟用例'!$D$6:$D$67,"是",'冒烟用例'!$P$6:$P$67,"专项回归",'冒烟用例'!$E$6:$E$67,"是",'冒烟用例'!$I$6:$I$67,"失败")</x:f>
        <x:v>0</x:v>
      </x:c>
    </x:row>
    <x:row r="28" ht="21" customHeight="1">
      <x:c r="A28" s="2" t="str">
        <x:v>关键未完成</x:v>
      </x:c>
      <x:c r="B28" s="25" t="n">
        <x:f>COUNTIFS('冒烟用例'!$D$6:$D$67,"是",'冒烟用例'!$P$6:$P$67,"冒烟",'冒烟用例'!$E$6:$E$67,"是")-COUNTIFS('冒烟用例'!$D$6:$D$67,"是",'冒烟用例'!$P$6:$P$67,"冒烟",'冒烟用例'!$E$6:$E$67,"是",'冒烟用例'!$I$6:$I$67,"通过")-COUNTIFS('冒烟用例'!$D$6:$D$67,"是",'冒烟用例'!$P$6:$P$67,"冒烟",'冒烟用例'!$E$6:$E$67,"是",'冒烟用例'!$I$6:$I$67,"失败")</x:f>
        <x:v>5</x:v>
      </x:c>
      <x:c r="C28" s="2"/>
      <x:c r="D28" s="2"/>
      <x:c r="E28" s="2" t="str">
        <x:v>关键未完成</x:v>
      </x:c>
      <x:c r="F28" s="25" t="n">
        <x:f>COUNTIFS('UI检查'!$D$6:$D$39,"是",'UI检查'!$E$6:$E$39,"是")-COUNTIFS('UI检查'!$D$6:$D$39,"是",'UI检查'!$E$6:$E$39,"是",'UI检查'!$I$6:$I$39,"通过")-COUNTIFS('UI检查'!$D$6:$D$39,"是",'UI检查'!$E$6:$E$39,"是",'UI检查'!$I$6:$I$39,"失败")</x:f>
        <x:v>0</x:v>
      </x:c>
      <x:c r="G28" s="2" t="str">
        <x:v>关键未完成</x:v>
      </x:c>
      <x:c r="H28" s="25" t="n">
        <x:f>COUNTIFS('冒烟用例'!$D$6:$D$67,"是",'冒烟用例'!$P$6:$P$67,"专项回归",'冒烟用例'!$E$6:$E$67,"是")-COUNTIFS('冒烟用例'!$D$6:$D$67,"是",'冒烟用例'!$P$6:$P$67,"专项回归",'冒烟用例'!$E$6:$E$67,"是",'冒烟用例'!$I$6:$I$67,"通过")-COUNTIFS('冒烟用例'!$D$6:$D$67,"是",'冒烟用例'!$P$6:$P$67,"专项回归",'冒烟用例'!$E$6:$E$67,"是",'冒烟用例'!$I$6:$I$67,"失败")</x:f>
        <x:v>0</x:v>
      </x:c>
    </x:row>
    <x:row r="29" ht="21" customHeight="1">
      <x:c r="A29" s="2" t="str">
        <x:v>已确认项通过率</x:v>
      </x:c>
      <x:c r="B29" s="26" t="str">
        <x:f>IF(COUNTIFS('冒烟用例'!$D$6:$D$67,"是",'冒烟用例'!$P$6:$P$67,"冒烟",'冒烟用例'!$F$6:$F$67,"已确认")=0,"无已确认项",COUNTIFS('冒烟用例'!$D$6:$D$67,"是",'冒烟用例'!$P$6:$P$67,"冒烟",'冒烟用例'!$F$6:$F$67,"已确认",'冒烟用例'!$I$6:$I$67,"通过")/COUNTIFS('冒烟用例'!$D$6:$D$67,"是",'冒烟用例'!$P$6:$P$67,"冒烟",'冒烟用例'!$F$6:$F$67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IF(COUNTIFS('UI检查'!$D$6:$D$39,"是",'UI检查'!$F$6:$F$39,"已确认")=0,"无已确认项",COUNTIFS('UI检查'!$D$6:$D$39,"是",'UI检查'!$F$6:$F$39,"已确认",'UI检查'!$I$6:$I$39,"通过")/COUNTIFS('UI检查'!$D$6:$D$39,"是",'UI检查'!$F$6:$F$39,"已确认"))</x:f>
        <x:v>无已确认项</x:v>
      </x:c>
      <x:c r="G29" s="2" t="str">
        <x:v>已确认项通过率</x:v>
      </x:c>
      <x:c r="H29" s="26" t="str">
        <x:f>IF(COUNTIFS('冒烟用例'!$D$6:$D$67,"是",'冒烟用例'!$P$6:$P$67,"专项回归",'冒烟用例'!$F$6:$F$67,"已确认")=0,"无已确认项",COUNTIFS('冒烟用例'!$D$6:$D$67,"是",'冒烟用例'!$P$6:$P$67,"专项回归",'冒烟用例'!$F$6:$F$67,"已确认",'冒烟用例'!$I$6:$I$67,"通过")/COUNTIFS('冒烟用例'!$D$6:$D$67,"是",'冒烟用例'!$P$6:$P$67,"专项回归",'冒烟用例'!$F$6:$F$67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</x:f>
        <x:v>1</x:v>
      </x:c>
      <x:c r="G30" s="2" t="str">
        <x:v>纳入项交付映射缺失</x:v>
      </x:c>
      <x:c r="H30" s="2" t="n">
        <x:f>COUNTIFS('冒烟用例'!$D$6:$D$67,"是")-COUNTIFS('冒烟用例'!$D$6:$D$67,"是",'冒烟用例'!$Q$6:$Q$67,"&lt;&gt;")+COUNTIFS('UI检查'!$D$6:$D$39,"是")-COUNTIFS('UI检查'!$D$6:$D$39,"是",'UI检查'!$U$6:$U$39,"&lt;&gt;")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</x:f>
        <x:v>21</x:v>
      </x:c>
      <x:c r="G31" s="2" t="str">
        <x:v>涉及事项已记录后置</x:v>
      </x:c>
      <x:c r="H31" s="2" t="n">
        <x:f>COUNTIFS($H$40:$H$61,"已记录后置")</x:f>
        <x:v>0</x:v>
      </x:c>
    </x:row>
    <x:row r="32" ht="21" customHeight="1">
      <x:c r="A32" s="2"/>
      <x:c r="B32" s="2"/>
      <x:c r="C32" s="2"/>
      <x:c r="D32" s="2"/>
      <x:c r="E32" s="2"/>
      <x:c r="F32" s="2"/>
      <x:c r="G32" s="2"/>
      <x:c r="H32" s="2"/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 t="str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 t="str"/>
      <x:c r="C35" s="2"/>
      <x:c r="D35" s="2"/>
      <x:c r="E35" s="2" t="str">
        <x:v>评审记录检查</x:v>
      </x:c>
      <x:c r="F35" s="10" t="str">
        <x:f>IF(B33="待评审","待人工评审",IF(OR(B34="",B36=""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B35&lt;&gt;""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 t="str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基础配置一级 Tab、子项及新增入口位置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$39,"UI01",'UI检查'!$D$6:$D$39,"是"))&gt;0,D40="否"),"范围矛盾",IF(OR(D40="是",(COUNTIFS('UI检查'!$A$6:$A$39,"UI01",'UI检查'!$D$6:$D$39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$39,"UI02",'UI检查'!$D$6:$D$39,"是"))&gt;0,D41="否"),"范围矛盾",IF(OR(D41="是",(COUNTIFS('UI检查'!$A$6:$A$39,"UI02",'UI检查'!$D$6:$D$39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$39,"UI18",'UI检查'!$D$6:$D$39,"是"))&gt;0,D42="否"),"范围矛盾",IF(OR(D42="是",(COUNTIFS('UI检查'!$A$6:$A$39,"UI18",'UI检查'!$D$6:$D$39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$39,"UI15",'UI检查'!$D$6:$D$39,"是"))&gt;0,D43="否"),"范围矛盾",IF(OR(D43="是",(COUNTIFS('UI检查'!$A$6:$A$39,"UI15",'UI检查'!$D$6:$D$39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$39,"UI16",'UI检查'!$D$6:$D$39,"是")+COUNTIFS('冒烟用例'!$A$6:$A$67,"SM27",'冒烟用例'!$D$6:$D$67,"是"))&gt;0,D44="否"),"范围矛盾",IF(OR(D44="是",(COUNTIFS('UI检查'!$A$6:$A$39,"UI16",'UI检查'!$D$6:$D$39,"是")+COUNTIFS('冒烟用例'!$A$6:$A$67,"SM27",'冒烟用例'!$D$6:$D$67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航司字典类型、编码格式、唯一性及重复处理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$67,"SM10",'冒烟用例'!$D$6:$D$67,"是")+COUNTIFS('冒烟用例'!$A$6:$A$67,"SM16",'冒烟用例'!$D$6:$D$67,"是"))&gt;0,D45="否"),"范围矛盾",IF(OR(D45="是",(COUNTIFS('冒烟用例'!$A$6:$A$67,"SM10",'冒烟用例'!$D$6:$D$67,"是")+COUNTIFS('冒烟用例'!$A$6:$A$67,"SM16",'冒烟用例'!$D$6:$D$67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字典分类自身的新增、改名和删除是否交付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$67,"SM17",'冒烟用例'!$D$6:$D$67,"是"))&gt;0,D46="否"),"范围矛盾",IF(OR(D46="是",(COUNTIFS('冒烟用例'!$A$6:$A$67,"SM17",'冒烟用例'!$D$6:$D$67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$67,"SM28",'冒烟用例'!$D$6:$D$67,"是")+COUNTIFS('UI检查'!$A$6:$A$39,"UI13",'UI检查'!$D$6:$D$39,"是"))&gt;0,D47="否"),"范围矛盾",IF(OR(D47="是",(COUNTIFS('冒烟用例'!$A$6:$A$67,"SM28",'冒烟用例'!$D$6:$D$67,"是")+COUNTIFS('UI检查'!$A$6:$A$39,"UI13",'UI检查'!$D$6:$D$39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地点／Zone即时查询必须保留；如同时有查询按钮，明确按钮与重置语义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$67,"SM43",'冒烟用例'!$D$6:$D$67,"是")+COUNTIFS('冒烟用例'!$A$6:$A$67,"SM58",'冒烟用例'!$D$6:$D$67,"是")+COUNTIFS('UI检查'!$A$6:$A$39,"UI09",'UI检查'!$D$6:$D$39,"是"))&gt;0,D48="否"),"范围矛盾",IF(OR(D48="是",(COUNTIFS('冒烟用例'!$A$6:$A$67,"SM43",'冒烟用例'!$D$6:$D$67,"是")+COUNTIFS('冒烟用例'!$A$6:$A$67,"SM58",'冒烟用例'!$D$6:$D$67,"是")+COUNTIFS('UI检查'!$A$6:$A$39,"UI09",'UI检查'!$D$6:$D$39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金额显示冲突：项目两位与规范V1.2四位；明确项目例外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$39,"UI22",'UI检查'!$D$6:$D$39,"是")+COUNTIFS('UI检查'!$A$6:$A$39,"UI29",'UI检查'!$D$6:$D$39,"是"))&gt;0,D49="否"),"范围矛盾",IF(OR(D49="是",(COUNTIFS('UI检查'!$A$6:$A$39,"UI22",'UI检查'!$D$6:$D$39,"是")+COUNTIFS('UI检查'!$A$6:$A$39,"UI29",'UI检查'!$D$6:$D$39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$67,"SM24",'冒烟用例'!$D$6:$D$67,"是")+COUNTIFS('冒烟用例'!$A$6:$A$67,"SM50",'冒烟用例'!$D$6:$D$67,"是"))&gt;0,D50="否"),"范围矛盾",IF(OR(D50="是",(COUNTIFS('冒烟用例'!$A$6:$A$67,"SM24",'冒烟用例'!$D$6:$D$67,"是")+COUNTIFS('冒烟用例'!$A$6:$A$67,"SM50",'冒烟用例'!$D$6:$D$67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$67,"SM42",'冒烟用例'!$D$6:$D$67,"是"))&gt;0,D51="否"),"范围矛盾",IF(OR(D51="是",(COUNTIFS('冒烟用例'!$A$6:$A$67,"SM42",'冒烟用例'!$D$6:$D$67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$67,"SM21",'冒烟用例'!$D$6:$D$67,"是")+COUNTIFS('冒烟用例'!$A$6:$A$67,"SM30",'冒烟用例'!$D$6:$D$67,"是")+COUNTIFS('冒烟用例'!$A$6:$A$67,"SM39",'冒烟用例'!$D$6:$D$67,"是")+COUNTIFS('冒烟用例'!$A$6:$A$67,"SM40",'冒烟用例'!$D$6:$D$67,"是"))&gt;0,D52="否"),"范围矛盾",IF(OR(D52="是",(COUNTIFS('冒烟用例'!$A$6:$A$67,"SM21",'冒烟用例'!$D$6:$D$67,"是")+COUNTIFS('冒烟用例'!$A$6:$A$67,"SM30",'冒烟用例'!$D$6:$D$67,"是")+COUNTIFS('冒烟用例'!$A$6:$A$67,"SM39",'冒烟用例'!$D$6:$D$67,"是")+COUNTIFS('冒烟用例'!$A$6:$A$67,"SM40",'冒烟用例'!$D$6:$D$67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82.5" customHeight="1">
      <x:c r="A53" s="10" t="str">
        <x:v>DEC14</x:v>
      </x:c>
      <x:c r="B53" s="10" t="str">
        <x:v>选路建议规则、DR-01抛比、同分、时间日历与供应商跨范围组合约束</x:v>
      </x:c>
      <x:c r="C53" s="42" t="str">
        <x:v>SM32、SM34—38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$67,"SM32",'冒烟用例'!$D$6:$D$67,"是")+COUNTIFS('冒烟用例'!$A$6:$A$67,"SM34",'冒烟用例'!$D$6:$D$67,"是")+COUNTIFS('冒烟用例'!$A$6:$A$67,"SM35",'冒烟用例'!$D$6:$D$67,"是")+COUNTIFS('冒烟用例'!$A$6:$A$67,"SM36",'冒烟用例'!$D$6:$D$67,"是")+COUNTIFS('冒烟用例'!$A$6:$A$67,"SM37",'冒烟用例'!$D$6:$D$67,"是")+COUNTIFS('冒烟用例'!$A$6:$A$67,"SM38",'冒烟用例'!$D$6:$D$67,"是"))&gt;0,D53="否"),"范围矛盾",IF(OR(D53="是",(COUNTIFS('冒烟用例'!$A$6:$A$67,"SM32",'冒烟用例'!$D$6:$D$67,"是")+COUNTIFS('冒烟用例'!$A$6:$A$67,"SM34",'冒烟用例'!$D$6:$D$67,"是")+COUNTIFS('冒烟用例'!$A$6:$A$67,"SM35",'冒烟用例'!$D$6:$D$67,"是")+COUNTIFS('冒烟用例'!$A$6:$A$67,"SM36",'冒烟用例'!$D$6:$D$67,"是")+COUNTIFS('冒烟用例'!$A$6:$A$67,"SM37",'冒烟用例'!$D$6:$D$67,"是")+COUNTIFS('冒烟用例'!$A$6:$A$67,"SM38",'冒烟用例'!$D$6:$D$67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82.5" customHeight="1">
      <x:c r="A54" s="10" t="str">
        <x:v>DEC15</x:v>
      </x:c>
      <x:c r="B54" s="10" t="str">
        <x:v>单元多范围编码前缀、抛比零负边界及换算精度；接单时间正文日期与评论纯时间</x:v>
      </x:c>
      <x:c r="C54" s="42" t="str">
        <x:v>SM29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$67,"SM29",'冒烟用例'!$D$6:$D$67,"是"))&gt;0,D54="否"),"范围矛盾",IF(OR(D54="是",(COUNTIFS('冒烟用例'!$A$6:$A$67,"SM29",'冒烟用例'!$D$6:$D$67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$67,"SM50",'冒烟用例'!$D$6:$D$67,"是"))&gt;0,D55="否"),"范围矛盾",IF(OR(D55="是",(COUNTIFS('冒烟用例'!$A$6:$A$67,"SM50",'冒烟用例'!$D$6:$D$67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$67,"SM27",'冒烟用例'!$D$6:$D$67,"是")+COUNTIFS('UI检查'!$A$6:$A$39,"UI16",'UI检查'!$D$6:$D$39,"是"))&gt;0,D56="否"),"范围矛盾",IF(OR(D56="是",(COUNTIFS('冒烟用例'!$A$6:$A$67,"SM27",'冒烟用例'!$D$6:$D$67,"是")+COUNTIFS('UI检查'!$A$6:$A$39,"UI16",'UI检查'!$D$6:$D$39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82.5" customHeight="1">
      <x:c r="A57" s="10" t="str">
        <x:v>DEC18</x:v>
      </x:c>
      <x:c r="B57" s="10" t="str">
        <x:v>UI批准稿／规范版本、支持设备、量值容差及遮罩；Tabs列表40px与触达≥44px口径</x:v>
      </x:c>
      <x:c r="C57" s="42" t="str">
        <x:v>UI19—34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$39,"UI19",'UI检查'!$D$6:$D$39,"是")+COUNTIFS('UI检查'!$A$6:$A$39,"UI20",'UI检查'!$D$6:$D$39,"是")+COUNTIFS('UI检查'!$A$6:$A$39,"UI21",'UI检查'!$D$6:$D$39,"是")+COUNTIFS('UI检查'!$A$6:$A$39,"UI22",'UI检查'!$D$6:$D$39,"是")+COUNTIFS('UI检查'!$A$6:$A$39,"UI23",'UI检查'!$D$6:$D$39,"是")+COUNTIFS('UI检查'!$A$6:$A$39,"UI24",'UI检查'!$D$6:$D$39,"是")+COUNTIFS('UI检查'!$A$6:$A$39,"UI25",'UI检查'!$D$6:$D$39,"是")+COUNTIFS('UI检查'!$A$6:$A$39,"UI26",'UI检查'!$D$6:$D$39,"是")+COUNTIFS('UI检查'!$A$6:$A$39,"UI27",'UI检查'!$D$6:$D$39,"是")+COUNTIFS('UI检查'!$A$6:$A$39,"UI28",'UI检查'!$D$6:$D$39,"是")+COUNTIFS('UI检查'!$A$6:$A$39,"UI29",'UI检查'!$D$6:$D$39,"是")+COUNTIFS('UI检查'!$A$6:$A$39,"UI30",'UI检查'!$D$6:$D$39,"是")+COUNTIFS('UI检查'!$A$6:$A$39,"UI31",'UI检查'!$D$6:$D$39,"是")+COUNTIFS('UI检查'!$A$6:$A$39,"UI32",'UI检查'!$D$6:$D$39,"是")+COUNTIFS('UI检查'!$A$6:$A$39,"UI33",'UI检查'!$D$6:$D$39,"是")+COUNTIFS('UI检查'!$A$6:$A$39,"UI34",'UI检查'!$D$6:$D$39,"是"))&gt;0,D57="否"),"范围矛盾",IF(OR(D57="是",(COUNTIFS('UI检查'!$A$6:$A$39,"UI19",'UI检查'!$D$6:$D$39,"是")+COUNTIFS('UI检查'!$A$6:$A$39,"UI20",'UI检查'!$D$6:$D$39,"是")+COUNTIFS('UI检查'!$A$6:$A$39,"UI21",'UI检查'!$D$6:$D$39,"是")+COUNTIFS('UI检查'!$A$6:$A$39,"UI22",'UI检查'!$D$6:$D$39,"是")+COUNTIFS('UI检查'!$A$6:$A$39,"UI23",'UI检查'!$D$6:$D$39,"是")+COUNTIFS('UI检查'!$A$6:$A$39,"UI24",'UI检查'!$D$6:$D$39,"是")+COUNTIFS('UI检查'!$A$6:$A$39,"UI25",'UI检查'!$D$6:$D$39,"是")+COUNTIFS('UI检查'!$A$6:$A$39,"UI26",'UI检查'!$D$6:$D$39,"是")+COUNTIFS('UI检查'!$A$6:$A$39,"UI27",'UI检查'!$D$6:$D$39,"是")+COUNTIFS('UI检查'!$A$6:$A$39,"UI28",'UI检查'!$D$6:$D$39,"是")+COUNTIFS('UI检查'!$A$6:$A$39,"UI29",'UI检查'!$D$6:$D$39,"是")+COUNTIFS('UI检查'!$A$6:$A$39,"UI30",'UI检查'!$D$6:$D$39,"是")+COUNTIFS('UI检查'!$A$6:$A$39,"UI31",'UI检查'!$D$6:$D$39,"是")+COUNTIFS('UI检查'!$A$6:$A$39,"UI32",'UI检查'!$D$6:$D$39,"是")+COUNTIFS('UI检查'!$A$6:$A$39,"UI33",'UI检查'!$D$6:$D$39,"是")+COUNTIFS('UI检查'!$A$6:$A$39,"UI34",'UI检查'!$D$6:$D$39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82.5" customHeight="1">
      <x:c r="A58" s="10" t="str">
        <x:v>DEC19</x:v>
      </x:c>
      <x:c r="B58" s="10" t="str">
        <x:v>计费区间及生效时间端点、舍入／汇率精度；产品改价试算取值；默认卡与非默认卡覆盖例外</x:v>
      </x:c>
      <x:c r="C58" s="42" t="str">
        <x:v>SM23、SM25、SM41、SM47、SM48、SM52、SM56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$67,"SM23",'冒烟用例'!$D$6:$D$67,"是")+COUNTIFS('冒烟用例'!$A$6:$A$67,"SM25",'冒烟用例'!$D$6:$D$67,"是")+COUNTIFS('冒烟用例'!$A$6:$A$67,"SM41",'冒烟用例'!$D$6:$D$67,"是")+COUNTIFS('冒烟用例'!$A$6:$A$67,"SM47",'冒烟用例'!$D$6:$D$67,"是")+COUNTIFS('冒烟用例'!$A$6:$A$67,"SM48",'冒烟用例'!$D$6:$D$67,"是")+COUNTIFS('冒烟用例'!$A$6:$A$67,"SM52",'冒烟用例'!$D$6:$D$67,"是")+COUNTIFS('冒烟用例'!$A$6:$A$67,"SM56",'冒烟用例'!$D$6:$D$67,"是"))&gt;0,D58="否"),"范围矛盾",IF(OR(D58="是",(COUNTIFS('冒烟用例'!$A$6:$A$67,"SM23",'冒烟用例'!$D$6:$D$67,"是")+COUNTIFS('冒烟用例'!$A$6:$A$67,"SM25",'冒烟用例'!$D$6:$D$67,"是")+COUNTIFS('冒烟用例'!$A$6:$A$67,"SM41",'冒烟用例'!$D$6:$D$67,"是")+COUNTIFS('冒烟用例'!$A$6:$A$67,"SM47",'冒烟用例'!$D$6:$D$67,"是")+COUNTIFS('冒烟用例'!$A$6:$A$67,"SM48",'冒烟用例'!$D$6:$D$67,"是")+COUNTIFS('冒烟用例'!$A$6:$A$67,"SM52",'冒烟用例'!$D$6:$D$67,"是")+COUNTIFS('冒烟用例'!$A$6:$A$67,"SM56",'冒烟用例'!$D$6:$D$67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IF(AND($B$17="已核对",LEN(TRIM($B$9))&gt;0),"已确认",IF($B$20+$F$20+$H$20&gt;0,"待确认","库内待选择"))</x:f>
        <x:v>待确认</x:v>
      </x:c>
    </x:row>
    <x:row r="60" ht="8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$67,"SM26",'冒烟用例'!$D$6:$D$67,"是")+COUNTIFS('冒烟用例'!$A$6:$A$67,"SM59",'冒烟用例'!$D$6:$D$67,"是")+COUNTIFS('冒烟用例'!$A$6:$A$67,"SM60",'冒烟用例'!$D$6:$D$67,"是"))&gt;0,D60="否"),"范围矛盾",IF(OR(D60="是",(COUNTIFS('冒烟用例'!$A$6:$A$67,"SM26",'冒烟用例'!$D$6:$D$67,"是")+COUNTIFS('冒烟用例'!$A$6:$A$67,"SM59",'冒烟用例'!$D$6:$D$67,"是")+COUNTIFS('冒烟用例'!$A$6:$A$67,"SM60",'冒烟用例'!$D$6:$D$67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8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$39,"UI03",'UI检查'!$D$6:$D$39,"是"))&gt;0,D61="否"),"范围矛盾",IF(OR(D61="是",(COUNTIFS('UI检查'!$A$6:$A$39,"UI03",'UI检查'!$D$6:$D$39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V1.0评审稿；2026-10-10再次读取§6.1／§6.4完整计费历史／§6.5配置。历史P0/P1分期冲突见DEC21。此前核对§6.2—6.4其他正文及删除线。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2026-10-10逐条打开18个唯一记录详情，核对问题/建议/后续处理、类型、优先级、适配、角色及状态。原始文字摘录和稳定记录ID见UI检查X:AC；2修改中、16待确认，采纳须单独确认。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V1.2（2026-10-09更新）；本轮再读§5.8对齐／行状态与§5.17 Tabs；列表40px与触达≥44px适配口径待确认。此前核对字体等基础规范。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航司字典页；当前会话跳回登录，尚未验证业务实现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所有用例未执行；该环境会话此前回到登录。写入、删除仅用专用测试数据；外部调用按本批授权执行。功能冒烟、UI核对均不是上线验收。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18条详情本轮逐字段复核：P0 6、P1 7、P2 5；2修改中、16待确认。适配：直接复用13、组合复用1、调整后复用1、无法覆盖2、业务交互/信息待明确1。以记录ID追溯，不依赖分组后的行号。来源状态不等于本批采纳。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18条Review逐项改写步骤与预期；补查询5点、分页配置条件、固定字段/普通字段滚动、多选到清空恢复、导航/文案限定、独立AI流程及Drawer连续查看。UI检查X:AC保留来源摘录和修正说明；不把建议升为未批准硬要求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DEC10金额两位/四位；DEC11保存态；DEC12动态卡校验；DEC19试算来源及精度；DEC21历史分期；新增DEC22下单规则数量提示与Review删除汇总的冲突。保持待决，不能宣称已验证落地。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为是后，决策自动纳入；手填否会显示范围矛盾。确认须有采用方案、日期／版本和证据，空白字符不算证据。仅DEC01/02/03的承载布局方案可记录后置，并需负责人、日期、影响、接受证据及本批可测的现行方案；核心规则不能用后置代替确认。DEC20由交付清单及B17签认。此逻辑为测试流程建议，最终仍由团队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31" t="str">
        <x:v>按需求设计用例｜思路补充（测试建议）</x:v>
      </x:c>
      <x:c r="B82" s="131"/>
      <x:c r="C82" s="131"/>
      <x:c r="D82" s="131"/>
      <x:c r="E82" s="131"/>
      <x:c r="F82" s="131"/>
      <x:c r="G82" s="131"/>
      <x:c r="H82" s="131"/>
    </x:row>
    <x:row r="83" ht="27" customHeight="1">
      <x:c r="A83" s="10" t="str">
        <x:v>逐条思路：冒烟用例T:U、UI检查AD:AE。本轮补漏SM61/62，修正SM21/29/52；编号代表检查点，适用分支分别留证；全部仍未执行。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32" t="str">
        <x:v>1. 先从交付清单定范围</x:v>
      </x:c>
      <x:c r="B85" s="133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33"/>
      <x:c r="D85" s="133"/>
      <x:c r="E85" s="133"/>
      <x:c r="F85" s="133"/>
      <x:c r="G85" s="133"/>
      <x:c r="H85" s="133"/>
    </x:row>
    <x:row r="86" ht="49.5" customHeight="1">
      <x:c r="A86" s="134" t="str">
        <x:v>2. 把需求拆成可观察规则</x:v>
      </x:c>
      <x:c r="B86" s="135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35"/>
      <x:c r="D86" s="135"/>
      <x:c r="E86" s="135"/>
      <x:c r="F86" s="135"/>
      <x:c r="G86" s="135"/>
      <x:c r="H86" s="135"/>
    </x:row>
    <x:row r="87" ht="49.5" customHeight="1">
      <x:c r="A87" s="132" t="str">
        <x:v>3. 先跑最短可用链路</x:v>
      </x:c>
      <x:c r="B87" s="133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33"/>
      <x:c r="D87" s="133"/>
      <x:c r="E87" s="133"/>
      <x:c r="F87" s="133"/>
      <x:c r="G87" s="133"/>
      <x:c r="H87" s="133"/>
    </x:row>
    <x:row r="88" ht="49.5" customHeight="1">
      <x:c r="A88" s="134" t="str">
        <x:v>4. 再补有风险的反例</x:v>
      </x:c>
      <x:c r="B88" s="135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35"/>
      <x:c r="D88" s="135"/>
      <x:c r="E88" s="135"/>
      <x:c r="F88" s="135"/>
      <x:c r="G88" s="135"/>
      <x:c r="H88" s="135"/>
    </x:row>
    <x:row r="89" ht="49.5" customHeight="1">
      <x:c r="A89" s="132" t="str">
        <x:v>5. 用独立证据判定</x:v>
      </x:c>
      <x:c r="B89" s="133" t="str">
        <x:v>保存后重新查询读回；计算用批准的人工账本逐费用核算；版本用修改前后ID／版本／当前指针；历史用已知OMS快照。UI在相同数据、视口、缩放和基线下核对，关键交互另实操。一个编号可能含多分支，应逐分支留证；所有适用必需分支完成后才标整行通过，未完成不能用单个成功提示替代。</x:v>
      </x:c>
      <x:c r="C89" s="133"/>
      <x:c r="D89" s="133"/>
      <x:c r="E89" s="133"/>
      <x:c r="F89" s="133"/>
      <x:c r="G89" s="133"/>
      <x:c r="H89" s="133"/>
    </x:row>
    <x:row r="90" ht="49.5" customHeight="1">
      <x:c r="A90" s="134" t="str">
        <x:v>6. 变化后按影响复测</x:v>
      </x:c>
      <x:c r="B90" s="135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35"/>
      <x:c r="D90" s="135"/>
      <x:c r="E90" s="135"/>
      <x:c r="F90" s="135"/>
      <x:c r="G90" s="135"/>
      <x:c r="H90" s="135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29" t="str">
        <x:v>模块／主题</x:v>
      </x:c>
      <x:c r="B94" s="129" t="str">
        <x:v>对应现有用例</x:v>
      </x:c>
      <x:c r="C94" s="129" t="str">
        <x:v>需求依据</x:v>
      </x:c>
      <x:c r="D94" s="129" t="str">
        <x:v>主要风险</x:v>
      </x:c>
      <x:c r="E94" s="129" t="str">
        <x:v>设计方法（建议）</x:v>
      </x:c>
      <x:c r="F94" s="129" t="str">
        <x:v>测试数据选择</x:v>
      </x:c>
      <x:c r="G94" s="129" t="str">
        <x:v>判定与证据</x:v>
      </x:c>
      <x:c r="H94" s="129" t="str">
        <x:v>适用条件／待决策</x:v>
      </x:c>
    </x:row>
    <x:row r="95" ht="91.5" customHeight="1">
      <x:c r="A95" s="133" t="str">
        <x:v>通用与入口</x:v>
      </x:c>
      <x:c r="B95" s="133" t="str">
        <x:v>SM01—05</x:v>
      </x:c>
      <x:c r="C95" s="133" t="str">
        <x:v>共通检查／Review17</x:v>
      </x:c>
      <x:c r="D95" s="133" t="str">
        <x:v>错误身份、深链接和刷新断链</x:v>
      </x:c>
      <x:c r="E95" s="133" t="str">
        <x:v>正反账号／入口对照</x:v>
      </x:c>
      <x:c r="F95" s="133" t="str">
        <x:v>本批角色、目标URL、约定保留状态</x:v>
      </x:c>
      <x:c r="G95" s="133" t="str">
        <x:v>身份、路由、请求结果及保存读回</x:v>
      </x:c>
      <x:c r="H95" s="133" t="str">
        <x:v>按本批页面选择；权限细则不是PRD已定事实</x:v>
      </x:c>
    </x:row>
    <x:row r="96" ht="91.5" customHeight="1">
      <x:c r="A96" s="135" t="str">
        <x:v>字典与表单联动</x:v>
      </x:c>
      <x:c r="B96" s="135" t="str">
        <x:v>SM06—18、57</x:v>
      </x:c>
      <x:c r="C96" s="135" t="str">
        <x:v>REQ §6.5／§6.4</x:v>
      </x:c>
      <x:c r="D96" s="135" t="str">
        <x:v>新增成功但表单不可用；删除破坏历史</x:v>
      </x:c>
      <x:c r="E96" s="135" t="str">
        <x:v>等价类＋CRUD闭环＋前后对照</x:v>
      </x:c>
      <x:c r="F96" s="135" t="str">
        <x:v>普通／编码字典；有／无历史引用；拒收／转人工</x:v>
      </x:c>
      <x:c r="G96" s="135" t="str">
        <x:v>重查选项、表单存值、原历史单据</x:v>
      </x:c>
      <x:c r="H96" s="135" t="str">
        <x:v>航司类型／格式／唯一性DEC06；分类CRUD DEC07</x:v>
      </x:c>
    </x:row>
    <x:row r="97" ht="91.5" customHeight="1">
      <x:c r="A97" s="133" t="str">
        <x:v>地点与分区</x:v>
      </x:c>
      <x:c r="B97" s="133" t="str">
        <x:v>SM19—20、43、58</x:v>
      </x:c>
      <x:c r="C97" s="133" t="str">
        <x:v>REQ §6.5／§6.3</x:v>
      </x:c>
      <x:c r="D97" s="133" t="str">
        <x:v>邮编属性、启用引用、版本匹配错误</x:v>
      </x:c>
      <x:c r="E97" s="133" t="str">
        <x:v>边界＋表达类＋引用联动</x:v>
      </x:c>
      <x:c r="F97" s="133" t="str">
        <x:v>ISO2、重复ID、精确／前缀／区间邮编、地点版本</x:v>
      </x:c>
      <x:c r="G97" s="133" t="str">
        <x:v>属性读回、分区引用与匹配结果、当前版本</x:v>
      </x:c>
      <x:c r="H97" s="133" t="str">
        <x:v>邮编是地点属性；未定邮编匹配边界另确认，不冒用计费DEC19</x:v>
      </x:c>
    </x:row>
    <x:row r="98" ht="91.5" customHeight="1">
      <x:c r="A98" s="135" t="str">
        <x:v>单元与组合</x:v>
      </x:c>
      <x:c r="B98" s="135" t="str">
        <x:v>SM21—22、28—33、54、61</x:v>
      </x:c>
      <x:c r="C98" s="135" t="str">
        <x:v>REQ §6.2</x:v>
      </x:c>
      <x:c r="D98" s="135" t="str">
        <x:v>停用仍选用、版本滥增、绑定数重复</x:v>
      </x:c>
      <x:c r="E98" s="135" t="str">
        <x:v>状态迁移＋约束表＋版本／去重对照</x:v>
      </x:c>
      <x:c r="F98" s="135" t="str">
        <x:v>2000字边界；新／有引用；六产品四生效；两会话旧版</x:v>
      </x:c>
      <x:c r="G98" s="135" t="str">
        <x:v>当前及历史配置、产品状态、保存对象、4/6与0/0</x:v>
      </x:c>
      <x:c r="H98" s="135" t="str">
        <x:v>价卡同步DEC13；规则选择与组合分页不同；绑定按直接产品编码</x:v>
      </x:c>
    </x:row>
    <x:row r="99" ht="91.5" customHeight="1">
      <x:c r="A99" s="133" t="str">
        <x:v>选路策略</x:v>
      </x:c>
      <x:c r="B99" s="133" t="str">
        <x:v>SM34—38、62</x:v>
      </x:c>
      <x:c r="C99" s="133" t="str">
        <x:v>REQ §6.2策略算例／详情</x:v>
      </x:c>
      <x:c r="D99" s="133" t="str">
        <x:v>算法口径误用、引用数重复累计</x:v>
      </x:c>
      <x:c r="E99" s="133" t="str">
        <x:v>决策表＋人工算例＋引用去重</x:v>
      </x:c>
      <x:c r="F99" s="133" t="str">
        <x:v>P-01—05；不可用／同分／缺参数；启停组合多版本</x:v>
      </x:c>
      <x:c r="G99" s="133" t="str">
        <x:v>选中成员、排除原因、规则说明和当前引用数</x:v>
      </x:c>
      <x:c r="H99" s="133" t="str">
        <x:v>建议算法与DR-01先DEC14；不新增策略；历史版本引用不累加</x:v>
      </x:c>
    </x:row>
    <x:row r="100" ht="91.5" customHeight="1">
      <x:c r="A100" s="135" t="str">
        <x:v>成本卡与燃油</x:v>
      </x:c>
      <x:c r="B100" s="135" t="str">
        <x:v>SM23、39—45</x:v>
      </x:c>
      <x:c r="C100" s="135" t="str">
        <x:v>REQ §6.3</x:v>
      </x:c>
      <x:c r="D100" s="135" t="str">
        <x:v>无效卡参与计算、旧价被覆盖、燃油误乘</x:v>
      </x:c>
      <x:c r="E100" s="135" t="str">
        <x:v>状态／时间边界＋分支＋版本对照</x:v>
      </x:c>
      <x:c r="F100" s="135" t="str">
        <x:v>开始前／期内／结束后；静态／动态；运费／附加费</x:v>
      </x:c>
      <x:c r="G100" s="135" t="str">
        <x:v>命中版本、逐费账本、旧订单快照、规则优先级</x:v>
      </x:c>
      <x:c r="H100" s="135" t="str">
        <x:v>动态卡DEC12；时间／精度DEC19；API依本批条件</x:v>
      </x:c>
    </x:row>
    <x:row r="101" ht="91.5" customHeight="1">
      <x:c r="A101" s="133" t="str">
        <x:v>产品编排与产品库</x:v>
      </x:c>
      <x:c r="B101" s="133" t="str">
        <x:v>SM24、46—50、56—57</x:v>
      </x:c>
      <x:c r="C101" s="133" t="str">
        <x:v>REQ §6.4</x:v>
      </x:c>
      <x:c r="D101" s="133" t="str">
        <x:v>选择与画布不同步、改价污染来源</x:v>
      </x:c>
      <x:c r="E101" s="133" t="str">
        <x:v>双向一致性＋状态＋版本隔离</x:v>
      </x:c>
      <x:c r="F101" s="133" t="str">
        <x:v>A—F实际范围；默认／非默认卡；7组生效期展示</x:v>
      </x:c>
      <x:c r="G101" s="133" t="str">
        <x:v>画布及读回、源价卡前后、产品当前／历史版本</x:v>
      </x:c>
      <x:c r="H101" s="133" t="str">
        <x:v>保存态DEC11；删除DEC16；改价试算来源DEC19</x:v>
      </x:c>
    </x:row>
    <x:row r="102" ht="91.5" customHeight="1">
      <x:c r="A102" s="135" t="str">
        <x:v>单票成本模拟</x:v>
      </x:c>
      <x:c r="B102" s="135" t="str">
        <x:v>SM25、51—53</x:v>
      </x:c>
      <x:c r="C102" s="135" t="str">
        <x:v>REQ §6.4计算模拟</x:v>
      </x:c>
      <x:c r="D102" s="135" t="str">
        <x:v>参数错误、计费重／燃油／总成本错误</x:v>
      </x:c>
      <x:c r="E102" s="135" t="str">
        <x:v>条件必填＋公式算例＋异常决策表</x:v>
      </x:c>
      <x:c r="F102" s="135" t="str">
        <x:v>D／F／A+C产品；6000抛比示例；缺卡／拒收／转人工</x:v>
      </x:c>
      <x:c r="G102" s="135" t="str">
        <x:v>人工逐费用→燃油／汇率→总额及实际版本</x:v>
      </x:c>
      <x:c r="H102" s="135" t="str">
        <x:v>只算公司成本；参数随实际范围；舍入／取值DEC19</x:v>
      </x:c>
    </x:row>
    <x:row r="103" ht="91.5" customHeight="1">
      <x:c r="A103" s="133" t="str">
        <x:v>OMS历史与重算</x:v>
      </x:c>
      <x:c r="B103" s="133" t="str">
        <x:v>SM26、59—60</x:v>
      </x:c>
      <x:c r="C103" s="133" t="str">
        <x:v>REQ §6.4计费历史</x:v>
      </x:c>
      <x:c r="D103" s="133" t="str">
        <x:v>历史读取最新价、重算写回原成本</x:v>
      </x:c>
      <x:c r="E103" s="133" t="str">
        <x:v>历史快照对照＋差异控制变量</x:v>
      </x:c>
      <x:c r="F103" s="133" t="str">
        <x:v>已知OMS订单、多费多卡版本、逐项规则变更</x:v>
      </x:c>
      <x:c r="G103" s="133" t="str">
        <x:v>原请求／版本／明细总额；重算前后OMS及结算状态</x:v>
      </x:c>
      <x:c r="H103" s="133" t="str">
        <x:v>DEC21决定本批分期／测试回传／多币种合计</x:v>
      </x:c>
    </x:row>
    <x:row r="104" ht="91.5" customHeight="1">
      <x:c r="A104" s="135" t="str">
        <x:v>AI与真实导出</x:v>
      </x:c>
      <x:c r="B104" s="135" t="str">
        <x:v>SM27、55；UI16</x:v>
      </x:c>
      <x:c r="C104" s="135" t="str">
        <x:v>REQ §6.1／§6.2；Review16</x:v>
      </x:c>
      <x:c r="D104" s="135" t="str">
        <x:v>解析提示成功但字段错、导出只有提示</x:v>
      </x:c>
      <x:c r="E104" s="135" t="str">
        <x:v>原文逐字段比对＋落库／文件核对</x:v>
      </x:c>
      <x:c r="F104" s="135" t="str">
        <x:v>授权样本；本批格式／字段；选中对象</x:v>
      </x:c>
      <x:c r="G104" s="135" t="str">
        <x:v>确认后读回；实际下载内容及范围</x:v>
      </x:c>
      <x:c r="H104" s="135" t="str">
        <x:v>AI字段／文件／失败策略DEC17；导出范围DEC08</x:v>
      </x:c>
    </x:row>
    <x:row r="105" ht="91.5" customHeight="1">
      <x:c r="A105" s="133" t="str">
        <x:v>UI承载与通用规范</x:v>
      </x:c>
      <x:c r="B105" s="133" t="str">
        <x:v>UI01—34</x:v>
      </x:c>
      <x:c r="C105" s="133" t="str">
        <x:v>PRD业务语义＋Review＋SPEC</x:v>
      </x:c>
      <x:c r="D105" s="133" t="str">
        <x:v>交互失效、未定项被略去导致虚高</x:v>
      </x:c>
      <x:c r="E105" s="133" t="str">
        <x:v>组件状态矩阵＋视觉对照＋双指标</x:v>
      </x:c>
      <x:c r="F105" s="133" t="str">
        <x:v>空／长／多列／选中／错误；批准设备和视口</x:v>
      </x:c>
      <x:c r="G105" s="133" t="str">
        <x:v>截图、量值、交互、确认覆盖率、符合度及未完成项</x:v>
      </x:c>
      <x:c r="H105" s="133" t="str">
        <x:v>未采纳Review先确认；DEC10/18；高符合度不替代准入条件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28.5" customHeight="1">
      <x:c r="A107" s="10" t="str">
        <x:v>设计依据：V1.0 产品管理／评审稿；本轮核对日期2026-10-10。完整PRD链接见本页REQ来源。</x:v>
      </x:c>
      <x:c r="B107" s="10"/>
      <x:c r="C107" s="10"/>
      <x:c r="D107" s="10"/>
      <x:c r="E107" s="10"/>
      <x:c r="F107" s="10"/>
      <x:c r="G107" s="10"/>
      <x:c r="H107" s="10"/>
    </x:row>
    <x:row r="108" ht="36" customHeight="1">
      <x:c r="A108" s="14" t="str">
        <x:v>2026-10-10二次复核：重读§6.2单元表单／编辑影响、组合列表／成员／保存／版本／已绑产品去重统计、策略详情及引用次数；§6.3价卡类型及明细；§6.4产品库7组日期、完整模拟字段／校验／公式、历史分期。其余沿用前轮已核对正文及18条Review记录。</x:v>
      </x:c>
      <x:c r="B108" s="14"/>
      <x:c r="C108" s="14"/>
      <x:c r="D108" s="14"/>
      <x:c r="E108" s="14"/>
      <x:c r="F108" s="14"/>
      <x:c r="G108" s="14"/>
      <x:c r="H108" s="14"/>
    </x:row>
    <x:row r="109" ht="36" customHeight="1">
      <x:c r="A109" s="14" t="str">
        <x:v>新增内容是测试设计建议，用例来源与预期仍以各行及本批批准基线为准。PRD评论、建议规则、未采纳Review及冲突不升级为确定需求。全部用例仍未执行。</x:v>
      </x:c>
      <x:c r="B109" s="14"/>
      <x:c r="C109" s="14"/>
      <x:c r="D109" s="14"/>
      <x:c r="E109" s="14"/>
      <x:c r="F109" s="14"/>
      <x:c r="G109" s="14"/>
      <x:c r="H109" s="14"/>
    </x:row>
    <x:row r="110" ht="37.5" customHeight="1">
      <x:c r="A110" s="10" t="str">
        <x:v>本轮复核修正：补组合绑定／策略引用去重；补2000字符、整数抛比及20.1→21进位算例；区分确认覆盖率与符合度；邮编匹配口径不误关联计费DEC19。既有执行记录、Review摘录及待决策事项保留。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</x:mergeCells>
  <x:dataValidations count="5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8f8c0ebae44217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按交付清单将执行项设为“是”并填写交付项ID；关联待决策事项自动纳入，未决不能计通过。须填写Build、执行基线ID、执行人和证据。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29" t="str">
        <x:v>设计思路／测试方法（建议）</x:v>
      </x:c>
      <x:c r="U5" s="129" t="str">
        <x:v>数据选择／核对证据（建议）</x:v>
      </x:c>
    </x:row>
    <x:row r="6" ht="70.5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'本批提测'!$B$8="","版本待填写",IF(OR(H6&lt;&gt;'本批提测'!$B$8,G6="",G6="未执行"),"未执行",IF(R6&lt;&gt;'本批提测'!$B$18,"基线已变，需复测",IF(Q6="","交付未映射",IF(F6&lt;&gt;"已确认","依据待确认",IF(AND(OR(G6="通过",G6="失败"),LEN(TRIM(M6))=0),"缺少证据",IF(AND(OR(G6="通过",G6="失败"),LEN(TRIM(O6))=0),"缺少执行人",IF(OR(G6="通过",G6="失败",G6="受阻",G6="依据待确认"),G6,"结果待填写"))))))))))</x:f>
        <x:v>版本待填写</x:v>
      </x:c>
      <x:c r="J6" s="10" t="str">
        <x:v>前置：准备本批有权限的测试账号，记录账号别名。
操作：从本批交付页面的深链接进入，完成登录后核对账号、角色和目标页面；仅航司批次核对 resource=airline。</x:v>
      </x:c>
      <x:c r="K6" s="10" t="str">
        <x:v>使用本批正确身份；登录返回本批目标页及约定分类，不把航司页写成所有批次的固定入口。</x:v>
      </x:c>
      <x:c r="L6" s="10" t="str">
        <x:v>建议共通检查；登录入口已观察</x:v>
      </x:c>
      <x:c r="M6" s="86"/>
      <x:c r="N6" s="86"/>
      <x:c r="O6" s="86"/>
      <x:c r="P6" s="10" t="str">
        <x:v>冒烟</x:v>
      </x:c>
      <x:c r="Q6" s="86"/>
      <x:c r="R6" s="86"/>
      <x:c r="S6" s="10" t="str">
        <x:v>需求正文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'本批提测'!$B$8="","版本待填写",IF(OR(H7&lt;&gt;'本批提测'!$B$8,G7="",G7="未执行"),"未执行",IF(R7&lt;&gt;'本批提测'!$B$18,"基线已变，需复测",IF(Q7="","交付未映射",IF(F7&lt;&gt;"已确认","依据待确认",IF(AND(OR(G7="通过",G7="失败"),LEN(TRIM(M7))=0),"缺少证据",IF(AND(OR(G7="通过",G7="失败"),LEN(TRIM(O7))=0),"缺少执行人",IF(OR(G7="通过",G7="失败",G7="受阻",G7="依据待确认"),G7,"结果待填写"))))))))))</x:f>
        <x:v>版本待填写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</x:row>
    <x:row r="8" ht="63" customHeight="1">
      <x:c r="A8" s="10" t="str">
        <x:v>SM03</x:v>
      </x:c>
      <x:c r="B8" s="10" t="str">
        <x:v>通用</x:v>
      </x:c>
      <x:c r="C8" s="10" t="str">
        <x:v>菜单、分类与深链接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'本批提测'!$B$8="","版本待填写",IF(OR(H8&lt;&gt;'本批提测'!$B$8,G8="",G8="未执行"),"未执行",IF(R8&lt;&gt;'本批提测'!$B$18,"基线已变，需复测",IF(Q8="","交付未映射",IF(F8&lt;&gt;"已确认","依据待确认",IF(AND(OR(G8="通过",G8="失败"),LEN(TRIM(M8))=0),"缺少证据",IF(AND(OR(G8="通过",G8="失败"),LEN(TRIM(O8))=0),"缺少执行人",IF(OR(G8="通过",G8="失败",G8="受阻",G8="依据待确认"),G8,"结果待填写"))))))))))</x:f>
        <x:v>版本待填写</x:v>
      </x:c>
      <x:c r="J8" s="10" t="str">
        <x:v>前置：明确本批页面及分类标识。
操作：从菜单进入、直接打开链接、切换分类，再检查 URL 和内容。</x:v>
      </x:c>
      <x:c r="K8" s="10" t="str">
        <x:v>菜单高亮、分类、标题、URL 和列表内容一致。</x:v>
      </x:c>
      <x:c r="L8" s="10" t="str">
        <x:v>建议共通检查；REQ §6.5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'本批提测'!$B$8="","版本待填写",IF(OR(H9&lt;&gt;'本批提测'!$B$8,G9="",G9="未执行"),"未执行",IF(R9&lt;&gt;'本批提测'!$B$18,"基线已变，需复测",IF(Q9="","交付未映射",IF(F9&lt;&gt;"已确认","依据待确认",IF(AND(OR(G9="通过",G9="失败"),LEN(TRIM(M9))=0),"缺少证据",IF(AND(OR(G9="通过",G9="失败"),LEN(TRIM(O9))=0),"缺少执行人",IF(OR(G9="通过",G9="失败",G9="受阻",G9="依据待确认"),G9,"结果待填写"))))))))))</x:f>
        <x:v>版本待填写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需求正文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'本批提测'!$B$8="","版本待填写",IF(OR(H10&lt;&gt;'本批提测'!$B$8,G10="",G10="未执行"),"未执行",IF(R10&lt;&gt;'本批提测'!$B$18,"基线已变，需复测",IF(Q10="","交付未映射",IF(F10&lt;&gt;"已确认","依据待确认",IF(AND(OR(G10="通过",G10="失败"),LEN(TRIM(M10))=0),"缺少证据",IF(AND(OR(G10="通过",G10="失败"),LEN(TRIM(O10))=0),"缺少执行人",IF(OR(G10="通过",G10="失败",G10="受阻",G10="依据待确认"),G10,"结果待填写"))))))))))</x:f>
        <x:v>版本待填写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</x:row>
    <x:row r="11" ht="63" customHeight="1">
      <x:c r="A11" s="10" t="str">
        <x:v>SM06</x:v>
      </x:c>
      <x:c r="B11" s="10" t="str">
        <x:v>业务字典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'本批提测'!$B$8="","版本待填写",IF(OR(H11&lt;&gt;'本批提测'!$B$8,G11="",G11="未执行"),"未执行",IF(R11&lt;&gt;'本批提测'!$B$18,"基线已变，需复测",IF(Q11="","交付未映射",IF(F11&lt;&gt;"已确认","依据待确认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前置：准备已知存在的选项及不会命中的查询词。
操作：查询已知选项，再查询无结果条件。</x:v>
      </x:c>
      <x:c r="K11" s="10" t="str">
        <x:v>已有数据正确；无结果显示空态，未残留上一轮数据。</x:v>
      </x:c>
      <x:c r="L11" s="10" t="str">
        <x:v>REQ §6.5；空态检查为建议补充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</x:v>
      </x:c>
    </x:row>
    <x:row r="12" ht="63" customHeight="1">
      <x:c r="A12" s="10" t="str">
        <x:v>SM07</x:v>
      </x:c>
      <x:c r="B12" s="10" t="str">
        <x:v>业务字典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'本批提测'!$B$8="","版本待填写",IF(OR(H12&lt;&gt;'本批提测'!$B$8,G12="",G12="未执行"),"未执行",IF(R12&lt;&gt;'本批提测'!$B$18,"基线已变，需复测",IF(Q12="","交付未映射",IF(F12&lt;&gt;"已确认","依据待确认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前置：本批先确认字典搜索字段、触发方式及默认条件。
操作：输入支持的查询条件，执行查询后重置。</x:v>
      </x:c>
      <x:c r="K12" s="10" t="str">
        <x:v>结果匹配规则；重置恢复默认；列表有刷新反馈。</x:v>
      </x:c>
      <x:c r="L12" s="10" t="str">
        <x:v>REVIEW 第9项；航司搜索规则待确认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</x:v>
      </x:c>
    </x:row>
    <x:row r="13" ht="63" customHeight="1">
      <x:c r="A13" s="10" t="str">
        <x:v>SM08</x:v>
      </x:c>
      <x:c r="B13" s="10" t="str">
        <x:v>业务字典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'本批提测'!$B$8="","版本待填写",IF(OR(H13&lt;&gt;'本批提测'!$B$8,G13="",G13="未执行"),"未执行",IF(R13&lt;&gt;'本批提测'!$B$18,"基线已变，需复测",IF(Q13="","交付未映射",IF(F13&lt;&gt;"已确认","依据待确认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前置：准备超过一页的数据；本批确认是否提供分页。
操作：翻页、调整每页条数并检查总数。</x:v>
      </x:c>
      <x:c r="K13" s="10" t="str">
        <x:v>页码、条数、总数和数据一致；翻页不串分类。</x:v>
      </x:c>
      <x:c r="L13" s="10" t="str">
        <x:v>REVIEW 第11项；仅适用有分页页面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</x:v>
      </x:c>
    </x:row>
    <x:row r="14" ht="63" customHeight="1">
      <x:c r="A14" s="10" t="str">
        <x:v>SM09</x:v>
      </x:c>
      <x:c r="B14" s="10" t="str">
        <x:v>业务字典</x:v>
      </x:c>
      <x:c r="C14" s="10" t="str">
        <x:v>普通字典必填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'本批提测'!$B$8="","版本待填写",IF(OR(H14&lt;&gt;'本批提测'!$B$8,G14="",G14="未执行"),"未执行",IF(R14&lt;&gt;'本批提测'!$B$18,"基线已变，需复测",IF(Q14="","交付未映射",IF(F14&lt;&gt;"已确认","依据待确认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前置：本批交付普通字典；准备专用测试选项。
操作：不填选项值保存，再填写有效值保存。</x:v>
      </x:c>
      <x:c r="K14" s="10" t="str">
        <x:v>选项值必填；提示对应字段；有效数据可保存。</x:v>
      </x:c>
      <x:c r="L14" s="10" t="str">
        <x:v>REQ §6.5 普通字典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</x:v>
      </x:c>
    </x:row>
    <x:row r="15" ht="63" customHeight="1">
      <x:c r="A15" s="10" t="str">
        <x:v>SM10</x:v>
      </x:c>
      <x:c r="B15" s="10" t="str">
        <x:v>业务字典</x:v>
      </x:c>
      <x:c r="C15" s="10" t="str">
        <x:v>带编码字典必填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'本批提测'!$B$8="","版本待填写",IF(OR(H15&lt;&gt;'本批提测'!$B$8,G15="",G15="未执行"),"未执行",IF(R15&lt;&gt;'本批提测'!$B$18,"基线已变，需复测",IF(Q15="","交付未映射",IF(OR(F15&lt;&gt;"已确认",(COUNTIFS('本批提测'!$A$40:$A$61,"DEC06",'本批提测'!$H$40:$H$61,"已确认")+COUNTIFS('本批提测'!$A$40:$A$61,"DEC06",'本批提测'!$H$40:$H$61,"已记录后置")=0)),"依据待确认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前置：本批确认航司是否采用带编码字典，以及编码格式。
操作：分别缺少编码、缺少显示名称，再完整填写保存。</x:v>
      </x:c>
      <x:c r="K15" s="10" t="str">
        <x:v>编码及显示名称均必填；格式按本批确认规则校验。</x:v>
      </x:c>
      <x:c r="L15" s="10" t="str">
        <x:v>REQ §6.5；航司类型与格式待确认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</x:v>
      </x:c>
    </x:row>
    <x:row r="16" ht="63" customHeight="1">
      <x:c r="A16" s="10" t="str">
        <x:v>SM11</x:v>
      </x:c>
      <x:c r="B16" s="10" t="str">
        <x:v>业务字典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'本批提测'!$B$8="","版本待填写",IF(OR(H16&lt;&gt;'本批提测'!$B$8,G16="",G16="未执行"),"未执行",IF(R16&lt;&gt;'本批提测'!$B$18,"基线已变，需复测",IF(Q16="","交付未映射",IF(F16&lt;&gt;"已确认","依据待确认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前置：准备符合确认规则的专用测试数据。
操作：新增并保存，重新查询，再刷新页面。</x:v>
      </x:c>
      <x:c r="K16" s="10" t="str">
        <x:v>新增项可查到且值正确；刷新后仍存在。</x:v>
      </x:c>
      <x:c r="L16" s="10" t="str">
        <x:v>REQ §6.5；增加持久化读回检查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</x:v>
      </x:c>
    </x:row>
    <x:row r="17" ht="63" customHeight="1">
      <x:c r="A17" s="10" t="str">
        <x:v>SM12</x:v>
      </x:c>
      <x:c r="B17" s="10" t="str">
        <x:v>业务字典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'本批提测'!$B$8="","版本待填写",IF(OR(H17&lt;&gt;'本批提测'!$B$8,G17="",G17="未执行"),"未执行",IF(R17&lt;&gt;'本批提测'!$B$18,"基线已变，需复测",IF(Q17="","交付未映射",IF(F17&lt;&gt;"已确认","依据待确认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前置：使用专用测试项，记录修改前内容。
操作：打开编辑检查回显；修改后保存，重新查询。</x:v>
      </x:c>
      <x:c r="K17" s="10" t="str">
        <x:v>回显完整；保存后仅目标项发生预期变更。</x:v>
      </x:c>
      <x:c r="L17" s="10" t="str">
        <x:v>REQ §6.5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</x:v>
      </x:c>
    </x:row>
    <x:row r="18" ht="63" customHeight="1">
      <x:c r="A18" s="10" t="str">
        <x:v>SM13</x:v>
      </x:c>
      <x:c r="B18" s="10" t="str">
        <x:v>业务字典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'本批提测'!$B$8="","版本待填写",IF(OR(H18&lt;&gt;'本批提测'!$B$8,G18="",G18="未执行"),"未执行",IF(R18&lt;&gt;'本批提测'!$B$18,"基线已变，需复测",IF(Q18="","交付未映射",IF(F18&lt;&gt;"已确认","依据待确认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前置：使用专用测试项，记录原值。
操作：编辑内容后取消或关闭，再重新打开。</x:v>
      </x:c>
      <x:c r="K18" s="10" t="str">
        <x:v>取消操作未保存修改；原值保持。</x:v>
      </x:c>
      <x:c r="L18" s="10" t="str">
        <x:v>建议补充；关闭和未保存提示规则待确认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</x:v>
      </x:c>
    </x:row>
    <x:row r="19" ht="63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'本批提测'!$B$8="","版本待填写",IF(OR(H19&lt;&gt;'本批提测'!$B$8,G19="",G19="未执行"),"未执行",IF(R19&lt;&gt;'本批提测'!$B$18,"基线已变，需复测",IF(Q19="","交付未映射",IF(F19&lt;&gt;"已确认","依据待确认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前置：使用明确可清理的专用测试项。
操作：点击删除，在确认提示中取消，重新查询。</x:v>
      </x:c>
      <x:c r="K19" s="10" t="str">
        <x:v>出现确认提示；取消后选项仍存在。</x:v>
      </x:c>
      <x:c r="L19" s="10" t="str">
        <x:v>REQ §6.5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</x:v>
      </x:c>
    </x:row>
    <x:row r="20" ht="63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'本批提测'!$B$8="","版本待填写",IF(OR(H20&lt;&gt;'本批提测'!$B$8,G20="",G20="未执行"),"未执行",IF(R20&lt;&gt;'本批提测'!$B$18,"基线已变，需复测",IF(Q20="","交付未映射",IF(F20&lt;&gt;"已确认","依据待确认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前置：使用可清理测试项及引用它的历史测试单据。
操作：确认删除，再检查新建、编辑表单的选项及历史单据。</x:v>
      </x:c>
      <x:c r="K20" s="10" t="str">
        <x:v>选项不再出现在新建或编辑表单；历史单据不受影响。</x:v>
      </x:c>
      <x:c r="L20" s="10" t="str">
        <x:v>REQ §6.5；只操作专用测试数据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</x:v>
      </x:c>
    </x:row>
    <x:row r="21" ht="63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'本批提测'!$B$8="","版本待填写",IF(OR(H21&lt;&gt;'本批提测'!$B$8,G21="",G21="未执行"),"未执行",IF(R21&lt;&gt;'本批提测'!$B$18,"基线已变，需复测",IF(Q21="","交付未映射",IF(OR(F21&lt;&gt;"已确认",(COUNTIFS('本批提测'!$A$40:$A$61,"DEC06",'本批提测'!$H$40:$H$61,"已确认")+COUNTIFS('本批提测'!$A$40:$A$61,"DEC06",'本批提测'!$H$40:$H$61,"已记录后置")=0)),"依据待确认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前置：产品先确认唯一性范围及重复处理方式。
操作：在约定范围内提交重复编码，并核查结果。</x:v>
      </x:c>
      <x:c r="K21" s="10" t="str">
        <x:v>按照已确认规则拒绝、提示或处理，不自行假定编码唯一。</x:v>
      </x:c>
      <x:c r="L21" s="10" t="str">
        <x:v>建议补充；关联 DEC06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</x:v>
      </x:c>
    </x:row>
    <x:row r="22" ht="63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'本批提测'!$B$8="","版本待填写",IF(OR(H22&lt;&gt;'本批提测'!$B$8,G22="",G22="未执行"),"未执行",IF(R22&lt;&gt;'本批提测'!$B$18,"基线已变，需复测",IF(Q22="","交付未映射",IF(OR(F22&lt;&gt;"已确认",(COUNTIFS('本批提测'!$A$40:$A$61,"DEC07",'本批提测'!$H$40:$H$61,"已确认")+COUNTIFS('本批提测'!$A$40:$A$61,"DEC07",'本批提测'!$H$40:$H$61,"已记录后置")=0)),"依据待确认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前置：本批明确是否交付分类新增、改名和删除。
操作：按交付范围检查分类操作及对选项、业务引用的影响。</x:v>
      </x:c>
      <x:c r="K22" s="10" t="str">
        <x:v>已交付操作符合确认方案；未交付内容明确列出。</x:v>
      </x:c>
      <x:c r="L22" s="10" t="str">
        <x:v>REQ 评论提出范围缺口；关联 DEC07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'本批提测'!$B$8="","版本待填写",IF(OR(H23&lt;&gt;'本批提测'!$B$8,G23="",G23="未执行"),"未执行",IF(R23&lt;&gt;'本批提测'!$B$18,"基线已变，需复测",IF(Q23="","交付未映射",IF(F23&lt;&gt;"已确认","依据待确认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</x:row>
    <x:row r="24" ht="63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'本批提测'!$B$8="","版本待填写",IF(OR(H24&lt;&gt;'本批提测'!$B$8,G24="",G24="未执行"),"未执行",IF(R24&lt;&gt;'本批提测'!$B$18,"基线已变，需复测",IF(Q24="","交付未映射",IF(F24&lt;&gt;"已确认","依据待确认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前置：准备专用地点数据及已有重复地点 ID。
操作：检查必填、ISO2、重复 ID；新增后编辑保存。</x:v>
      </x:c>
      <x:c r="K24" s="10" t="str">
        <x:v>必填校验正确；ISO2 为两位；ID 不重复；新增 V1，编辑版本递增。</x:v>
      </x:c>
      <x:c r="L24" s="10" t="str">
        <x:v>REQ §6.5 地点与邮编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</x:v>
      </x:c>
      <x:c r="U24" s="10" t="str">
        <x:v>其他字段合法，每次仅缺一项；ISO2取1／2／3位结构样本，重复既有ID。读回新建V1与编辑递增版本；合法国家来源按基线。</x:v>
      </x:c>
    </x:row>
    <x:row r="25" ht="63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'本批提测'!$B$8="","版本待填写",IF(OR(H25&lt;&gt;'本批提测'!$B$8,G25="",G25="未执行"),"未执行",IF(R25&lt;&gt;'本批提测'!$B$18,"基线已变，需复测",IF(Q25="","交付未映射",IF(F25&lt;&gt;"已确认","依据待确认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前置：准备精确邮编、前缀和区间，如文档示例。
操作：新增或编辑地点，逐行填写邮编条件并保存读回。</x:v>
      </x:c>
      <x:c r="K25" s="10" t="str">
        <x:v>支持约定的三类表达；邮编随地点维护和生成版本，不成为独立地点类型。</x:v>
      </x:c>
      <x:c r="L25" s="10" t="str">
        <x:v>REQ §6.5 地点与邮编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'本批提测'!$B$8="","版本待填写",IF(OR(H26&lt;&gt;'本批提测'!$B$8,G26="",G26="未执行"),"未执行",IF(R26&lt;&gt;'本批提测'!$B$18,"基线已变，需复测",IF(Q26="","交付未映射",IF(OR(F26&lt;&gt;"已确认",(COUNTIFS('本批提测'!$A$40:$A$61,"DEC13",'本批提测'!$H$40:$H$61,"已确认")+COUNTIFS('本批提测'!$A$40:$A$61,"DEC13",'本批提测'!$H$40:$H$61,"已记录后置")=0)),"依据待确认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'本批提测'!$B$8="","版本待填写",IF(OR(H27&lt;&gt;'本批提测'!$B$8,G27="",G27="未执行"),"未执行",IF(R27&lt;&gt;'本批提测'!$B$18,"基线已变，需复测",IF(Q27="","交付未映射",IF(F27&lt;&gt;"已确认","依据待确认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</x:row>
    <x:row r="28" ht="70.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'本批提测'!$B$8="","版本待填写",IF(OR(H28&lt;&gt;'本批提测'!$B$8,G28="",G28="未执行"),"未执行",IF(R28&lt;&gt;'本批提测'!$B$18,"基线已变，需复测",IF(Q28="","交付未映射",IF(OR(F28&lt;&gt;"已确认",(COUNTIFS('本批提测'!$A$40:$A$61,"DEC19",'本批提测'!$H$40:$H$61,"已确认")+COUNTIFS('本批提测'!$A$40:$A$61,"DEC19",'本批提测'!$H$40:$H$61,"已记录后置")=0)),"依据待确认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</x:row>
    <x:row r="29" ht="70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'本批提测'!$B$8="","版本待填写",IF(OR(H29&lt;&gt;'本批提测'!$B$8,G29="",G29="未执行"),"未执行",IF(R29&lt;&gt;'本批提测'!$B$18,"基线已变，需复测",IF(Q29="","交付未映射",IF(OR(F29&lt;&gt;"已确认",(COUNTIFS('本批提测'!$A$40:$A$61,"DEC11",'本批提测'!$H$40:$H$61,"已确认")+COUNTIFS('本批提测'!$A$40:$A$61,"DEC11",'本批提测'!$H$40:$H$61,"已记录后置")=0)),"依据待确认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前置：本批提供可选服务单元／组合、唯一产品编码和有效价卡；保存态名称先决策 DEC11。
操作：选择覆盖本批范围的节点，填写必填项；保存后继续编排，再提交并从产品库读回。</x:v>
      </x:c>
      <x:c r="K29" s="10" t="str">
        <x:v>链路和必填项校验；继续编排不清空；提交直接发布、不创建工单。保存态按 DEC11，不能同时把草稿与待生效作为两个业务态。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</x:v>
      </x:c>
      <x:c r="U29" s="10" t="str">
        <x:v>选已交付且依赖可用的范围资源，填写合法唯一编码；核对节点及发布结果。本期无审批；草稿／待生效冲突由DEC11统一。</x:v>
      </x:c>
    </x:row>
    <x:row r="30" ht="70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'本批提测'!$B$8="","版本待填写",IF(OR(H30&lt;&gt;'本批提测'!$B$8,G30="",G30="未执行"),"未执行",IF(R30&lt;&gt;'本批提测'!$B$18,"基线已变，需复测",IF(Q30="","交付未映射",IF(OR(F30&lt;&gt;"已确认",(COUNTIFS('本批提测'!$A$40:$A$61,"DEC19",'本批提测'!$H$40:$H$61,"已确认")+COUNTIFS('本批提测'!$A$40:$A$61,"DEC19",'本批提测'!$H$40:$H$61,"已记录后置")=0)),"依据待确认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前置：准备已发布未停用产品及本批完整人工成本算例；核实产品业务改价与试算取值 DEC19。
操作：输入该产品实际覆盖范围所需参数及报价时间，执行计算，对比费用、汇率、燃油和总成本。</x:v>
      </x:c>
      <x:c r="K30" s="10" t="str">
        <x:v>只输出公司最终成本，不展示销售价／市场价／成交价／毛利；结果可追溯实际价卡及规则版本。不能只凭计算成功提示判通过。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用独立人工账本验证从输入到公司成本的闭环；逐项核算费用、燃油、汇率再合计，避免只比总额掩盖抵消错误。</x:v>
      </x:c>
      <x:c r="U30" s="10" t="str">
        <x:v>采用批准算例记录输入、实际命中版本及逐费用金额；产品改价取值和舍入按DEC19。仅计算公司成本，不衍生销售价验收。</x:v>
      </x:c>
    </x:row>
    <x:row r="31" ht="84.7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'本批提测'!$B$8="","版本待填写",IF(OR(H31&lt;&gt;'本批提测'!$B$8,G31="",G31="未执行"),"未执行",IF(R31&lt;&gt;'本批提测'!$B$18,"基线已变，需复测",IF(Q31="","交付未映射",IF(OR(F31&lt;&gt;"已确认",(COUNTIFS('本批提测'!$A$40:$A$61,"DEC21",'本批提测'!$H$40:$H$61,"已确认")+COUNTIFS('本批提测'!$A$40:$A$61,"DEC21",'本批提测'!$H$40:$H$61,"已记录后置")=0)),"依据待确认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</x:v>
      </x:c>
      <x:c r="U31" s="10" t="str">
        <x:v>仅本批确认历史且OMS回传可用；固定原请求，一次变卡／单价／燃油／分区／规则，前后核对快照与结算状态。分期DEC21。</x:v>
      </x:c>
    </x:row>
    <x:row r="32" ht="70.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'本批提测'!$B$8="","版本待填写",IF(OR(H32&lt;&gt;'本批提测'!$B$8,G32="",G32="未执行"),"未执行",IF(R32&lt;&gt;'本批提测'!$B$18,"基线已变，需复测",IF(Q32="","交付未映射",IF(OR(F32&lt;&gt;"已确认",(COUNTIFS('本批提测'!$A$40:$A$61,"DEC05",'本批提测'!$H$40:$H$61,"已确认")+COUNTIFS('本批提测'!$A$40:$A$61,"DEC05",'本批提测'!$H$40:$H$61,"已记录后置")=0),(COUNTIFS('本批提测'!$A$40:$A$61,"DEC17",'本批提测'!$H$40:$H$61,"已确认")+COUNTIFS('本批提测'!$A$40:$A$61,"DEC17",'本批提测'!$H$40:$H$61,"已记录后置")=0)),"依据待确认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</x:row>
    <x:row r="33" ht="84.7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'本批提测'!$B$8="","版本待填写",IF(OR(H33&lt;&gt;'本批提测'!$B$8,G33="",G33="未执行"),"未执行",IF(R33&lt;&gt;'本批提测'!$B$18,"基线已变，需复测",IF(Q33="","交付未映射",IF(OR(F33&lt;&gt;"已确认",(COUNTIFS('本批提测'!$A$40:$A$61,"DEC08",'本批提测'!$H$40:$H$61,"已确认")+COUNTIFS('本批提测'!$A$40:$A$61,"DEC08",'本批提测'!$H$40:$H$61,"已记录后置")=0)),"依据待确认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</x:row>
    <x:row r="34" ht="213.7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'本批提测'!$B$8="","版本待填写",IF(OR(H34&lt;&gt;'本批提测'!$B$8,G34="",G34="未执行"),"未执行",IF(R34&lt;&gt;'本批提测'!$B$18,"基线已变，需复测",IF(Q34="","交付未映射",IF(OR(F34&lt;&gt;"已确认",(COUNTIFS('本批提测'!$A$40:$A$61,"DEC15",'本批提测'!$H$40:$H$61,"已确认")+COUNTIFS('本批提测'!$A$40:$A$61,"DEC15",'本批提测'!$H$40:$H$61,"已记录后置")=0)),"依据待确认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</x:v>
      </x:c>
      <x:c r="K34" s="10" t="str">
        <x:v>名称、覆盖范围、服务商、抛比必填；名称符合正文格式，未改历史名称豁免。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'本批提测'!$B$8="","版本待填写",IF(OR(H35&lt;&gt;'本批提测'!$B$8,G35="",G35="未执行"),"未执行",IF(R35&lt;&gt;'本批提测'!$B$18,"基线已变，需复测",IF(Q35="","交付未映射",IF(OR(F35&lt;&gt;"已确认",(COUNTIFS('本批提测'!$A$40:$A$61,"DEC13",'本批提测'!$H$40:$H$61,"已确认")+COUNTIFS('本批提测'!$A$40:$A$61,"DEC13",'本批提测'!$H$40:$H$61,"已记录后置")=0)),"依据待确认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</x:row>
    <x:row r="36" ht="63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'本批提测'!$B$8="","版本待填写",IF(OR(H36&lt;&gt;'本批提测'!$B$8,G36="",G36="未执行"),"未执行",IF(R36&lt;&gt;'本批提测'!$B$18,"基线已变，需复测",IF(Q36="","交付未映射",IF(F36&lt;&gt;"已确认","依据待确认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前置：准备可用服务单元及可执行普通策略。
操作：新建组合，再改优先级保存，查看历史版本；再无修改保存并启停。</x:v>
      </x:c>
      <x:c r="K36" s="10" t="str">
        <x:v>至少1成员；新增默认启用、V1；配置改变生成V2并归档；无变化和单纯启停不增配置版本；已绑定产品读取当前配置；历史只读。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</x:v>
      </x:c>
      <x:c r="U36" s="10" t="str">
        <x:v>改变优先级后读回当前／历史；检查已绑定产品读取当前配置，历史只读。保留版本ID，不能只看更新时间变化。</x:v>
      </x:c>
    </x:row>
    <x:row r="37" ht="70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'本批提测'!$B$8="","版本待填写",IF(OR(H37&lt;&gt;'本批提测'!$B$8,G37="",G37="未执行"),"未执行",IF(R37&lt;&gt;'本批提测'!$B$18,"基线已变，需复测",IF(Q37="","交付未映射",IF(OR(F37&lt;&gt;"已确认",(COUNTIFS('本批提测'!$A$40:$A$61,"DEC14",'本批提测'!$H$40:$H$61,"已确认")+COUNTIFS('本批提测'!$A$40:$A$61,"DEC14",'本批提测'!$H$40:$H$61,"已记录后置")=0)),"依据待确认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前置：准备主用／后备成员、重复优先级、停用成员及已保存配置。
操作：检查重复加入、嵌套组合、无成员、重复优先级、多主用；搜索再取消候选。</x:v>
      </x:c>
      <x:c r="K37" s="10" t="str">
        <x:v>不嵌套、不重复编码；仅1主用，优先级全局不重复且为正整数；容量只读KG；搜索不丢已选；编辑保留停用成员并标识。供应商跨范围组合口径见 DEC14。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</x:v>
      </x:c>
      <x:c r="U37" s="10" t="str">
        <x:v>构造0／1成员、0／1／2主用、0／负／重复／正整数优先级及停用旧成员；核对错误定位、搜索选择和编辑保留。跨范围口径DEC14。</x:v>
      </x:c>
    </x:row>
    <x:row r="38" ht="63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'本批提测'!$B$8="","版本待填写",IF(OR(H38&lt;&gt;'本批提测'!$B$8,G38="",G38="未执行"),"未执行",IF(R38&lt;&gt;'本批提测'!$B$18,"基线已变，需复测",IF(Q38="","交付未映射",IF(F38&lt;&gt;"已确认","依据待确认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</x:v>
      </x:c>
      <x:c r="K38" s="10" t="str">
        <x:v>停用保留关系但不参加后续选路，不回退旧版；有产品／画布引用阻断删除；批量逐项跳过不符条件项并报成功、跳过数及原因。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冒烟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</x:v>
      </x:c>
      <x:c r="U38" s="10" t="str">
        <x:v>使用可清理测试组合，记录引用；核对停用不选路、不回退旧版、有引用不删除；批量成功／跳过数量与原因须对应实际ID。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'本批提测'!$B$8="","版本待填写",IF(OR(H39&lt;&gt;'本批提测'!$B$8,G39="",G39="未执行"),"未执行",IF(R39&lt;&gt;'本批提测'!$B$18,"基线已变，需复测",IF(Q39="","交付未映射",IF(OR(F39&lt;&gt;"已确认",(COUNTIFS('本批提测'!$A$40:$A$61,"DEC14",'本批提测'!$H$40:$H$61,"已确认")+COUNTIFS('本批提测'!$A$40:$A$61,"DEC14",'本批提测'!$H$40:$H$61,"已记录后置")=0)),"依据待确认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</x:row>
    <x:row r="40" ht="70.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'本批提测'!$B$8="","版本待填写",IF(OR(H40&lt;&gt;'本批提测'!$B$8,G40="",G40="未执行"),"未执行",IF(R40&lt;&gt;'本批提测'!$B$18,"基线已变，需复测",IF(Q40="","交付未映射",IF(OR(F40&lt;&gt;"已确认",(COUNTIFS('本批提测'!$A$40:$A$61,"DEC14",'本批提测'!$H$40:$H$61,"已确认")+COUNTIFS('本批提测'!$A$40:$A$61,"DEC14",'本批提测'!$H$40:$H$61,"已记录后置")=0)),"依据待确认",IF(AND(OR(G40="通过",G40="失败"),LEN(TRIM(M40))=0),"缺少证据",IF(AND(OR(G40="通过",G40="失败"),LEN(TRIM(O40))=0),"缺少执行人",IF(OR(G40="通过",G40="失败",G40="受阻",G40="依据待确认"),G40,"结果待填写"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'本批提测'!$B$8="","版本待填写",IF(OR(H41&lt;&gt;'本批提测'!$B$8,G41="",G41="未执行"),"未执行",IF(R41&lt;&gt;'本批提测'!$B$18,"基线已变，需复测",IF(Q41="","交付未映射",IF(OR(F41&lt;&gt;"已确认",(COUNTIFS('本批提测'!$A$40:$A$61,"DEC14",'本批提测'!$H$40:$H$61,"已确认")+COUNTIFS('本批提测'!$A$40:$A$61,"DEC14",'本批提测'!$H$40:$H$61,"已记录后置")=0)),"依据待确认",IF(AND(OR(G41="通过",G41="失败"),LEN(TRIM(M41))=0),"缺少证据",IF(AND(OR(G41="通过",G41="失败"),LEN(TRIM(O41))=0),"缺少执行人",IF(OR(G41="通过",G41="失败",G41="受阻",G41="依据待确认"),G41,"结果待填写"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</x:row>
    <x:row r="42" ht="84.7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'本批提测'!$B$8="","版本待填写",IF(OR(H42&lt;&gt;'本批提测'!$B$8,G42="",G42="未执行"),"未执行",IF(R42&lt;&gt;'本批提测'!$B$18,"基线已变，需复测",IF(Q42="","交付未映射",IF(OR(F42&lt;&gt;"已确认",(COUNTIFS('本批提测'!$A$40:$A$61,"DEC14",'本批提测'!$H$40:$H$61,"已确认")+COUNTIFS('本批提测'!$A$40:$A$61,"DEC14",'本批提测'!$H$40:$H$61,"已记录后置")=0)),"依据待确认",IF(AND(OR(G42="通过",G42="失败"),LEN(TRIM(M42))=0),"缺少证据",IF(AND(OR(G42="通过",G42="失败"),LEN(TRIM(O42))=0),"缺少执行人",IF(OR(G42="通过",G42="失败",G42="受阻",G42="依据待确认"),G42,"结果待填写"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</x:v>
      </x:c>
      <x:c r="K42" s="10" t="str">
        <x:v>R5500；差值500／500／0选5500成员；同分按确认角色优先级；缺参数不能代0。该算法不是最低计费重或最低价。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</x:v>
      </x:c>
      <x:c r="U42" s="10" t="str">
        <x:v>P-02A取110000cm³/20KG=5500，候选5000/6000/5500；删除精确候选测同分。DR-01与同分规则先DEC14确认。</x:v>
      </x:c>
    </x:row>
    <x:row r="43" ht="70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'本批提测'!$B$8="","版本待填写",IF(OR(H43&lt;&gt;'本批提测'!$B$8,G43="",G43="未执行"),"未执行",IF(R43&lt;&gt;'本批提测'!$B$18,"基线已变，需复测",IF(Q43="","交付未映射",IF(OR(F43&lt;&gt;"已确认",(COUNTIFS('本批提测'!$A$40:$A$61,"DEC14",'本批提测'!$H$40:$H$61,"已确认")+COUNTIFS('本批提测'!$A$40:$A$61,"DEC14",'本批提测'!$H$40:$H$61,"已记录后置")=0)),"依据待确认",IF(AND(OR(G43="通过",G43="失败"),LEN(TRIM(M43))=0),"缺少证据",IF(AND(OR(G43="通过",G43="失败"),LEN(TRIM(O43))=0),"缺少执行人",IF(OR(G43="通过",G43="失败",G43="受阻",G43="依据待确认"),G43,"结果待填写"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</x:v>
      </x:c>
      <x:c r="K43" s="10" t="str">
        <x:v>选周三03点完成的B，非周三09点的A；缺必要时间／时效有原因；工作日、节假日和时区按 DEC14，不将1.5天视为默认值。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</x:v>
      </x:c>
      <x:c r="U43" s="10" t="str">
        <x:v>按P-05相同时区连续自然日核算A周三09点、B周三03点；真实工作日／节假日／时区按DEC14。1.5天是算例，不是默认时效。</x:v>
      </x:c>
    </x:row>
    <x:row r="44" ht="63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'本批提测'!$B$8="","版本待填写",IF(OR(H44&lt;&gt;'本批提测'!$B$8,G44="",G44="未执行"),"未执行",IF(R44&lt;&gt;'本批提测'!$B$18,"基线已变，需复测",IF(Q44="","交付未映射",IF(OR(F44&lt;&gt;"已确认",(COUNTIFS('本批提测'!$A$40:$A$61,"DEC13",'本批提测'!$H$40:$H$61,"已确认")+COUNTIFS('本批提测'!$A$40:$A$61,"DEC13",'本批提测'!$H$40:$H$61,"已记录后置")=0)),"依据待确认",IF(AND(OR(G44="通过",G44="失败"),LEN(TRIM(M44))=0),"缺少证据",IF(AND(OR(G44="通过",G44="失败"),LEN(TRIM(O44))=0),"缺少执行人",IF(OR(G44="通过",G44="失败",G44="受阻",G44="依据待确认"),G44,"结果待填写"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只绑定1个启用单元；编码唯一；同单元价卡名称不重复；创建后编码及绑定单元只读。服务单元自动生成价卡后的新增入口按 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冒烟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</x:v>
      </x:c>
      <x:c r="U44" s="10" t="str">
        <x:v>准备启用／停用单元、重复编码、同单元同名卡；读回绑定及只读字段。自动生成卡后能否新增及初始配置按DEC13。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'本批提测'!$B$8="","版本待填写",IF(OR(H45&lt;&gt;'本批提测'!$B$8,G45="",G45="未执行"),"未执行",IF(R45&lt;&gt;'本批提测'!$B$18,"基线已变，需复测",IF(Q45="","交付未映射",IF(OR(F45&lt;&gt;"已确认",(COUNTIFS('本批提测'!$A$40:$A$61,"DEC13",'本批提测'!$H$40:$H$61,"已确认")+COUNTIFS('本批提测'!$A$40:$A$61,"DEC13",'本批提测'!$H$40:$H$61,"已记录后置")=0)),"依据待确认",IF(AND(OR(G45="通过",G45="失败"),LEN(TRIM(M45))=0),"缺少证据",IF(AND(OR(G45="通过",G45="失败"),LEN(TRIM(O45))=0),"缺少执行人",IF(OR(G45="通过",G45="失败",G45="受阻",G45="依据待确认"),G45,"结果待填写"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</x:row>
    <x:row r="46" ht="63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'本批提测'!$B$8="","版本待填写",IF(OR(H46&lt;&gt;'本批提测'!$B$8,G46="",G46="未执行"),"未执行",IF(R46&lt;&gt;'本批提测'!$B$18,"基线已变，需复测",IF(Q46="","交付未映射",IF(OR(F46&lt;&gt;"已确认",(COUNTIFS('本批提测'!$A$40:$A$61,"DEC19",'本批提测'!$H$40:$H$61,"已确认")+COUNTIFS('本批提测'!$A$40:$A$61,"DEC19",'本批提测'!$H$40:$H$61,"已记录后置")=0)),"依据待确认",IF(AND(OR(G46="通过",G46="失败"),LEN(TRIM(M46))=0),"缺少证据",IF(AND(OR(G46="通过",G46="失败"),LEN(TRIM(O46))=0),"缺少执行人",IF(OR(G46="通过",G46="失败",G46="受阻",G46="依据待确认"),G46,"结果待填写"))))))))))</x:f>
        <x:v>未纳入本批</x:v>
      </x:c>
      <x:c r="J46" s="10" t="str">
        <x:v>前置：准备零／负价格、重叠区间、首重缺续重、无明细、均摊方式。
操作：逐个提交非法组，再提交不重叠且首续重成组的有效组。</x:v>
      </x:c>
      <x:c r="K46" s="10" t="str">
        <x:v>价格和要素边界非负，终点大于起点；同费用、分区、条件区间不重叠；首续重成组；至少1有效明细；均摊要素条件必填，无均摊时整列隐藏。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</x:v>
      </x:c>
      <x:c r="U46" s="10" t="str">
        <x:v>0与负价、起止相等／倒置、重叠／不重叠、缺续重、无明细分别测试；其他字段合法。区间等端点与舍入待DEC19。</x:v>
      </x:c>
    </x:row>
    <x:row r="47" ht="70.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'本批提测'!$B$8="","版本待填写",IF(OR(H47&lt;&gt;'本批提测'!$B$8,G47="",G47="未执行"),"未执行",IF(R47&lt;&gt;'本批提测'!$B$18,"基线已变，需复测",IF(Q47="","交付未映射",IF(OR(F47&lt;&gt;"已确认",(COUNTIFS('本批提测'!$A$40:$A$61,"DEC12",'本批提测'!$H$40:$H$61,"已确认")+COUNTIFS('本批提测'!$A$40:$A$61,"DEC12",'本批提测'!$H$40:$H$61,"已记录后置")=0)),"依据待确认",IF(AND(OR(G47="通过",G47="失败"),LEN(TRIM(M47))=0),"缺少证据",IF(AND(OR(G47="通过",G47="失败"),LEN(TRIM(O47))=0),"缺少执行人",IF(OR(G47="通过",G47="失败",G47="受阻",G47="依据待确认"),G47,"结果待填写"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</x:row>
    <x:row r="48" ht="63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'本批提测'!$B$8="","版本待填写",IF(OR(H48&lt;&gt;'本批提测'!$B$8,G48="",G48="未执行"),"未执行",IF(R48&lt;&gt;'本批提测'!$B$18,"基线已变，需复测",IF(Q48="","交付未映射",IF(OR(F48&lt;&gt;"已确认",(COUNTIFS('本批提测'!$A$40:$A$61,"DEC09",'本批提测'!$H$40:$H$61,"已确认")+COUNTIFS('本批提测'!$A$40:$A$61,"DEC09",'本批提测'!$H$40:$H$61,"已记录后置")=0)),"依据待确认",IF(AND(OR(G48="通过",G48="失败"),LEN(TRIM(M48))=0),"缺少证据",IF(AND(OR(G48="通过",G48="失败"),LEN(TRIM(O48))=0),"缺少执行人",IF(OR(G48="通过",G48="失败",G48="受阻",G48="依据待确认"),G48,"结果待填写"))))))))))</x:f>
        <x:v>未纳入本批</x:v>
      </x:c>
      <x:c r="J48" s="10" t="str">
        <x:v>前置：准备地点邮编、包含／排除国家、启用／待生效Zone。
操作：创建、编辑、启停Zone并进入价卡范围选择；更新地点邮编读回。</x:v>
      </x:c>
      <x:c r="K48" s="10" t="str">
        <x:v>编码、名称、方案、国家范围必填且编码／名称不重复；同国家不能同时包含排除；V1后递增；仅启用参与命中；邮编引用地点，不在Zone重复维护。</x:v>
      </x:c>
      <x:c r="L48" s="10" t="str">
        <x:v>REQ §6.3 Zone维护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</x:v>
      </x:c>
      <x:c r="U48" s="10" t="str">
        <x:v>准备精确／前缀／区间邮编、地点版本和启停；核对去重、当前版本引用及匹配。未定邮编匹配边界另确认，DEC19仅关联已有计费／时间端点。</x:v>
      </x:c>
    </x:row>
    <x:row r="49" ht="70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'本批提测'!$B$8="","版本待填写",IF(OR(H49&lt;&gt;'本批提测'!$B$8,G49="",G49="未执行"),"未执行",IF(R49&lt;&gt;'本批提测'!$B$18,"基线已变，需复测",IF(Q49="","交付未映射",IF(F49&lt;&gt;"已确认","依据待确认",IF(AND(OR(G49="通过",G49="失败"),LEN(TRIM(M49))=0),"缺少证据",IF(AND(OR(G49="通过",G49="失败"),LEN(TRIM(O49))=0),"缺少执行人",IF(OR(G49="通过",G49="失败",G49="受阻",G49="依据待确认"),G49,"结果待填写"))))))))))</x:f>
        <x:v>未纳入本批</x:v>
      </x:c>
      <x:c r="J49" s="10" t="str">
        <x:v>前置：运费100、可另计附加费20；运费比例10%、附加费5%；同对象全局／供应商／渠道规则。
操作：核对10+1的燃油构成，再依次停用高层级规则；提交同基数同对象重叠生效期。</x:v>
      </x:c>
      <x:c r="K49" s="10" t="str">
        <x:v>两类独立、互不覆盖；只对相应另计行收费；渠道&gt;供应商&gt;全局；同层按最新开始时间；同基数范围对象有效期不能重叠。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用正文人工算例核对燃油合计；固定其他费，一次改变范围、状态或时间。补同基数同对象重叠保存校验，记录实际命中规则。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'本批提测'!$B$8="","版本待填写",IF(OR(H50&lt;&gt;'本批提测'!$B$8,G50="",G50="未执行"),"未执行",IF(R50&lt;&gt;'本批提测'!$B$18,"基线已变，需复测",IF(Q50="","交付未映射",IF(F50&lt;&gt;"已确认","依据待确认",IF(AND(OR(G50="通过",G50="失败"),LEN(TRIM(M50))=0),"缺少证据",IF(AND(OR(G50="通过",G50="失败"),LEN(TRIM(O50))=0),"缺少执行人",IF(OR(G50="通过",G50="失败",G50="受阻",G50="依据待确认"),G50,"结果待填写"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'本批提测'!$B$8="","版本待填写",IF(OR(H51&lt;&gt;'本批提测'!$B$8,G51="",G51="未执行"),"未执行",IF(R51&lt;&gt;'本批提测'!$B$18,"基线已变，需复测",IF(Q51="","交付未映射",IF(F51&lt;&gt;"已确认","依据待确认",IF(AND(OR(G51="通过",G51="失败"),LEN(TRIM(M51))=0),"缺少证据",IF(AND(OR(G51="通过",G51="失败"),LEN(TRIM(O51))=0),"缺少执行人",IF(OR(G51="通过",G51="失败",G51="受阻",G51="依据待确认"),G51,"结果待填写"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</x:row>
    <x:row r="52" ht="63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'本批提测'!$B$8="","版本待填写",IF(OR(H52&lt;&gt;'本批提测'!$B$8,G52="",G52="未执行"),"未执行",IF(R52&lt;&gt;'本批提测'!$B$18,"基线已变，需复测",IF(Q52="","交付未映射",IF(OR(F52&lt;&gt;"已确认",(COUNTIFS('本批提测'!$A$40:$A$61,"DEC19",'本批提测'!$H$40:$H$61,"已确认")+COUNTIFS('本批提测'!$A$40:$A$61,"DEC19",'本批提测'!$H$40:$H$61,"已记录后置")=0)),"依据待确认",IF(AND(OR(G52="通过",G52="失败"),LEN(TRIM(M52))=0),"缺少证据",IF(AND(OR(G52="通过",G52="失败"),LEN(TRIM(O52))=0),"缺少执行人",IF(OR(G52="通过",G52="失败",G52="受阻",G52="依据待确认"),G52,"结果待填写"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</x:v>
      </x:c>
      <x:c r="U52" s="10" t="str">
        <x:v>默认全时卡、过期／未过期非默认卡、相等／倒置／重叠时间；核对复制清时间和失败定位。默认覆盖例外及端点按DEC19。</x:v>
      </x:c>
    </x:row>
    <x:row r="53" ht="63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'本批提测'!$B$8="","版本待填写",IF(OR(H53&lt;&gt;'本批提测'!$B$8,G53="",G53="未执行"),"未执行",IF(R53&lt;&gt;'本批提测'!$B$18,"基线已变，需复测",IF(Q53="","交付未映射",IF(OR(F53&lt;&gt;"已确认",(COUNTIFS('本批提测'!$A$40:$A$61,"DEC19",'本批提测'!$H$40:$H$61,"已确认")+COUNTIFS('本批提测'!$A$40:$A$61,"DEC19",'本批提测'!$H$40:$H$61,"已记录后置")=0)),"依据待确认",IF(AND(OR(G53="通过",G53="失败"),LEN(TRIM(M53))=0),"缺少证据",IF(AND(OR(G53="通过",G53="失败"),LEN(TRIM(O53))=0),"缺少执行人",IF(OR(G53="通过",G53="失败",G53="受阻",G53="依据待确认"),G53,"结果待填写"))))))))))</x:f>
        <x:v>未纳入本批</x:v>
      </x:c>
      <x:c r="J53" s="10" t="str">
        <x:v>前置：准备源单元价卡和已编排产品，记录来源原价。
操作：编辑产品费用或矩阵价格、保存版本，读回源价卡并恢复来源。</x:v>
      </x:c>
      <x:c r="K53" s="10" t="str">
        <x:v>矩阵和明细同步；改价仅随产品版本记录，不回写服务单元成本价卡，不生成销售价版本；恢复来源区分新增来源与复制来源。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</x:v>
      </x:c>
      <x:c r="U53" s="10" t="str">
        <x:v>记录源价卡及产品V1，改产品费用／矩阵后读回两端；核对仅产品版本变化。试算取源卡还是产品改价先由DEC19确认。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'本批提测'!$B$8="","版本待填写",IF(OR(H54&lt;&gt;'本批提测'!$B$8,G54="",G54="未执行"),"未执行",IF(R54&lt;&gt;'本批提测'!$B$18,"基线已变，需复测",IF(Q54="","交付未映射",IF(F54&lt;&gt;"已确认","依据待确认",IF(AND(OR(G54="通过",G54="失败"),LEN(TRIM(M54))=0),"缺少证据",IF(AND(OR(G54="通过",G54="失败"),LEN(TRIM(O54))=0),"缺少执行人",IF(OR(G54="通过",G54="失败",G54="受阻",G54="依据待确认"),G54,"结果待填写"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</x:row>
    <x:row r="55" ht="63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'本批提测'!$B$8="","版本待填写",IF(OR(H55&lt;&gt;'本批提测'!$B$8,G55="",G55="未执行"),"未执行",IF(R55&lt;&gt;'本批提测'!$B$18,"基线已变，需复测",IF(Q55="","交付未映射",IF(OR(F55&lt;&gt;"已确认",(COUNTIFS('本批提测'!$A$40:$A$61,"DEC11",'本批提测'!$H$40:$H$61,"已确认")+COUNTIFS('本批提测'!$A$40:$A$61,"DEC11",'本批提测'!$H$40:$H$61,"已记录后置")=0),(COUNTIFS('本批提测'!$A$40:$A$61,"DEC16",'本批提测'!$H$40:$H$61,"已确认")+COUNTIFS('本批提测'!$A$40:$A$61,"DEC16",'本批提测'!$H$40:$H$61,"已记录后置")=0)),"依据待确认",IF(AND(OR(G55="通过",G55="失败"),LEN(TRIM(M55))=0),"缺少证据",IF(AND(OR(G55="通过",G55="失败"),LEN(TRIM(O55))=0),"缺少执行人",IF(OR(G55="通过",G55="失败",G55="受阻",G55="依据待确认"),G55,"结果待填写"))))))))))</x:f>
        <x:v>未纳入本批</x:v>
      </x:c>
      <x:c r="J55" s="10" t="str">
        <x:v>前置：准备草稿、已发布和已停用产品；删除范围先确认 DEC16。
操作：停用／恢复发布，尝试混状态批量，检查已发布删除入口。</x:v>
      </x:c>
      <x:c r="K55" s="10" t="str">
        <x:v>已发布可停用、停用可恢复；已发布不直接删除；同批仅选同状态。草稿与已停用的最终删除条件按 DEC16，已划线的历史引用条款不能作验收依据。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状态决定启停、批量和删除资格；构造同状态及混合状态，避免复用组合的逐项跳过规则。</x:v>
      </x:c>
      <x:c r="U55" s="10" t="str">
        <x:v>草稿／发布／停用产品成对观察；已发布不能直接删。停用及草稿最终删除条件待DEC16，已划线历史引用条款不作判断。</x:v>
      </x:c>
    </x:row>
    <x:row r="56" ht="63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'本批提测'!$B$8="","版本待填写",IF(OR(H56&lt;&gt;'本批提测'!$B$8,G56="",G56="未执行"),"未执行",IF(R56&lt;&gt;'本批提测'!$B$18,"基线已变，需复测",IF(Q56="","交付未映射",IF(F56&lt;&gt;"已确认","依据待确认",IF(AND(OR(G56="通过",G56="失败"),LEN(TRIM(M56))=0),"缺少证据",IF(AND(OR(G56="通过",G56="失败"),LEN(TRIM(O56))=0),"缺少执行人",IF(OR(G56="通过",G56="失败",G56="受阻",G56="依据待确认"),G56,"结果待填写"))))))))))</x:f>
        <x:v>未纳入本批</x:v>
      </x:c>
      <x:c r="J56" s="10" t="str">
        <x:v>前置：准备只覆盖D、只覆盖F及覆盖A/C的已发布产品。
操作：分别切换产品，检查参数和缺项校验；尝试未发布／停用产品。</x:v>
      </x:c>
      <x:c r="K56" s="10" t="str">
        <x:v>只生成实际覆盖卡；D机场必填，F邮编和DOC/WPX必填，A起点必填，C页数&gt;0；不强制所有产品填终点；仅已发布未停用可选；无产品／范围不能算。</x:v>
      </x:c>
      <x:c r="L56" s="10" t="str">
        <x:v>REQ §6.4 计算模拟／固定、动态字段及校验</x:v>
      </x:c>
      <x:c r="M56" s="86"/>
      <x:c r="N56" s="86"/>
      <x:c r="O56" s="86"/>
      <x:c r="P56" s="10" t="str">
        <x:v>冒烟</x:v>
      </x:c>
      <x:c r="Q56" s="86"/>
      <x:c r="R56" s="86"/>
      <x:c r="S56" s="10" t="str">
        <x:v>需求正文</x:v>
      </x:c>
      <x:c r="T56" s="10" t="str">
        <x:v>参数由产品实际覆盖范围条件生成；用不同范围的产品对照必填和显示，防止全站统一参数表。</x:v>
      </x:c>
      <x:c r="U56" s="10" t="str">
        <x:v>D产品检查机场，F检查邮编及DOC/WPX，A+C检查起点及申报页数；其余输入合法。另检未发布／停用不可选及无产品不能算。</x:v>
      </x:c>
    </x:row>
    <x:row r="57" ht="213.75" customHeight="1">
      <x:c r="A57" s="10" t="str">
        <x:v>SM52</x:v>
      </x:c>
      <x:c r="B57" s="10" t="str">
        <x:v>计算模拟</x:v>
      </x:c>
      <x:c r="C57" s="10" t="str">
        <x:v>产品抛比与重量算例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'本批提测'!$B$8="","版本待填写",IF(OR(H57&lt;&gt;'本批提测'!$B$8,G57="",G57="未执行"),"未执行",IF(R57&lt;&gt;'本批提测'!$B$18,"基线已变，需复测",IF(Q57="","交付未映射",IF(OR(F57&lt;&gt;"已确认",(COUNTIFS('本批提测'!$A$40:$A$61,"DEC19",'本批提测'!$H$40:$H$61,"已确认")+COUNTIFS('本批提测'!$A$40:$A$61,"DEC19",'本批提测'!$H$40:$H$61,"已记录后置")=0)),"依据待确认",IF(AND(OR(G57="通过",G57="失败"),LEN(TRIM(M57))=0),"缺少证据",IF(AND(OR(G57="通过",G57="失败"),LEN(TRIM(O57))=0),"缺少执行人",IF(OR(G57="通过",G57="失败",G57="受阻",G57="依据待确认"),G57,"结果待填写"))))))))))</x:f>
        <x:v>未纳入本批</x:v>
      </x:c>
      <x:c r="J57" s="10" t="str">
        <x:v>前置：批准的测试配置为产品抛比6000、订单计费重向上按1KG进位；实重8KG。该舍入策略须DEC19确认，非系统默认。
操作：先用60×50×40cm，再用67×30×60cm；分别核对体积重、原始计费重和订单计费重；再不填尺寸，输入重量0、负尺寸／货值及非数。</x:v>
      </x:c>
      <x:c r="K57" s="10" t="str">
        <x:v>60×50×40÷6000=20KG，原始及订单计费重均20KG。
67×30×60÷6000=20.1KG，原始计费重20.1KG，按批准1KG向上进位后为21KG，不能仍为20.1或20。
使用产品最终抛比；无尺寸体积重0，按实重8KG；重量必须&gt;0，负尺寸／货值和非数拦截。若批准进位策略不同须改算例预期，不把向上进位作为通用需求。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用整数和非整数计费重对照验证进位，避免20→20无法检测漏进位；同时区分体积重、原始计费重和订单计费重。</x:v>
      </x:c>
      <x:c r="U57" s="10" t="str">
        <x:v>批准配置6000抛比、向上按1KG进位：8KG与60×50×40cm为20→20；67×30×60cm为20.1→21；无尺寸按实重。配置及舍入须DEC19确认。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'本批提测'!$B$8="","版本待填写",IF(OR(H58&lt;&gt;'本批提测'!$B$8,G58="",G58="未执行"),"未执行",IF(R58&lt;&gt;'本批提测'!$B$18,"基线已变，需复测",IF(Q58="","交付未映射",IF(F58&lt;&gt;"已确认","依据待确认",IF(AND(OR(G58="通过",G58="失败"),LEN(TRIM(M58))=0),"缺少证据",IF(AND(OR(G58="通过",G58="失败"),LEN(TRIM(O58))=0),"缺少执行人",IF(OR(G58="通过",G58="失败",G58="受阻",G58="依据待确认"),G58,"结果待填写"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'本批提测'!$B$8="","版本待填写",IF(OR(H59&lt;&gt;'本批提测'!$B$8,G59="",G59="未执行"),"未执行",IF(R59&lt;&gt;'本批提测'!$B$18,"基线已变，需复测",IF(Q59="","交付未映射",IF(F59&lt;&gt;"已确认","依据待确认",IF(AND(OR(G59="通过",G59="失败"),LEN(TRIM(M59))=0),"缺少证据",IF(AND(OR(G59="通过",G59="失败"),LEN(TRIM(O59))=0),"缺少执行人",IF(OR(G59="通过",G59="失败",G59="受阻",G59="依据待确认"),G59,"结果待填写"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'本批提测'!$B$8="","版本待填写",IF(OR(H60&lt;&gt;'本批提测'!$B$8,G60="",G60="未执行"),"未执行",IF(R60&lt;&gt;'本批提测'!$B$18,"基线已变，需复测",IF(Q60="","交付未映射",IF(F60&lt;&gt;"已确认","依据待确认",IF(AND(OR(G60="通过",G60="失败"),LEN(TRIM(M60))=0),"缺少证据",IF(AND(OR(G60="通过",G60="失败"),LEN(TRIM(O60))=0),"缺少执行人",IF(OR(G60="通过",G60="失败",G60="受阻",G60="依据待确认"),G60,"结果待填写"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</x:row>
    <x:row r="61" ht="84.7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'本批提测'!$B$8="","版本待填写",IF(OR(H61&lt;&gt;'本批提测'!$B$8,G61="",G61="未执行"),"未执行",IF(R61&lt;&gt;'本批提测'!$B$18,"基线已变，需复测",IF(Q61="","交付未映射",IF(OR(F61&lt;&gt;"已确认",(COUNTIFS('本批提测'!$A$40:$A$61,"DEC19",'本批提测'!$H$40:$H$61,"已确认")+COUNTIFS('本批提测'!$A$40:$A$61,"DEC19",'本批提测'!$H$40:$H$61,"已记录后置")=0)),"依据待确认",IF(AND(OR(G61="通过",G61="失败"),LEN(TRIM(M61))=0),"缺少证据",IF(AND(OR(G61="通过",G61="失败"),LEN(TRIM(O61))=0),"缺少执行人",IF(OR(G61="通过",G61="失败",G61="受阻",G61="依据待确认"),G61,"结果待填写"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</x:row>
    <x:row r="62" ht="63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'本批提测'!$B$8="","版本待填写",IF(OR(H62&lt;&gt;'本批提测'!$B$8,G62="",G62="未执行"),"未执行",IF(R62&lt;&gt;'本批提测'!$B$18,"基线已变，需复测",IF(Q62="","交付未映射",IF(F62&lt;&gt;"已确认","依据待确认",IF(AND(OR(G62="通过",G62="失败"),LEN(TRIM(M62))=0),"缺少证据",IF(AND(OR(G62="通过",G62="失败"),LEN(TRIM(O62))=0),"缺少执行人",IF(OR(G62="通过",G62="失败",G62="受阻",G62="依据待确认"),G62,"结果待填写"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</x:v>
      </x:c>
      <x:c r="K62" s="10" t="str">
        <x:v>规则可搜索多选；编排聚合只读，同名同表达式去重；拒收与转人工分别按 SM53 返回。表达式判定数据按本批批准。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</x:v>
      </x:c>
      <x:c r="U62" s="10" t="str">
        <x:v>用批准表达式和可核算输入，核对聚合只读／去重及SM53结果；包含型上限按需求逻辑，不机械取全部最小值。</x:v>
      </x:c>
    </x:row>
    <x:row r="63" ht="70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'本批提测'!$B$8="","版本待填写",IF(OR(H63&lt;&gt;'本批提测'!$B$8,G63="",G63="未执行"),"未执行",IF(R63&lt;&gt;'本批提测'!$B$18,"基线已变，需复测",IF(Q63="","交付未映射",IF(OR(F63&lt;&gt;"已确认",(COUNTIFS('本批提测'!$A$40:$A$61,"DEC09",'本批提测'!$H$40:$H$61,"已确认")+COUNTIFS('本批提测'!$A$40:$A$61,"DEC09",'本批提测'!$H$40:$H$61,"已记录后置")=0)),"依据待确认",IF(AND(OR(G63="通过",G63="失败"),LEN(TRIM(M63))=0),"缺少证据",IF(AND(OR(G63="通过",G63="失败"),LEN(TRIM(O63))=0),"缺少执行人",IF(OR(G63="通过",G63="失败",G63="受阻",G63="依据待确认"),G63,"结果待填写"))))))))))</x:f>
        <x:v>未纳入本批</x:v>
      </x:c>
      <x:c r="J63" s="10" t="str">
        <x:v>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</x:v>
      </x:c>
    </x:row>
    <x:row r="64" ht="70.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'本批提测'!$B$8="","版本待填写",IF(OR(H64&lt;&gt;'本批提测'!$B$8,G64="",G64="未执行"),"未执行",IF(R64&lt;&gt;'本批提测'!$B$18,"基线已变，需复测",IF(Q64="","交付未映射",IF(OR(F64&lt;&gt;"已确认",(COUNTIFS('本批提测'!$A$40:$A$61,"DEC21",'本批提测'!$H$40:$H$61,"已确认")+COUNTIFS('本批提测'!$A$40:$A$61,"DEC21",'本批提测'!$H$40:$H$61,"已记录后置")=0)),"依据待确认",IF(AND(OR(G64="通过",G64="失败"),LEN(TRIM(M64))=0),"缺少证据",IF(AND(OR(G64="通过",G64="失败"),LEN(TRIM(O64))=0),"缺少执行人",IF(OR(G64="通过",G64="失败",G64="受阻",G64="依据待确认"),G64,"结果待填写"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</x:row>
    <x:row r="65" ht="84.7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'本批提测'!$B$8="","版本待填写",IF(OR(H65&lt;&gt;'本批提测'!$B$8,G65="",G65="未执行"),"未执行",IF(R65&lt;&gt;'本批提测'!$B$18,"基线已变，需复测",IF(Q65="","交付未映射",IF(OR(F65&lt;&gt;"已确认",(COUNTIFS('本批提测'!$A$40:$A$61,"DEC21",'本批提测'!$H$40:$H$61,"已确认")+COUNTIFS('本批提测'!$A$40:$A$61,"DEC21",'本批提测'!$H$40:$H$61,"已记录后置")=0)),"依据待确认",IF(AND(OR(G65="通过",G65="失败"),LEN(TRIM(M65))=0),"缺少证据",IF(AND(OR(G65="通过",G65="失败"),LEN(TRIM(O65))=0),"缺少执行人",IF(OR(G65="通过",G65="失败",G65="受阻",G65="依据待确认"),G65,"结果待填写"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'本批提测'!$B$8="","版本待填写",IF(OR(H66&lt;&gt;'本批提测'!$B$8,G66="",G66="未执行"),"未执行",IF(R66&lt;&gt;'本批提测'!$B$18,"基线已变，需复测",IF(Q66="","交付未映射",IF(F66&lt;&gt;"已确认","依据待确认",IF(AND(OR(G66="通过",G66="失败"),LEN(TRIM(M66))=0),"缺少证据",IF(AND(OR(G66="通过",G66="失败"),LEN(TRIM(O66))=0),"缺少执行人",IF(OR(G66="通过",G66="失败",G66="受阻",G66="依据待确认"),G66,"结果待填写"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'本批提测'!$B$8="","版本待填写",IF(OR(H67&lt;&gt;'本批提测'!$B$8,G67="",G67="未执行"),"未执行",IF(R67&lt;&gt;'本批提测'!$B$18,"基线已变，需复测",IF(Q67="","交付未映射",IF(F67&lt;&gt;"已确认","依据待确认",IF(AND(OR(G67="通过",G67="失败"),LEN(TRIM(M67))=0),"缺少证据",IF(AND(OR(G67="通过",G67="失败"),LEN(TRIM(O67))=0),"缺少执行人",IF(OR(G67="通过",G67="失败",G67="受阻",G67="依据待确认"),G67,"结果待填写"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dataValidations count="8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147622e04446ee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16.8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按交付清单将执行项设为“是”并填写交付项ID；关联待决策事项自动纳入，未决不能计通过。须填写Build、执行基线ID、执行人和证据。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29" t="str">
        <x:v>设计思路／测试方法（建议）</x:v>
      </x:c>
      <x:c r="AE5" s="129" t="str">
        <x:v>数据选择／核对证据（建议）</x:v>
      </x:c>
    </x:row>
    <x:row r="6" ht="84.75" customHeight="1">
      <x:c r="A6" s="10" t="str">
        <x:v>UI01</x:v>
      </x:c>
      <x:c r="B6" s="10" t="str">
        <x:v>基础配置</x:v>
      </x:c>
      <x:c r="C6" s="10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'本批提测'!$B$8="","版本待填写",IF(OR(H6&lt;&gt;'本批提测'!$B$8,G6="",G6="未执行"),"未执行",IF(V6&lt;&gt;'本批提测'!$B$18,"基线已变，需复测",IF(U6="","交付未映射",IF(OR(F6&lt;&gt;"已确认",(COUNTIFS('本批提测'!$A$40:$A$61,"DEC01",'本批提测'!$H$40:$H$61,"已确认")+COUNTIFS('本批提测'!$A$40:$A$61,"DEC01",'本批提测'!$H$40:$H$61,"已记录后置")=0)),"依据待确认",IF(AND(OR(G6="通过",G6="失败"),LEN(TRIM(M6))=0),"缺少证据",IF(AND(OR(G6="通过",G6="失败"),LEN(TRIM(O6))=0),"缺少执行人",IF(OR(G6="通过",G6="失败",G6="受阻",G6="依据待确认"),G6,"结果待填写"))))))))))</x:f>
        <x:v>未纳入本批</x:v>
      </x:c>
      <x:c r="J6" s="10" t="str">
        <x:v>前置：取得本批专项设计稿并确认DEC01。
1.切换主数据／计价底座。
2.分别切换内容区子项并核对列表。
3.从右侧列表顶部点击新增选项，核对弹出表单所属分类。</x:v>
      </x:c>
      <x:c r="K6" s="10" t="str">
        <x:v>1.主数据／计价底座位于页头一级Tab；子项独立位于内容区，选中态、分类与列表一致。
2.新增选项位于右侧当前列表顶部，创建目标属于当前分类。
3.层级承载依专项稿；Tabs样式与交互另见UI33/34，不能把子项强制做成同层嵌套Tabs。</x:v>
      </x:c>
      <x:c r="L6" s="10" t="str">
        <x:v>REVIEW 记录 review-67fb39add5；须先确认关联决策；2026-10-10逐字段读取</x:v>
      </x:c>
      <x:c r="M6" s="86"/>
      <x:c r="N6" s="86"/>
      <x:c r="O6" s="86"/>
      <x:c r="P6" s="14" t="str">
        <x:v>P0</x:v>
      </x:c>
      <x:c r="Q6" s="14" t="str">
        <x:v>修改中</x:v>
      </x:c>
      <x:c r="R6" s="14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1、新增tabs组件用于承载分类切换（已更新至规范中）
2、将“主数据 / 计价底座”上移为页头一级Tab，作为页面核心分类切换；对应子项独立为内容区选项切换；将“新增选项”下沉至右侧当前列表区域顶部，与列表内容建立更强关联。</x:v>
      </x:c>
      <x:c r="AA6" s="14" t="str">
        <x:v>UI产出专项设计稿与规范</x:v>
      </x:c>
      <x:c r="AB6" s="14" t="str">
        <x:v>review-67fb39add5</x:v>
      </x:c>
      <x:c r="AC6" s="14" t="str">
        <x:v>补齐新增入口归属、父子分类内容一致；专项稿修改中不等于采用；子项承载由设计确定。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</x:v>
      </x:c>
    </x:row>
    <x:row r="7" ht="156" customHeight="1">
      <x:c r="A7" s="10" t="str">
        <x:v>UI02</x:v>
      </x:c>
      <x:c r="B7" s="10" t="str">
        <x:v>左侧菜单</x:v>
      </x:c>
      <x:c r="C7" s="10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'本批提测'!$B$8="","版本待填写",IF(OR(H7&lt;&gt;'本批提测'!$B$8,G7="",G7="未执行"),"未执行",IF(V7&lt;&gt;'本批提测'!$B$18,"基线已变，需复测",IF(U7="","交付未映射",IF(OR(F7&lt;&gt;"已确认",(COUNTIFS('本批提测'!$A$40:$A$61,"DEC02",'本批提测'!$H$40:$H$61,"已确认")+COUNTIFS('本批提测'!$A$40:$A$61,"DEC02",'本批提测'!$H$40:$H$61,"已记录后置")=0)),"依据待确认",IF(AND(OR(G7="通过",G7="失败"),LEN(TRIM(M7))=0),"缺少证据",IF(AND(OR(G7="通过",G7="失败"),LEN(TRIM(O7))=0),"缺少执行人",IF(OR(G7="通过",G7="失败",G7="受阻",G7="依据待确认"),G7,"结果待填写"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记录 review-4122ab1853；须先确认关联决策；2026-10-10逐字段读取</x:v>
      </x:c>
      <x:c r="M7" s="86"/>
      <x:c r="N7" s="86"/>
      <x:c r="O7" s="86"/>
      <x:c r="P7" s="14" t="str">
        <x:v>P1</x:v>
      </x:c>
      <x:c r="Q7" s="14" t="str">
        <x:v>修改中</x:v>
      </x:c>
      <x:c r="R7" s="14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1、分类切换：当用户点击其他一级分类下的子菜单时，自动收起此前展开的其他一级分类。
2、手动展开：允许用户手动展开或收起任意一级分类，不强制限制同时展开的分类数量。
3、选中状态：当前选中的子菜单保持高亮，所属一级分类保持展开，确保导航路径清晰。
4、交互原则：跨分类选择子菜单时自动收起其他分类；手动操作时允许多个分类同时展开。</x:v>
      </x:c>
      <x:c r="AA7" s="14" t="str">
        <x:v>UI根据现有调整产出专项设计稿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</x:row>
    <x:row r="8" ht="84.75" customHeight="1">
      <x:c r="A8" s="10" t="str">
        <x:v>UI03</x:v>
      </x:c>
      <x:c r="B8" s="10" t="str">
        <x:v>服务单元</x:v>
      </x:c>
      <x:c r="C8" s="10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'本批提测'!$B$8="","版本待填写",IF(OR(H8&lt;&gt;'本批提测'!$B$8,G8="",G8="未执行"),"未执行",IF(V8&lt;&gt;'本批提测'!$B$18,"基线已变，需复测",IF(U8="","交付未映射",IF(OR(F8&lt;&gt;"已确认",(COUNTIFS('本批提测'!$A$40:$A$61,"DEC22",'本批提测'!$H$40:$H$61,"已确认")+COUNTIFS('本批提测'!$A$40:$A$61,"DEC22",'本批提测'!$H$40:$H$61,"已记录后置")=0)),"依据待确认",IF(AND(OR(G8="通过",G8="失败"),LEN(TRIM(M8))=0),"缺少证据",IF(AND(OR(G8="通过",G8="失败"),LEN(TRIM(O8))=0),"缺少执行人",IF(OR(G8="通过",G8="失败",G8="受阻",G8="依据待确认"),G8,"结果待填写"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记录 review-24220c26b9；须先确认关联决策；2026-10-10逐字段读取</x:v>
      </x:c>
      <x:c r="M8" s="86"/>
      <x:c r="N8" s="86"/>
      <x:c r="O8" s="86"/>
      <x:c r="P8" s="14" t="str">
        <x:v>P0</x:v>
      </x:c>
      <x:c r="Q8" s="14" t="str">
        <x:v>待确认</x:v>
      </x:c>
      <x:c r="R8" s="14" t="str">
        <x:v>组合复用</x:v>
      </x:c>
      <x:c r="S8" s="14" t="str">
        <x:v>UI、产品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编辑服务单元-下单规则：当前勾选结果存在重复反馈：列表Checkbox已明确展示选中状态，搜索框下方又以标签形式重复展示已选项，右下角同时显示已选数量，造成信息冗余和视觉占用，增加用户认知负担。</x:v>
      </x:c>
      <x:c r="Z8" s="14" t="str">
        <x:v>建议仅保留列表Checkbox作为选中状态反馈，删除顶部已选Tag及底部数量汇总，降低信息干扰。</x:v>
      </x:c>
      <x:c r="AA8" s="14" t="str">
        <x:v>开发组合实现，UI补充布局</x:v>
      </x:c>
      <x:c r="AB8" s="14" t="str">
        <x:v>review-24220c26b9</x:v>
      </x:c>
      <x:c r="AC8" s="14" t="str">
        <x:v>记录组合复用与开发组合实现/UI补布局；补跨页数据保护；正文与Review数量提示冲突交DEC22。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</x:row>
    <x:row r="9" ht="70.5" customHeight="1">
      <x:c r="A9" s="10" t="str">
        <x:v>UI04</x:v>
      </x:c>
      <x:c r="B9" s="10" t="str">
        <x:v>服务单元</x:v>
      </x:c>
      <x:c r="C9" s="1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'本批提测'!$B$8="","版本待填写",IF(OR(H9&lt;&gt;'本批提测'!$B$8,G9="",G9="未执行"),"未执行",IF(V9&lt;&gt;'本批提测'!$B$18,"基线已变，需复测",IF(U9="","交付未映射",IF(F9&lt;&gt;"已确认","依据待确认",IF(AND(OR(G9="通过",G9="失败"),LEN(TRIM(M9))=0),"缺少证据",IF(AND(OR(G9="通过",G9="失败"),LEN(TRIM(O9))=0),"缺少执行人",IF(OR(G9="通过",G9="失败",G9="受阻",G9="依据待确认"),G9,"结果待填写"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记录 review-c79c73690c；建议须按本批批准基线采纳；2026-10-10逐字段读取</x:v>
      </x:c>
      <x:c r="M9" s="86"/>
      <x:c r="N9" s="86"/>
      <x:c r="O9" s="86"/>
      <x:c r="P9" s="14" t="str">
        <x:v>P1</x:v>
      </x:c>
      <x:c r="Q9" s="14" t="str">
        <x:v>待确认</x:v>
      </x:c>
      <x:c r="R9" s="14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当前确认弹窗使用普通信息提示图标，与“禁用编排”的风险语义不一致。</x:v>
      </x:c>
      <x:c r="Z9" s="14" t="str">
        <x:v>建议改用Warning警告图标。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</x:row>
    <x:row r="10" ht="70.5" customHeight="1">
      <x:c r="A10" s="10" t="str">
        <x:v>UI05</x:v>
      </x:c>
      <x:c r="B10" s="10" t="str">
        <x:v>全局</x:v>
      </x:c>
      <x:c r="C10" s="10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'本批提测'!$B$8="","版本待填写",IF(OR(H10&lt;&gt;'本批提测'!$B$8,G10="",G10="未执行"),"未执行",IF(V10&lt;&gt;'本批提测'!$B$18,"基线已变，需复测",IF(U10="","交付未映射",IF(F10&lt;&gt;"已确认","依据待确认",IF(AND(OR(G10="通过",G10="失败"),LEN(TRIM(M10))=0),"缺少证据",IF(AND(OR(G10="通过",G10="失败"),LEN(TRIM(O10))=0),"缺少执行人",IF(OR(G10="通过",G10="失败",G10="受阻",G10="依据待确认"),G10,"结果待填写"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记录 review-5cb0b5dcb6；建议须按本批批准基线采纳；2026-10-10逐字段读取</x:v>
      </x:c>
      <x:c r="M10" s="86"/>
      <x:c r="N10" s="86"/>
      <x:c r="O10" s="86"/>
      <x:c r="P10" s="14" t="str">
        <x:v>P0</x:v>
      </x:c>
      <x:c r="Q10" s="14" t="str">
        <x:v>待确认</x:v>
      </x:c>
      <x:c r="R10" s="14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</x:row>
    <x:row r="11" ht="70.5" customHeight="1">
      <x:c r="A11" s="10" t="str">
        <x:v>UI06</x:v>
      </x:c>
      <x:c r="B11" s="10" t="str">
        <x:v>左侧菜单</x:v>
      </x:c>
      <x:c r="C11" s="10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'本批提测'!$B$8="","版本待填写",IF(OR(H11&lt;&gt;'本批提测'!$B$8,G11="",G11="未执行"),"未执行",IF(V11&lt;&gt;'本批提测'!$B$18,"基线已变，需复测",IF(U11="","交付未映射",IF(F11&lt;&gt;"已确认","依据待确认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记录 review-e3abcc238c；建议须按本批批准基线采纳；2026-10-10逐字段读取</x:v>
      </x:c>
      <x:c r="M11" s="86"/>
      <x:c r="N11" s="86"/>
      <x:c r="O11" s="86"/>
      <x:c r="P11" s="14" t="str">
        <x:v>P2</x:v>
      </x:c>
      <x:c r="Q11" s="14" t="str">
        <x:v>待确认</x:v>
      </x:c>
      <x:c r="R11" s="14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缩进、字号字重、选中态尺寸、展开箭头及菜单间距等方面与现有前端通用框架存在较大差异。且一级菜单缺少左侧图标。</x:v>
      </x:c>
      <x:c r="Z11" s="14" t="str">
        <x:v>复用现有框架。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</x:row>
    <x:row r="12" ht="63" customHeight="1">
      <x:c r="A12" s="10" t="str">
        <x:v>UI07</x:v>
      </x:c>
      <x:c r="B12" s="10" t="str">
        <x:v>顶部导航</x:v>
      </x:c>
      <x:c r="C12" s="10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'本批提测'!$B$8="","版本待填写",IF(OR(H12&lt;&gt;'本批提测'!$B$8,G12="",G12="未执行"),"未执行",IF(V12&lt;&gt;'本批提测'!$B$18,"基线已变，需复测",IF(U12="","交付未映射",IF(F12&lt;&gt;"已确认","依据待确认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记录 review-a2a817eb2a；建议须按本批批准基线采纳；2026-10-10逐字段读取</x:v>
      </x:c>
      <x:c r="M12" s="86"/>
      <x:c r="N12" s="86"/>
      <x:c r="O12" s="86"/>
      <x:c r="P12" s="14" t="str">
        <x:v>P2</x:v>
      </x:c>
      <x:c r="Q12" s="14" t="str">
        <x:v>待确认</x:v>
      </x:c>
      <x:c r="R12" s="14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与规范、框架不一致，有多余的页面标题，无功能的板块可先暂时隐藏，如搜索、消息等。</x:v>
      </x:c>
      <x:c r="Z12" s="14" t="str">
        <x:v>复用现有框架。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</x:row>
    <x:row r="13" ht="70.5" customHeight="1">
      <x:c r="A13" s="10" t="str">
        <x:v>UI08</x:v>
      </x:c>
      <x:c r="B13" s="10" t="str">
        <x:v>所有页头栏</x:v>
      </x:c>
      <x:c r="C13" s="10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'本批提测'!$B$8="","版本待填写",IF(OR(H13&lt;&gt;'本批提测'!$B$8,G13="",G13="未执行"),"未执行",IF(V13&lt;&gt;'本批提测'!$B$18,"基线已变，需复测",IF(U13="","交付未映射",IF(F13&lt;&gt;"已确认","依据待确认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记录 review-716a17fbb6；建议须按本批批准基线采纳；2026-10-10逐字段读取</x:v>
      </x:c>
      <x:c r="M13" s="86"/>
      <x:c r="N13" s="86"/>
      <x:c r="O13" s="86"/>
      <x:c r="P13" s="14" t="str">
        <x:v>P1</x:v>
      </x:c>
      <x:c r="Q13" s="14" t="str">
        <x:v>待确认</x:v>
      </x:c>
      <x:c r="R13" s="14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当前将面包屑导航放置于顶部导航，与现有通用框架页面结构不一致，同时与页面标题存在重复表达。操作按钮对齐方式与框架不一致。</x:v>
      </x:c>
      <x:c r="Z13" s="14" t="str">
        <x:v>1、复用现有框架。
2、着重考虑副标题的存在必要性，如无完全必要可考虑删除，带副标题的页头可见规范规定。
3、说明文字最好不要出现「」。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</x:row>
    <x:row r="14" ht="99" customHeight="1">
      <x:c r="A14" s="10" t="str">
        <x:v>UI09</x:v>
      </x:c>
      <x:c r="B14" s="10" t="str">
        <x:v>所有查询区</x:v>
      </x:c>
      <x:c r="C14" s="10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'本批提测'!$B$8="","版本待填写",IF(OR(H14&lt;&gt;'本批提测'!$B$8,G14="",G14="未执行"),"未执行",IF(V14&lt;&gt;'本批提测'!$B$18,"基线已变，需复测",IF(U14="","交付未映射",IF(OR(F14&lt;&gt;"已确认",(COUNTIFS('本批提测'!$A$40:$A$61,"DEC09",'本批提测'!$H$40:$H$61,"已确认")+COUNTIFS('本批提测'!$A$40:$A$61,"DEC09",'本批提测'!$H$40:$H$61,"已记录后置")=0)),"依据待确认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记录 review-96579d37d7；建议须按本批批准基线采纳；2026-10-10逐字段读取</x:v>
      </x:c>
      <x:c r="M14" s="86"/>
      <x:c r="N14" s="86"/>
      <x:c r="O14" s="86"/>
      <x:c r="P14" s="14" t="str">
        <x:v>P2</x:v>
      </x:c>
      <x:c r="Q14" s="14" t="str">
        <x:v>待确认</x:v>
      </x:c>
      <x:c r="R14" s="14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1、筛选字段数量按实际业务需求保留，不需与框架示例强行保持相同列数。
2、整体复用通用框架筛选区的控件尺寸、栅格间距及操作方式。
3、当前3个筛选字段建议依次排列，右侧使用框架标准“查询 / 重置”操作，剩余空间无需通过拉伸字段填满。
4、下拉样式复用通用框架样式。
5、点击查询与重置，列表都需要有刷新反馈。</x:v>
      </x:c>
      <x:c r="AA14" s="14" t="str">
        <x:v>开发对齐现有框架、规范开发</x:v>
      </x:c>
      <x:c r="AB14" s="14" t="str">
        <x:v>review-96579d37d7</x:v>
      </x:c>
      <x:c r="AC14" s="14" t="str">
        <x:v>完整覆盖5条建议；3字段只是原场景，不升为全站固定3列；补“不拉伸填满”。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</x:v>
      </x:c>
    </x:row>
    <x:row r="15" ht="70.5" customHeight="1">
      <x:c r="A15" s="10" t="str">
        <x:v>UI10</x:v>
      </x:c>
      <x:c r="B15" s="10" t="str">
        <x:v>所有列表区</x:v>
      </x:c>
      <x:c r="C15" s="10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'本批提测'!$B$8="","版本待填写",IF(OR(H15&lt;&gt;'本批提测'!$B$8,G15="",G15="未执行"),"未执行",IF(V15&lt;&gt;'本批提测'!$B$18,"基线已变，需复测",IF(U15="","交付未映射",IF(F15&lt;&gt;"已确认","依据待确认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记录 review-92624f2e97；建议须按本批批准基线采纳；2026-10-10逐字段读取</x:v>
      </x:c>
      <x:c r="M15" s="86"/>
      <x:c r="N15" s="86"/>
      <x:c r="O15" s="86"/>
      <x:c r="P15" s="14" t="str">
        <x:v>P2</x:v>
      </x:c>
      <x:c r="Q15" s="14" t="str">
        <x:v>待确认</x:v>
      </x:c>
      <x:c r="R15" s="14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当前原型Table在容器间距、表头/行高、行背景、列宽、固定列及操作区等方面与前端通用框架存在较大差异。</x:v>
      </x:c>
      <x:c r="Z15" s="14" t="str">
        <x:v>1、建议整体直接复用现有Table框架规范，业务侧仅保留字段、数据及必要状态差异；顶部操作可按业务隐藏，但保留框架规定的容器Padding。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</x:row>
    <x:row r="16" ht="84.75" customHeight="1">
      <x:c r="A16" s="10" t="str">
        <x:v>UI11</x:v>
      </x:c>
      <x:c r="B16" s="10" t="str">
        <x:v>所有列表区</x:v>
      </x:c>
      <x:c r="C16" s="10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'本批提测'!$B$8="","版本待填写",IF(OR(H16&lt;&gt;'本批提测'!$B$8,G16="",G16="未执行"),"未执行",IF(V16&lt;&gt;'本批提测'!$B$18,"基线已变，需复测",IF(U16="","交付未映射",IF(F16&lt;&gt;"已确认","依据待确认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记录 review-08ef6a1468；建议须按本批批准基线采纳；2026-10-10逐字段读取</x:v>
      </x:c>
      <x:c r="M16" s="86"/>
      <x:c r="N16" s="86"/>
      <x:c r="O16" s="86"/>
      <x:c r="P16" s="14" t="str">
        <x:v>P1</x:v>
      </x:c>
      <x:c r="Q16" s="14" t="str">
        <x:v>待确认</x:v>
      </x:c>
      <x:c r="R16" s="14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1、分页区域统一复用现有框架组件及布局规则，包括总数、页码切换、每页条数等基础能力。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明确基础能力必须核对；条数/跳页是业务配置，不把示例作为通用要求。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</x:v>
      </x:c>
    </x:row>
    <x:row r="17" ht="70.5" customHeight="1">
      <x:c r="A17" s="10" t="str">
        <x:v>UI12</x:v>
      </x:c>
      <x:c r="B17" s="10" t="str">
        <x:v>所有列表区</x:v>
      </x:c>
      <x:c r="C17" s="10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'本批提测'!$B$8="","版本待填写",IF(OR(H17&lt;&gt;'本批提测'!$B$8,G17="",G17="未执行"),"未执行",IF(V17&lt;&gt;'本批提测'!$B$18,"基线已变，需复测",IF(U17="","交付未映射",IF(F17&lt;&gt;"已确认","依据待确认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记录 review-79dfb7278b；建议须按本批批准基线采纳；2026-10-10逐字段读取</x:v>
      </x:c>
      <x:c r="M17" s="86"/>
      <x:c r="N17" s="86"/>
      <x:c r="O17" s="86"/>
      <x:c r="P17" s="14" t="str">
        <x:v>P1</x:v>
      </x:c>
      <x:c r="Q17" s="14" t="str">
        <x:v>待确认</x:v>
      </x:c>
      <x:c r="R17" s="14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横向滚动场景统一沿用框架Fixed Column规则：左侧至少固定“勾选列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补普通字段滚动、中间展示空间及核心字段条件，避免固定列过度冻结。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</x:v>
      </x:c>
    </x:row>
    <x:row r="18" ht="70.5" customHeight="1">
      <x:c r="A18" s="10" t="str">
        <x:v>UI13</x:v>
      </x:c>
      <x:c r="B18" s="10" t="str">
        <x:v>所有列表区</x:v>
      </x:c>
      <x:c r="C18" s="10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'本批提测'!$B$8="","版本待填写",IF(OR(H18&lt;&gt;'本批提测'!$B$8,G18="",G18="未执行"),"未执行",IF(V18&lt;&gt;'本批提测'!$B$18,"基线已变，需复测",IF(U18="","交付未映射",IF(OR(F18&lt;&gt;"已确认",(COUNTIFS('本批提测'!$A$40:$A$61,"DEC08",'本批提测'!$H$40:$H$61,"已确认")+COUNTIFS('本批提测'!$A$40:$A$61,"DEC08",'本批提测'!$H$40:$H$61,"已记录后置")=0)),"依据待确认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记录 review-42f80e1fec；建议须按本批批准基线采纳；2026-10-10逐字段读取</x:v>
      </x:c>
      <x:c r="M18" s="86"/>
      <x:c r="N18" s="86"/>
      <x:c r="O18" s="86"/>
      <x:c r="P18" s="14" t="str">
        <x:v>P1</x:v>
      </x:c>
      <x:c r="Q18" s="14" t="str">
        <x:v>待确认</x:v>
      </x:c>
      <x:c r="R18" s="14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当前原型勾选数据后，批量操作采用页面底部悬浮操作条，与现有通用框架的批量操作方式不一致；悬浮层同时会遮挡部分表格内容。</x:v>
      </x:c>
      <x:c r="Z18" s="14" t="str">
        <x:v>统一复用通用框架的批量操作栏：勾选数据后，在Table顶部展示操作按钮，取消选择后恢复默认状态；选中行同步使用框架统一选中态。不再新增底部悬浮操作条。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</x:row>
    <x:row r="19" ht="70.5" customHeight="1">
      <x:c r="A19" s="10" t="str">
        <x:v>UI14</x:v>
      </x:c>
      <x:c r="B19" s="10" t="str">
        <x:v>所有列表区</x:v>
      </x:c>
      <x:c r="C19" s="10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'本批提测'!$B$8="","版本待填写",IF(OR(H19&lt;&gt;'本批提测'!$B$8,G19="",G19="未执行"),"未执行",IF(V19&lt;&gt;'本批提测'!$B$18,"基线已变，需复测",IF(U19="","交付未映射",IF(F19&lt;&gt;"已确认","依据待确认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记录 review-6436a27114；建议须按本批批准基线采纳；2026-10-10逐字段读取</x:v>
      </x:c>
      <x:c r="M19" s="86"/>
      <x:c r="N19" s="86"/>
      <x:c r="O19" s="86"/>
      <x:c r="P19" s="14" t="str">
        <x:v>P2</x:v>
      </x:c>
      <x:c r="Q19" s="14" t="str">
        <x:v>待确认</x:v>
      </x:c>
      <x:c r="R19" s="14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当前原型Table在行高、文字使用、字号字重、Checkbox、行背景及选中态等视觉表现上与通用框架存在差异；选中行未形成完整统一的行级高亮，固定操作列与主体区域的背景状态也不一致，整体信息密度偏低。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及Tag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</x:row>
    <x:row r="20" ht="84.75" customHeight="1">
      <x:c r="A20" s="10" t="str">
        <x:v>UI15</x:v>
      </x:c>
      <x:c r="B20" s="10" t="str">
        <x:v>所有列表区</x:v>
      </x:c>
      <x:c r="C20" s="10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'本批提测'!$B$8="","版本待填写",IF(OR(H20&lt;&gt;'本批提测'!$B$8,G20="",G20="未执行"),"未执行",IF(V20&lt;&gt;'本批提测'!$B$18,"基线已变，需复测",IF(U20="","交付未映射",IF(OR(F20&lt;&gt;"已确认",(COUNTIFS('本批提测'!$A$40:$A$61,"DEC04",'本批提测'!$H$40:$H$61,"已确认")+COUNTIFS('本批提测'!$A$40:$A$61,"DEC04",'本批提测'!$H$40:$H$61,"已记录后置")=0)),"依据待确认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记录 review-a7e8b941e2；须先确认关联决策；2026-10-10逐字段读取</x:v>
      </x:c>
      <x:c r="M20" s="86"/>
      <x:c r="N20" s="86"/>
      <x:c r="O20" s="86"/>
      <x:c r="P20" s="14" t="str">
        <x:v>P0</x:v>
      </x:c>
      <x:c r="Q20" s="14" t="str">
        <x:v>待确认</x:v>
      </x:c>
      <x:c r="R20" s="14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编码使用蓝色链接态但无点击能力，存在错误交互暗示。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</x:v>
      </x:c>
      <x:c r="AB20" s="14" t="str">
        <x:v>review-a7e8b941e2</x:v>
      </x:c>
      <x:c r="AC20" s="14" t="str">
        <x:v>补链接/纯文本双分支与正确对象；区分服务单元待决策和已定义编码入口。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</x:v>
      </x:c>
    </x:row>
    <x:row r="21" ht="84.75" customHeight="1">
      <x:c r="A21" s="10" t="str">
        <x:v>UI16</x:v>
      </x:c>
      <x:c r="B21" s="10" t="str">
        <x:v>Ai 建档解析</x:v>
      </x:c>
      <x:c r="C21" s="10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'本批提测'!$B$8="","版本待填写",IF(OR(H21&lt;&gt;'本批提测'!$B$8,G21="",G21="未执行"),"未执行",IF(V21&lt;&gt;'本批提测'!$B$18,"基线已变，需复测",IF(U21="","交付未映射",IF(OR(F21&lt;&gt;"已确认",(COUNTIFS('本批提测'!$A$40:$A$61,"DEC05",'本批提测'!$H$40:$H$61,"已确认")+COUNTIFS('本批提测'!$A$40:$A$61,"DEC05",'本批提测'!$H$40:$H$61,"已记录后置")=0),(COUNTIFS('本批提测'!$A$40:$A$61,"DEC17",'本批提测'!$H$40:$H$61,"已确认")+COUNTIFS('本批提测'!$A$40:$A$61,"DEC17",'本批提测'!$H$40:$H$61,"已记录后置")=0)),"依据待确认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记录 review-f228825adf；须先确认关联决策；2026-10-10逐字段读取</x:v>
      </x:c>
      <x:c r="M21" s="86"/>
      <x:c r="N21" s="86"/>
      <x:c r="O21" s="86"/>
      <x:c r="P21" s="14" t="str">
        <x:v>P0</x:v>
      </x:c>
      <x:c r="Q21" s="14" t="str">
        <x:v>待确认</x:v>
      </x:c>
      <x:c r="R21" s="14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1、建议调整为独立表单页面承载完整建档流程，保留清晰的步骤导航、内容区及底部操作区，便于用户持续查看上传资料、AI解析结果及确认状态；弹窗更适合信息量较少、单一步骤、可快速完成的操作。
2、限制页面主体内容区统一保留左右24px Padding，作为页面级基础留白。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</x:row>
    <x:row r="22" ht="70.5" customHeight="1">
      <x:c r="A22" s="10" t="str">
        <x:v>UI17</x:v>
      </x:c>
      <x:c r="B22" s="10" t="str">
        <x:v>全局</x:v>
      </x:c>
      <x:c r="C22" s="10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'本批提测'!$B$8="","版本待填写",IF(OR(H22&lt;&gt;'本批提测'!$B$8,G22="",G22="未执行"),"未执行",IF(V22&lt;&gt;'本批提测'!$B$18,"基线已变，需复测",IF(U22="","交付未映射",IF(F22&lt;&gt;"已确认","依据待确认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记录 review-70bd2614ce；建议须按本批批准基线采纳；2026-10-10逐字段读取</x:v>
      </x:c>
      <x:c r="M22" s="86"/>
      <x:c r="N22" s="86"/>
      <x:c r="O22" s="86"/>
      <x:c r="P22" s="14" t="str">
        <x:v>P1</x:v>
      </x:c>
      <x:c r="Q22" s="14" t="str">
        <x:v>待确认</x:v>
      </x:c>
      <x:c r="R22" s="14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检查当前路由及刷新逻辑，调整为刷新后保持当前页面；如有特殊跳转逻辑需产品确认。</x:v>
      </x:c>
      <x:c r="AB22" s="14" t="str">
        <x:v>review-70bd2614ce</x:v>
      </x:c>
      <x:c r="AC22" s="14" t="str">
        <x:v>补路由前后比对、特殊跳转及必要状态边界，避免过度要求所有UI状态保留。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</x:v>
      </x:c>
    </x:row>
    <x:row r="23" ht="99" customHeight="1">
      <x:c r="A23" s="10" t="str">
        <x:v>UI18</x:v>
      </x:c>
      <x:c r="B23" s="10" t="str">
        <x:v>服务单元</x:v>
      </x:c>
      <x:c r="C23" s="10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'本批提测'!$B$8="","版本待填写",IF(OR(H23&lt;&gt;'本批提测'!$B$8,G23="",G23="未执行"),"未执行",IF(V23&lt;&gt;'本批提测'!$B$18,"基线已变，需复测",IF(U23="","交付未映射",IF(OR(F23&lt;&gt;"已确认",(COUNTIFS('本批提测'!$A$40:$A$61,"DEC03",'本批提测'!$H$40:$H$61,"已确认")+COUNTIFS('本批提测'!$A$40:$A$61,"DEC03",'本批提测'!$H$40:$H$61,"已记录后置")=0)),"依据待确认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记录 review-f828afea0f；须先确认关联决策；2026-10-10逐字段读取</x:v>
      </x:c>
      <x:c r="M23" s="86"/>
      <x:c r="N23" s="86"/>
      <x:c r="O23" s="86"/>
      <x:c r="P23" s="14" t="str">
        <x:v>P0</x:v>
      </x:c>
      <x:c r="Q23" s="14" t="str">
        <x:v>待确认</x:v>
      </x:c>
      <x:c r="R23" s="14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2、不要使用emoji作为图标。</x:v>
      </x:c>
      <x:c r="Z23" s="14" t="str">
        <x:v>建议改为右侧详情Drawer承载，保留当前列表上下文；详情内容按信息模块分组展示，Drawer内容区支持纵向滚动，顶部标题及底部操作区固定。适用于用户在列表中连续查看多条服务单元详情的场景。</x:v>
      </x:c>
      <x:c r="AA23" s="14" t="str">
        <x:v>按现有详情Drawer结构调整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</x:row>
    <x:row r="24" ht="84.7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'本批提测'!$B$8="","版本待填写",IF(OR(H24&lt;&gt;'本批提测'!$B$8,G24="",G24="未执行"),"未执行",IF(V24&lt;&gt;'本批提测'!$B$18,"基线已变，需复测",IF(U24="","交付未映射",IF(OR(F24&lt;&gt;"已确认",(COUNTIFS('本批提测'!$A$40:$A$61,"DEC18",'本批提测'!$H$40:$H$61,"已确认")+COUNTIFS('本批提测'!$A$40:$A$61,"DEC18",'本批提测'!$H$40:$H$61,"已记录后置")=0)),"依据待确认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</x:row>
    <x:row r="25" ht="70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'本批提测'!$B$8="","版本待填写",IF(OR(H25&lt;&gt;'本批提测'!$B$8,G25="",G25="未执行"),"未执行",IF(V25&lt;&gt;'本批提测'!$B$18,"基线已变，需复测",IF(U25="","交付未映射",IF(OR(F25&lt;&gt;"已确认",(COUNTIFS('本批提测'!$A$40:$A$61,"DEC18",'本批提测'!$H$40:$H$61,"已确认")+COUNTIFS('本批提测'!$A$40:$A$61,"DEC18",'本批提测'!$H$40:$H$61,"已记录后置")=0)),"依据待确认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/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'本批提测'!$B$8="","版本待填写",IF(OR(H26&lt;&gt;'本批提测'!$B$8,G26="",G26="未执行"),"未执行",IF(V26&lt;&gt;'本批提测'!$B$18,"基线已变，需复测",IF(U26="","交付未映射",IF(OR(F26&lt;&gt;"已确认",(COUNTIFS('本批提测'!$A$40:$A$61,"DEC18",'本批提测'!$H$40:$H$61,"已确认")+COUNTIFS('本批提测'!$A$40:$A$61,"DEC18",'本批提测'!$H$40:$H$61,"已记录后置")=0)),"依据待确认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'本批提测'!$B$8="","版本待填写",IF(OR(H27&lt;&gt;'本批提测'!$B$8,G27="",G27="未执行"),"未执行",IF(V27&lt;&gt;'本批提测'!$B$18,"基线已变，需复测",IF(U27="","交付未映射",IF(OR(F27&lt;&gt;"已确认",(COUNTIFS('本批提测'!$A$40:$A$61,"DEC10",'本批提测'!$H$40:$H$61,"已确认")+COUNTIFS('本批提测'!$A$40:$A$61,"DEC10",'本批提测'!$H$40:$H$61,"已记录后置")=0),(COUNTIFS('本批提测'!$A$40:$A$61,"DEC18",'本批提测'!$H$40:$H$61,"已确认")+COUNTIFS('本批提测'!$A$40:$A$61,"DEC18",'本批提测'!$H$40:$H$61,"已记录后置")=0)),"依据待确认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'本批提测'!$B$8="","版本待填写",IF(OR(H28&lt;&gt;'本批提测'!$B$8,G28="",G28="未执行"),"未执行",IF(V28&lt;&gt;'本批提测'!$B$18,"基线已变，需复测",IF(U28="","交付未映射",IF(OR(F28&lt;&gt;"已确认",(COUNTIFS('本批提测'!$A$40:$A$61,"DEC18",'本批提测'!$H$40:$H$61,"已确认")+COUNTIFS('本批提测'!$A$40:$A$61,"DEC18",'本批提测'!$H$40:$H$61,"已记录后置")=0)),"依据待确认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'本批提测'!$B$8="","版本待填写",IF(OR(H29&lt;&gt;'本批提测'!$B$8,G29="",G29="未执行"),"未执行",IF(V29&lt;&gt;'本批提测'!$B$18,"基线已变，需复测",IF(U29="","交付未映射",IF(OR(F29&lt;&gt;"已确认",(COUNTIFS('本批提测'!$A$40:$A$61,"DEC18",'本批提测'!$H$40:$H$61,"已确认")+COUNTIFS('本批提测'!$A$40:$A$61,"DEC18",'本批提测'!$H$40:$H$61,"已记录后置")=0)),"依据待确认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'本批提测'!$B$8="","版本待填写",IF(OR(H30&lt;&gt;'本批提测'!$B$8,G30="",G30="未执行"),"未执行",IF(V30&lt;&gt;'本批提测'!$B$18,"基线已变，需复测",IF(U30="","交付未映射",IF(OR(F30&lt;&gt;"已确认",(COUNTIFS('本批提测'!$A$40:$A$61,"DEC18",'本批提测'!$H$40:$H$61,"已确认")+COUNTIFS('本批提测'!$A$40:$A$61,"DEC18",'本批提测'!$H$40:$H$61,"已记录后置")=0)),"依据待确认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</x:row>
    <x:row r="31" ht="63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'本批提测'!$B$8="","版本待填写",IF(OR(H31&lt;&gt;'本批提测'!$B$8,G31="",G31="未执行"),"未执行",IF(V31&lt;&gt;'本批提测'!$B$18,"基线已变，需复测",IF(U31="","交付未映射",IF(OR(F31&lt;&gt;"已确认",(COUNTIFS('本批提测'!$A$40:$A$61,"DEC18",'本批提测'!$H$40:$H$61,"已确认")+COUNTIFS('本批提测'!$A$40:$A$61,"DEC18",'本批提测'!$H$40:$H$61,"已记录后置")=0)),"依据待确认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使用长名称、多行规则及较多记录，检查列表、弹窗和抽屉。</x:v>
      </x:c>
      <x:c r="K31" s="10" t="str">
        <x:v>表格长文本单行省略且hover Tooltip显示完整；详情文字最多3行，超出折叠并可展开；容器可滚动，关键操作不遮挡。</x:v>
      </x:c>
      <x:c r="L31" s="10" t="str">
        <x:v>SPEC §9.4；REVIEW 第10、18项；长内容数据为测试建议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/>
      <x:c r="AD31" s="10" t="str">
        <x:v>长文本长度类触发省略和展开，表格与详情采用不同承载；必须验证完整信息可取得。</x:v>
      </x:c>
      <x:c r="AE31" s="10" t="str">
        <x:v>短文本及明显超过容器的长文本对照；表格一行省略Tooltip，详情三行展开／滚动，实际查看完整内容而非只测省略号。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'本批提测'!$B$8="","版本待填写",IF(OR(H32&lt;&gt;'本批提测'!$B$8,G32="",G32="未执行"),"未执行",IF(V32&lt;&gt;'本批提测'!$B$18,"基线已变，需复测",IF(U32="","交付未映射",IF(OR(F32&lt;&gt;"已确认",(COUNTIFS('本批提测'!$A$40:$A$61,"DEC18",'本批提测'!$H$40:$H$61,"已确认")+COUNTIFS('本批提测'!$A$40:$A$61,"DEC18",'本批提测'!$H$40:$H$61,"已记录后置")=0)),"依据待确认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'本批提测'!$B$8="","版本待填写",IF(OR(H33&lt;&gt;'本批提测'!$B$8,G33="",G33="未执行"),"未执行",IF(V33&lt;&gt;'本批提测'!$B$18,"基线已变，需复测",IF(U33="","交付未映射",IF(OR(F33&lt;&gt;"已确认",(COUNTIFS('本批提测'!$A$40:$A$61,"DEC18",'本批提测'!$H$40:$H$61,"已确认")+COUNTIFS('本批提测'!$A$40:$A$61,"DEC18",'本批提测'!$H$40:$H$61,"已记录后置")=0)),"依据待确认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</x:row>
    <x:row r="34" ht="63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'本批提测'!$B$8="","版本待填写",IF(OR(H34&lt;&gt;'本批提测'!$B$8,G34="",G34="未执行"),"未执行",IF(V34&lt;&gt;'本批提测'!$B$18,"基线已变，需复测",IF(U34="","交付未映射",IF(OR(F34&lt;&gt;"已确认",(COUNTIFS('本批提测'!$A$40:$A$61,"DEC10",'本批提测'!$H$40:$H$61,"已确认")+COUNTIFS('本批提测'!$A$40:$A$61,"DEC10",'本批提测'!$H$40:$H$61,"已记录后置")=0),(COUNTIFS('本批提测'!$A$40:$A$61,"DEC18",'本批提测'!$H$40:$H$61,"已确认")+COUNTIFS('本批提测'!$A$40:$A$61,"DEC18",'本批提测'!$H$40:$H$61,"已记录后置")=0)),"依据待确认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分别展示无值、0、件数和重量字段。</x:v>
      </x:c>
      <x:c r="K34" s="10" t="str">
        <x:v>无值用—，不能以0替代；真实0正常显示；金额口径见 DEC10，重量保留3位小数并带单位；件数整数与千分位。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/>
      <x:c r="AD34" s="10" t="str">
        <x:v>空值和真实0分属不同数据类；数值格式按金额、重量、数量分别验证，防止格式化改变意义。</x:v>
      </x:c>
      <x:c r="AE34" s="10" t="str">
        <x:v>用null、0、小数、千位数及单位样本；核对—、重量三位与单位、数量整数分组。金额冲突另按UI22／DEC10，不混用统一格式。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'本批提测'!$B$8="","版本待填写",IF(OR(H35&lt;&gt;'本批提测'!$B$8,G35="",G35="未执行"),"未执行",IF(V35&lt;&gt;'本批提测'!$B$18,"基线已变，需复测",IF(U35="","交付未映射",IF(OR(F35&lt;&gt;"已确认",(COUNTIFS('本批提测'!$A$40:$A$61,"DEC18",'本批提测'!$H$40:$H$61,"已确认")+COUNTIFS('本批提测'!$A$40:$A$61,"DEC18",'本批提测'!$H$40:$H$61,"已记录后置")=0)),"依据待确认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'本批提测'!$B$8="","版本待填写",IF(OR(H36&lt;&gt;'本批提测'!$B$8,G36="",G36="未执行"),"未执行",IF(V36&lt;&gt;'本批提测'!$B$18,"基线已变，需复测",IF(U36="","交付未映射",IF(OR(F36&lt;&gt;"已确认",(COUNTIFS('本批提测'!$A$40:$A$61,"DEC18",'本批提测'!$H$40:$H$61,"已确认")+COUNTIFS('本批提测'!$A$40:$A$61,"DEC18",'本批提测'!$H$40:$H$61,"已记录后置")=0)),"依据待确认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'本批提测'!$B$8="","版本待填写",IF(OR(H37&lt;&gt;'本批提测'!$B$8,G37="",G37="未执行"),"未执行",IF(V37&lt;&gt;'本批提测'!$B$18,"基线已变，需复测",IF(U37="","交付未映射",IF(OR(F37&lt;&gt;"已确认",(COUNTIFS('本批提测'!$A$40:$A$61,"DEC18",'本批提测'!$H$40:$H$61,"已确认")+COUNTIFS('本批提测'!$A$40:$A$61,"DEC18",'本批提测'!$H$40:$H$61,"已记录后置")=0)),"依据待确认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</x:row>
    <x:row r="38" ht="84.7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'本批提测'!$B$8="","版本待填写",IF(OR(H38&lt;&gt;'本批提测'!$B$8,G38="",G38="未执行"),"未执行",IF(V38&lt;&gt;'本批提测'!$B$18,"基线已变，需复测",IF(U38="","交付未映射",IF(OR(F38&lt;&gt;"已确认",(COUNTIFS('本批提测'!$A$40:$A$61,"DEC18",'本批提测'!$H$40:$H$61,"已确认")+COUNTIFS('本批提测'!$A$40:$A$61,"DEC18",'本批提测'!$H$40:$H$61,"已记录后置")=0)),"依据待确认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</x:row>
    <x:row r="39" ht="70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'本批提测'!$B$8="","版本待填写",IF(OR(H39&lt;&gt;'本批提测'!$B$8,G39="",G39="未执行"),"未执行",IF(V39&lt;&gt;'本批提测'!$B$18,"基线已变，需复测",IF(U39="","交付未映射",IF(OR(F39&lt;&gt;"已确认",(COUNTIFS('本批提测'!$A$40:$A$61,"DEC18",'本批提测'!$H$40:$H$61,"已确认")+COUNTIFS('本批提测'!$A$40:$A$61,"DEC18",'本批提测'!$H$40:$H$61,"已记录后置")=0)),"依据待确认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dataValidations count="4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6cf63c1bdc4b80"/>
  </x:tableParts>
</x:worksheet>
</file>